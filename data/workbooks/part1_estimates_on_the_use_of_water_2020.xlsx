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wnloads\water-access-portfolio\water-access-portfolio\data\workbooks\"/>
    </mc:Choice>
  </mc:AlternateContent>
  <xr:revisionPtr revIDLastSave="0" documentId="13_ncr:1_{19628C79-B328-4C95-9F81-0F2E5C7A9FC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ilter space" sheetId="1" r:id="rId1"/>
    <sheet name="Estimates on the use of water (" sheetId="3" r:id="rId2"/>
    <sheet name="Global 2020 report" sheetId="4" r:id="rId3"/>
    <sheet name="Improved pivot table" sheetId="5" r:id="rId4"/>
    <sheet name="Detail1-3" sheetId="6" r:id="rId5"/>
    <sheet name="Sheet3" sheetId="7" r:id="rId6"/>
    <sheet name="Pivot Table 2" sheetId="8" r:id="rId7"/>
    <sheet name="Chart8" sheetId="9" r:id="rId8"/>
    <sheet name="Chart7" sheetId="10" r:id="rId9"/>
    <sheet name="Chart6" sheetId="11" r:id="rId10"/>
    <sheet name="Chart9" sheetId="12" r:id="rId11"/>
    <sheet name="Chart5" sheetId="13" r:id="rId12"/>
    <sheet name="Chart4" sheetId="14" r:id="rId13"/>
    <sheet name="Chart2" sheetId="16" r:id="rId14"/>
    <sheet name="Chart1" sheetId="17" r:id="rId15"/>
    <sheet name="Copy of Estimates on the use of" sheetId="18" r:id="rId16"/>
  </sheets>
  <calcPr calcId="191029"/>
  <pivotCaches>
    <pivotCache cacheId="22" r:id="rId17"/>
    <pivotCache cacheId="26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5" i="3" l="1"/>
  <c r="G215" i="3"/>
  <c r="H215" i="3"/>
  <c r="I215" i="3"/>
  <c r="J215" i="3"/>
  <c r="K215" i="3"/>
  <c r="L215" i="3"/>
  <c r="M215" i="3"/>
  <c r="N215" i="3"/>
  <c r="O215" i="3"/>
  <c r="P215" i="3"/>
  <c r="E215" i="3"/>
  <c r="Q214" i="18"/>
  <c r="Q213" i="18"/>
  <c r="Q212" i="18"/>
  <c r="Q211" i="18"/>
  <c r="Q210" i="18"/>
  <c r="Q209" i="18"/>
  <c r="Q208" i="18"/>
  <c r="Q207" i="18"/>
  <c r="Q206" i="18"/>
  <c r="Q205" i="18"/>
  <c r="Q204" i="18"/>
  <c r="Q203" i="18"/>
  <c r="Q202" i="18"/>
  <c r="Q201" i="18"/>
  <c r="Q200" i="18"/>
  <c r="Q199" i="18"/>
  <c r="Q198" i="18"/>
  <c r="Q197" i="18"/>
  <c r="Q196" i="18"/>
  <c r="Q195" i="18"/>
  <c r="Q194" i="18"/>
  <c r="Q193" i="18"/>
  <c r="Q192" i="18"/>
  <c r="Q191" i="18"/>
  <c r="Q190" i="18"/>
  <c r="Q189" i="18"/>
  <c r="Q188" i="18"/>
  <c r="Q187" i="18"/>
  <c r="Q186" i="18"/>
  <c r="Q185" i="18"/>
  <c r="Q184" i="18"/>
  <c r="Q183" i="18"/>
  <c r="Q182" i="18"/>
  <c r="Q181" i="18"/>
  <c r="Q180" i="18"/>
  <c r="Q179" i="18"/>
  <c r="Q178" i="18"/>
  <c r="Q177" i="18"/>
  <c r="Q176" i="18"/>
  <c r="Q175" i="18"/>
  <c r="Q174" i="18"/>
  <c r="Q173" i="18"/>
  <c r="Q172" i="18"/>
  <c r="Q171" i="18"/>
  <c r="Q170" i="18"/>
  <c r="Q169" i="18"/>
  <c r="Q168" i="18"/>
  <c r="Q167" i="18"/>
  <c r="Q166" i="18"/>
  <c r="Q165" i="18"/>
  <c r="Q164" i="18"/>
  <c r="Q163" i="18"/>
  <c r="Q162" i="18"/>
  <c r="Q161" i="18"/>
  <c r="Q160" i="18"/>
  <c r="Q159" i="18"/>
  <c r="Q158" i="18"/>
  <c r="Q157" i="18"/>
  <c r="Q156" i="18"/>
  <c r="Q155" i="18"/>
  <c r="Q154" i="18"/>
  <c r="Q153" i="18"/>
  <c r="Q152" i="18"/>
  <c r="Q151" i="18"/>
  <c r="Q150" i="18"/>
  <c r="Q149" i="18"/>
  <c r="Q148" i="18"/>
  <c r="Q147" i="18"/>
  <c r="Q146" i="18"/>
  <c r="Q145" i="18"/>
  <c r="Q144" i="18"/>
  <c r="Q143" i="18"/>
  <c r="Q142" i="18"/>
  <c r="Q141" i="18"/>
  <c r="Q140" i="18"/>
  <c r="Q139" i="18"/>
  <c r="Q138" i="18"/>
  <c r="Q137" i="18"/>
  <c r="Q136" i="18"/>
  <c r="Q135" i="18"/>
  <c r="Q134" i="18"/>
  <c r="Q133" i="18"/>
  <c r="Q132" i="18"/>
  <c r="Q131" i="18"/>
  <c r="Q130" i="18"/>
  <c r="Q129" i="18"/>
  <c r="Q128" i="18"/>
  <c r="Q127" i="18"/>
  <c r="Q126" i="18"/>
  <c r="Q125" i="18"/>
  <c r="Q124" i="18"/>
  <c r="Q123" i="18"/>
  <c r="Q122" i="18"/>
  <c r="Q121" i="18"/>
  <c r="Q120" i="18"/>
  <c r="Q119" i="18"/>
  <c r="Q118" i="18"/>
  <c r="Q117" i="18"/>
  <c r="Q116" i="18"/>
  <c r="Q115" i="18"/>
  <c r="Q114" i="18"/>
  <c r="Q113" i="18"/>
  <c r="Q112" i="18"/>
  <c r="Q111" i="18"/>
  <c r="Q110" i="18"/>
  <c r="Q109" i="18"/>
  <c r="Q108" i="18"/>
  <c r="Q107" i="18"/>
  <c r="Q106" i="18"/>
  <c r="Q105" i="18"/>
  <c r="Q104" i="18"/>
  <c r="Q103" i="18"/>
  <c r="Q102" i="18"/>
  <c r="Q101" i="18"/>
  <c r="Q100" i="18"/>
  <c r="Q99" i="18"/>
  <c r="Q98" i="18"/>
  <c r="Q97" i="18"/>
  <c r="Q96" i="18"/>
  <c r="Q95" i="18"/>
  <c r="Q94" i="18"/>
  <c r="Q93" i="18"/>
  <c r="Q92" i="18"/>
  <c r="Q91" i="18"/>
  <c r="Q90" i="18"/>
  <c r="Q89" i="18"/>
  <c r="Q88" i="18"/>
  <c r="Q87" i="18"/>
  <c r="Q86" i="18"/>
  <c r="Q85" i="18"/>
  <c r="Q84" i="18"/>
  <c r="Q83" i="18"/>
  <c r="Q82" i="18"/>
  <c r="Q81" i="18"/>
  <c r="Q80" i="18"/>
  <c r="Q79" i="18"/>
  <c r="Q78" i="18"/>
  <c r="Q77" i="18"/>
  <c r="Q76" i="18"/>
  <c r="Q75" i="18"/>
  <c r="Q74" i="18"/>
  <c r="Q73" i="18"/>
  <c r="Q72" i="18"/>
  <c r="Q71" i="18"/>
  <c r="Q70" i="18"/>
  <c r="Q69" i="18"/>
  <c r="Q68" i="18"/>
  <c r="Q67" i="18"/>
  <c r="Q66" i="18"/>
  <c r="Q65" i="18"/>
  <c r="Q64" i="18"/>
  <c r="Q63" i="18"/>
  <c r="Q62" i="18"/>
  <c r="Q61" i="18"/>
  <c r="Q60" i="18"/>
  <c r="Q59" i="18"/>
  <c r="Q58" i="18"/>
  <c r="Q57" i="18"/>
  <c r="Q56" i="18"/>
  <c r="Q55" i="18"/>
  <c r="Q54" i="18"/>
  <c r="Q53" i="18"/>
  <c r="Q52" i="18"/>
  <c r="Q51" i="18"/>
  <c r="Q50" i="18"/>
  <c r="Q49" i="18"/>
  <c r="Q48" i="18"/>
  <c r="Q47" i="18"/>
  <c r="Q46" i="18"/>
  <c r="Q45" i="18"/>
  <c r="Q44" i="18"/>
  <c r="Q43" i="18"/>
  <c r="Q42" i="18"/>
  <c r="Q41" i="18"/>
  <c r="Q40" i="18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Q10" i="18"/>
  <c r="Q9" i="18"/>
  <c r="Q8" i="18"/>
  <c r="Q7" i="18"/>
  <c r="Q6" i="18"/>
  <c r="Q5" i="18"/>
  <c r="Q4" i="18"/>
  <c r="Q3" i="18"/>
  <c r="Q2" i="18"/>
  <c r="C6" i="7"/>
  <c r="C5" i="7"/>
  <c r="C4" i="7"/>
  <c r="C3" i="7"/>
  <c r="C2" i="7"/>
  <c r="B8" i="4"/>
  <c r="E4" i="4"/>
  <c r="C3" i="4"/>
  <c r="B11" i="4" s="1"/>
  <c r="B3" i="4"/>
  <c r="B9" i="4" s="1"/>
  <c r="AK222" i="3"/>
  <c r="AK223" i="3" s="1"/>
  <c r="AJ222" i="3"/>
  <c r="AJ223" i="3" s="1"/>
  <c r="AI222" i="3"/>
  <c r="AI223" i="3" s="1"/>
  <c r="AH222" i="3"/>
  <c r="AH223" i="3" s="1"/>
  <c r="AG222" i="3"/>
  <c r="AG223" i="3" s="1"/>
  <c r="AF222" i="3"/>
  <c r="AF223" i="3" s="1"/>
  <c r="AE222" i="3"/>
  <c r="AE223" i="3" s="1"/>
  <c r="AD222" i="3"/>
  <c r="AD223" i="3" s="1"/>
  <c r="AC222" i="3"/>
  <c r="AC223" i="3" s="1"/>
  <c r="AB222" i="3"/>
  <c r="AB223" i="3" s="1"/>
  <c r="AA222" i="3"/>
  <c r="AA223" i="3" s="1"/>
  <c r="Z222" i="3"/>
  <c r="Z223" i="3" s="1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C215" i="3"/>
  <c r="V214" i="3"/>
  <c r="T214" i="3"/>
  <c r="S214" i="3"/>
  <c r="W214" i="3" s="1"/>
  <c r="R214" i="3"/>
  <c r="Q214" i="3"/>
  <c r="V213" i="3"/>
  <c r="T213" i="3"/>
  <c r="S213" i="3"/>
  <c r="W213" i="3" s="1"/>
  <c r="R213" i="3"/>
  <c r="Q213" i="3"/>
  <c r="V212" i="3"/>
  <c r="T212" i="3"/>
  <c r="S212" i="3"/>
  <c r="W212" i="3" s="1"/>
  <c r="R212" i="3"/>
  <c r="Q212" i="3"/>
  <c r="V211" i="3"/>
  <c r="T211" i="3"/>
  <c r="S211" i="3"/>
  <c r="W211" i="3" s="1"/>
  <c r="R211" i="3"/>
  <c r="Q211" i="3"/>
  <c r="V210" i="3"/>
  <c r="T210" i="3"/>
  <c r="S210" i="3"/>
  <c r="W210" i="3" s="1"/>
  <c r="R210" i="3"/>
  <c r="Q210" i="3"/>
  <c r="V209" i="3"/>
  <c r="T209" i="3"/>
  <c r="S209" i="3"/>
  <c r="W209" i="3" s="1"/>
  <c r="R209" i="3"/>
  <c r="Q209" i="3"/>
  <c r="V208" i="3"/>
  <c r="T208" i="3"/>
  <c r="S208" i="3"/>
  <c r="W208" i="3" s="1"/>
  <c r="R208" i="3"/>
  <c r="Q208" i="3"/>
  <c r="V207" i="3"/>
  <c r="T207" i="3"/>
  <c r="S207" i="3"/>
  <c r="W207" i="3" s="1"/>
  <c r="R207" i="3"/>
  <c r="Q207" i="3"/>
  <c r="V206" i="3"/>
  <c r="T206" i="3"/>
  <c r="S206" i="3"/>
  <c r="W206" i="3" s="1"/>
  <c r="R206" i="3"/>
  <c r="Q206" i="3"/>
  <c r="V205" i="3"/>
  <c r="T205" i="3"/>
  <c r="S205" i="3"/>
  <c r="W205" i="3" s="1"/>
  <c r="R205" i="3"/>
  <c r="Q205" i="3"/>
  <c r="V204" i="3"/>
  <c r="T204" i="3"/>
  <c r="S204" i="3"/>
  <c r="W204" i="3" s="1"/>
  <c r="R204" i="3"/>
  <c r="Q204" i="3"/>
  <c r="V203" i="3"/>
  <c r="T203" i="3"/>
  <c r="S203" i="3"/>
  <c r="W203" i="3" s="1"/>
  <c r="R203" i="3"/>
  <c r="Q203" i="3"/>
  <c r="V202" i="3"/>
  <c r="T202" i="3"/>
  <c r="S202" i="3"/>
  <c r="W202" i="3" s="1"/>
  <c r="R202" i="3"/>
  <c r="Q202" i="3"/>
  <c r="V201" i="3"/>
  <c r="T201" i="3"/>
  <c r="S201" i="3"/>
  <c r="W201" i="3" s="1"/>
  <c r="R201" i="3"/>
  <c r="Q201" i="3"/>
  <c r="V200" i="3"/>
  <c r="T200" i="3"/>
  <c r="S200" i="3"/>
  <c r="W200" i="3" s="1"/>
  <c r="R200" i="3"/>
  <c r="Q200" i="3"/>
  <c r="V199" i="3"/>
  <c r="T199" i="3"/>
  <c r="S199" i="3"/>
  <c r="W199" i="3" s="1"/>
  <c r="R199" i="3"/>
  <c r="Q199" i="3"/>
  <c r="V198" i="3"/>
  <c r="T198" i="3"/>
  <c r="S198" i="3"/>
  <c r="W198" i="3" s="1"/>
  <c r="R198" i="3"/>
  <c r="Q198" i="3"/>
  <c r="V197" i="3"/>
  <c r="T197" i="3"/>
  <c r="S197" i="3"/>
  <c r="W197" i="3" s="1"/>
  <c r="R197" i="3"/>
  <c r="Q197" i="3"/>
  <c r="V196" i="3"/>
  <c r="T196" i="3"/>
  <c r="S196" i="3"/>
  <c r="W196" i="3" s="1"/>
  <c r="R196" i="3"/>
  <c r="Q196" i="3"/>
  <c r="V195" i="3"/>
  <c r="T195" i="3"/>
  <c r="S195" i="3"/>
  <c r="W195" i="3" s="1"/>
  <c r="R195" i="3"/>
  <c r="Q195" i="3"/>
  <c r="V194" i="3"/>
  <c r="T194" i="3"/>
  <c r="S194" i="3"/>
  <c r="W194" i="3" s="1"/>
  <c r="R194" i="3"/>
  <c r="Q194" i="3"/>
  <c r="V193" i="3"/>
  <c r="T193" i="3"/>
  <c r="S193" i="3"/>
  <c r="W193" i="3" s="1"/>
  <c r="R193" i="3"/>
  <c r="Q193" i="3"/>
  <c r="V192" i="3"/>
  <c r="T192" i="3"/>
  <c r="S192" i="3"/>
  <c r="W192" i="3" s="1"/>
  <c r="R192" i="3"/>
  <c r="Q192" i="3"/>
  <c r="V191" i="3"/>
  <c r="T191" i="3"/>
  <c r="S191" i="3"/>
  <c r="W191" i="3" s="1"/>
  <c r="R191" i="3"/>
  <c r="Q191" i="3"/>
  <c r="V190" i="3"/>
  <c r="T190" i="3"/>
  <c r="S190" i="3"/>
  <c r="W190" i="3" s="1"/>
  <c r="R190" i="3"/>
  <c r="Q190" i="3"/>
  <c r="V189" i="3"/>
  <c r="T189" i="3"/>
  <c r="S189" i="3"/>
  <c r="W189" i="3" s="1"/>
  <c r="R189" i="3"/>
  <c r="Q189" i="3"/>
  <c r="V188" i="3"/>
  <c r="T188" i="3"/>
  <c r="S188" i="3"/>
  <c r="W188" i="3" s="1"/>
  <c r="R188" i="3"/>
  <c r="Q188" i="3"/>
  <c r="V187" i="3"/>
  <c r="T187" i="3"/>
  <c r="S187" i="3"/>
  <c r="W187" i="3" s="1"/>
  <c r="R187" i="3"/>
  <c r="Q187" i="3"/>
  <c r="V186" i="3"/>
  <c r="T186" i="3"/>
  <c r="S186" i="3"/>
  <c r="W186" i="3" s="1"/>
  <c r="R186" i="3"/>
  <c r="Q186" i="3"/>
  <c r="V185" i="3"/>
  <c r="T185" i="3"/>
  <c r="S185" i="3"/>
  <c r="W185" i="3" s="1"/>
  <c r="R185" i="3"/>
  <c r="Q185" i="3"/>
  <c r="V184" i="3"/>
  <c r="T184" i="3"/>
  <c r="S184" i="3"/>
  <c r="W184" i="3" s="1"/>
  <c r="R184" i="3"/>
  <c r="Q184" i="3"/>
  <c r="V183" i="3"/>
  <c r="T183" i="3"/>
  <c r="S183" i="3"/>
  <c r="W183" i="3" s="1"/>
  <c r="R183" i="3"/>
  <c r="Q183" i="3"/>
  <c r="V182" i="3"/>
  <c r="T182" i="3"/>
  <c r="S182" i="3"/>
  <c r="W182" i="3" s="1"/>
  <c r="R182" i="3"/>
  <c r="Q182" i="3"/>
  <c r="V181" i="3"/>
  <c r="T181" i="3"/>
  <c r="S181" i="3"/>
  <c r="W181" i="3" s="1"/>
  <c r="R181" i="3"/>
  <c r="Q181" i="3"/>
  <c r="V180" i="3"/>
  <c r="T180" i="3"/>
  <c r="S180" i="3"/>
  <c r="W180" i="3" s="1"/>
  <c r="R180" i="3"/>
  <c r="Q180" i="3"/>
  <c r="V179" i="3"/>
  <c r="T179" i="3"/>
  <c r="S179" i="3"/>
  <c r="W179" i="3" s="1"/>
  <c r="R179" i="3"/>
  <c r="Q179" i="3"/>
  <c r="V178" i="3"/>
  <c r="T178" i="3"/>
  <c r="S178" i="3"/>
  <c r="W178" i="3" s="1"/>
  <c r="R178" i="3"/>
  <c r="Q178" i="3"/>
  <c r="V177" i="3"/>
  <c r="T177" i="3"/>
  <c r="S177" i="3"/>
  <c r="W177" i="3" s="1"/>
  <c r="R177" i="3"/>
  <c r="Q177" i="3"/>
  <c r="V176" i="3"/>
  <c r="T176" i="3"/>
  <c r="S176" i="3"/>
  <c r="W176" i="3" s="1"/>
  <c r="R176" i="3"/>
  <c r="Q176" i="3"/>
  <c r="V175" i="3"/>
  <c r="T175" i="3"/>
  <c r="S175" i="3"/>
  <c r="W175" i="3" s="1"/>
  <c r="R175" i="3"/>
  <c r="Q175" i="3"/>
  <c r="V174" i="3"/>
  <c r="T174" i="3"/>
  <c r="S174" i="3"/>
  <c r="W174" i="3" s="1"/>
  <c r="R174" i="3"/>
  <c r="Q174" i="3"/>
  <c r="V173" i="3"/>
  <c r="T173" i="3"/>
  <c r="S173" i="3"/>
  <c r="W173" i="3" s="1"/>
  <c r="R173" i="3"/>
  <c r="Q173" i="3"/>
  <c r="V172" i="3"/>
  <c r="T172" i="3"/>
  <c r="S172" i="3"/>
  <c r="W172" i="3" s="1"/>
  <c r="R172" i="3"/>
  <c r="Q172" i="3"/>
  <c r="V171" i="3"/>
  <c r="T171" i="3"/>
  <c r="S171" i="3"/>
  <c r="W171" i="3" s="1"/>
  <c r="R171" i="3"/>
  <c r="Q171" i="3"/>
  <c r="V170" i="3"/>
  <c r="T170" i="3"/>
  <c r="S170" i="3"/>
  <c r="W170" i="3" s="1"/>
  <c r="R170" i="3"/>
  <c r="Q170" i="3"/>
  <c r="V169" i="3"/>
  <c r="T169" i="3"/>
  <c r="S169" i="3"/>
  <c r="W169" i="3" s="1"/>
  <c r="R169" i="3"/>
  <c r="Q169" i="3"/>
  <c r="V168" i="3"/>
  <c r="T168" i="3"/>
  <c r="S168" i="3"/>
  <c r="W168" i="3" s="1"/>
  <c r="R168" i="3"/>
  <c r="Q168" i="3"/>
  <c r="V167" i="3"/>
  <c r="T167" i="3"/>
  <c r="S167" i="3"/>
  <c r="W167" i="3" s="1"/>
  <c r="R167" i="3"/>
  <c r="Q167" i="3"/>
  <c r="V166" i="3"/>
  <c r="T166" i="3"/>
  <c r="S166" i="3"/>
  <c r="W166" i="3" s="1"/>
  <c r="R166" i="3"/>
  <c r="Q166" i="3"/>
  <c r="V165" i="3"/>
  <c r="T165" i="3"/>
  <c r="S165" i="3"/>
  <c r="W165" i="3" s="1"/>
  <c r="R165" i="3"/>
  <c r="Q165" i="3"/>
  <c r="V164" i="3"/>
  <c r="T164" i="3"/>
  <c r="S164" i="3"/>
  <c r="W164" i="3" s="1"/>
  <c r="R164" i="3"/>
  <c r="Q164" i="3"/>
  <c r="V163" i="3"/>
  <c r="T163" i="3"/>
  <c r="S163" i="3"/>
  <c r="W163" i="3" s="1"/>
  <c r="R163" i="3"/>
  <c r="Q163" i="3"/>
  <c r="V162" i="3"/>
  <c r="T162" i="3"/>
  <c r="S162" i="3"/>
  <c r="W162" i="3" s="1"/>
  <c r="R162" i="3"/>
  <c r="Q162" i="3"/>
  <c r="V161" i="3"/>
  <c r="T161" i="3"/>
  <c r="S161" i="3"/>
  <c r="W161" i="3" s="1"/>
  <c r="R161" i="3"/>
  <c r="Q161" i="3"/>
  <c r="V160" i="3"/>
  <c r="T160" i="3"/>
  <c r="S160" i="3"/>
  <c r="W160" i="3" s="1"/>
  <c r="R160" i="3"/>
  <c r="Q160" i="3"/>
  <c r="V159" i="3"/>
  <c r="T159" i="3"/>
  <c r="S159" i="3"/>
  <c r="W159" i="3" s="1"/>
  <c r="R159" i="3"/>
  <c r="Q159" i="3"/>
  <c r="V158" i="3"/>
  <c r="T158" i="3"/>
  <c r="S158" i="3"/>
  <c r="W158" i="3" s="1"/>
  <c r="R158" i="3"/>
  <c r="Q158" i="3"/>
  <c r="V157" i="3"/>
  <c r="T157" i="3"/>
  <c r="S157" i="3"/>
  <c r="W157" i="3" s="1"/>
  <c r="R157" i="3"/>
  <c r="Q157" i="3"/>
  <c r="V156" i="3"/>
  <c r="T156" i="3"/>
  <c r="S156" i="3"/>
  <c r="W156" i="3" s="1"/>
  <c r="R156" i="3"/>
  <c r="Q156" i="3"/>
  <c r="V155" i="3"/>
  <c r="T155" i="3"/>
  <c r="S155" i="3"/>
  <c r="W155" i="3" s="1"/>
  <c r="R155" i="3"/>
  <c r="Q155" i="3"/>
  <c r="V154" i="3"/>
  <c r="T154" i="3"/>
  <c r="S154" i="3"/>
  <c r="W154" i="3" s="1"/>
  <c r="R154" i="3"/>
  <c r="Q154" i="3"/>
  <c r="V153" i="3"/>
  <c r="T153" i="3"/>
  <c r="S153" i="3"/>
  <c r="W153" i="3" s="1"/>
  <c r="R153" i="3"/>
  <c r="Q153" i="3"/>
  <c r="V152" i="3"/>
  <c r="T152" i="3"/>
  <c r="S152" i="3"/>
  <c r="W152" i="3" s="1"/>
  <c r="R152" i="3"/>
  <c r="Q152" i="3"/>
  <c r="V151" i="3"/>
  <c r="T151" i="3"/>
  <c r="S151" i="3"/>
  <c r="W151" i="3" s="1"/>
  <c r="R151" i="3"/>
  <c r="Q151" i="3"/>
  <c r="V150" i="3"/>
  <c r="T150" i="3"/>
  <c r="S150" i="3"/>
  <c r="W150" i="3" s="1"/>
  <c r="R150" i="3"/>
  <c r="Q150" i="3"/>
  <c r="V149" i="3"/>
  <c r="T149" i="3"/>
  <c r="S149" i="3"/>
  <c r="W149" i="3" s="1"/>
  <c r="R149" i="3"/>
  <c r="Q149" i="3"/>
  <c r="V148" i="3"/>
  <c r="T148" i="3"/>
  <c r="S148" i="3"/>
  <c r="W148" i="3" s="1"/>
  <c r="R148" i="3"/>
  <c r="Q148" i="3"/>
  <c r="V147" i="3"/>
  <c r="T147" i="3"/>
  <c r="S147" i="3"/>
  <c r="W147" i="3" s="1"/>
  <c r="R147" i="3"/>
  <c r="Q147" i="3"/>
  <c r="V146" i="3"/>
  <c r="T146" i="3"/>
  <c r="S146" i="3"/>
  <c r="W146" i="3" s="1"/>
  <c r="R146" i="3"/>
  <c r="Q146" i="3"/>
  <c r="V145" i="3"/>
  <c r="T145" i="3"/>
  <c r="S145" i="3"/>
  <c r="W145" i="3" s="1"/>
  <c r="R145" i="3"/>
  <c r="Q145" i="3"/>
  <c r="V144" i="3"/>
  <c r="T144" i="3"/>
  <c r="S144" i="3"/>
  <c r="W144" i="3" s="1"/>
  <c r="R144" i="3"/>
  <c r="Q144" i="3"/>
  <c r="V143" i="3"/>
  <c r="T143" i="3"/>
  <c r="S143" i="3"/>
  <c r="W143" i="3" s="1"/>
  <c r="R143" i="3"/>
  <c r="Q143" i="3"/>
  <c r="V142" i="3"/>
  <c r="T142" i="3"/>
  <c r="S142" i="3"/>
  <c r="W142" i="3" s="1"/>
  <c r="R142" i="3"/>
  <c r="Q142" i="3"/>
  <c r="V141" i="3"/>
  <c r="T141" i="3"/>
  <c r="S141" i="3"/>
  <c r="W141" i="3" s="1"/>
  <c r="R141" i="3"/>
  <c r="Q141" i="3"/>
  <c r="V140" i="3"/>
  <c r="T140" i="3"/>
  <c r="S140" i="3"/>
  <c r="W140" i="3" s="1"/>
  <c r="R140" i="3"/>
  <c r="Q140" i="3"/>
  <c r="V139" i="3"/>
  <c r="T139" i="3"/>
  <c r="S139" i="3"/>
  <c r="W139" i="3" s="1"/>
  <c r="R139" i="3"/>
  <c r="Q139" i="3"/>
  <c r="V138" i="3"/>
  <c r="T138" i="3"/>
  <c r="S138" i="3"/>
  <c r="W138" i="3" s="1"/>
  <c r="R138" i="3"/>
  <c r="Q138" i="3"/>
  <c r="V137" i="3"/>
  <c r="T137" i="3"/>
  <c r="S137" i="3"/>
  <c r="W137" i="3" s="1"/>
  <c r="R137" i="3"/>
  <c r="Q137" i="3"/>
  <c r="V136" i="3"/>
  <c r="T136" i="3"/>
  <c r="S136" i="3"/>
  <c r="W136" i="3" s="1"/>
  <c r="R136" i="3"/>
  <c r="Q136" i="3"/>
  <c r="V135" i="3"/>
  <c r="T135" i="3"/>
  <c r="S135" i="3"/>
  <c r="W135" i="3" s="1"/>
  <c r="R135" i="3"/>
  <c r="Q135" i="3"/>
  <c r="W134" i="3"/>
  <c r="V134" i="3"/>
  <c r="T134" i="3"/>
  <c r="S134" i="3"/>
  <c r="R134" i="3"/>
  <c r="Q134" i="3"/>
  <c r="V133" i="3"/>
  <c r="T133" i="3"/>
  <c r="S133" i="3"/>
  <c r="W133" i="3" s="1"/>
  <c r="R133" i="3"/>
  <c r="Q133" i="3"/>
  <c r="V132" i="3"/>
  <c r="T132" i="3"/>
  <c r="S132" i="3"/>
  <c r="W132" i="3" s="1"/>
  <c r="R132" i="3"/>
  <c r="Q132" i="3"/>
  <c r="V131" i="3"/>
  <c r="T131" i="3"/>
  <c r="S131" i="3"/>
  <c r="W131" i="3" s="1"/>
  <c r="R131" i="3"/>
  <c r="Q131" i="3"/>
  <c r="W130" i="3"/>
  <c r="V130" i="3"/>
  <c r="T130" i="3"/>
  <c r="S130" i="3"/>
  <c r="R130" i="3"/>
  <c r="Q130" i="3"/>
  <c r="V129" i="3"/>
  <c r="T129" i="3"/>
  <c r="S129" i="3"/>
  <c r="W129" i="3" s="1"/>
  <c r="R129" i="3"/>
  <c r="Q129" i="3"/>
  <c r="V128" i="3"/>
  <c r="T128" i="3"/>
  <c r="S128" i="3"/>
  <c r="W128" i="3" s="1"/>
  <c r="R128" i="3"/>
  <c r="Q128" i="3"/>
  <c r="V127" i="3"/>
  <c r="T127" i="3"/>
  <c r="S127" i="3"/>
  <c r="W127" i="3" s="1"/>
  <c r="R127" i="3"/>
  <c r="Q127" i="3"/>
  <c r="W126" i="3"/>
  <c r="V126" i="3"/>
  <c r="T126" i="3"/>
  <c r="S126" i="3"/>
  <c r="R126" i="3"/>
  <c r="Q126" i="3"/>
  <c r="V125" i="3"/>
  <c r="T125" i="3"/>
  <c r="S125" i="3"/>
  <c r="W125" i="3" s="1"/>
  <c r="R125" i="3"/>
  <c r="Q125" i="3"/>
  <c r="V124" i="3"/>
  <c r="T124" i="3"/>
  <c r="S124" i="3"/>
  <c r="W124" i="3" s="1"/>
  <c r="R124" i="3"/>
  <c r="Q124" i="3"/>
  <c r="V123" i="3"/>
  <c r="T123" i="3"/>
  <c r="S123" i="3"/>
  <c r="W123" i="3" s="1"/>
  <c r="R123" i="3"/>
  <c r="Q123" i="3"/>
  <c r="W122" i="3"/>
  <c r="V122" i="3"/>
  <c r="T122" i="3"/>
  <c r="S122" i="3"/>
  <c r="R122" i="3"/>
  <c r="Q122" i="3"/>
  <c r="V121" i="3"/>
  <c r="T121" i="3"/>
  <c r="S121" i="3"/>
  <c r="W121" i="3" s="1"/>
  <c r="R121" i="3"/>
  <c r="Q121" i="3"/>
  <c r="V120" i="3"/>
  <c r="T120" i="3"/>
  <c r="S120" i="3"/>
  <c r="W120" i="3" s="1"/>
  <c r="R120" i="3"/>
  <c r="Q120" i="3"/>
  <c r="V119" i="3"/>
  <c r="T119" i="3"/>
  <c r="S119" i="3"/>
  <c r="W119" i="3" s="1"/>
  <c r="R119" i="3"/>
  <c r="Q119" i="3"/>
  <c r="W118" i="3"/>
  <c r="V118" i="3"/>
  <c r="T118" i="3"/>
  <c r="S118" i="3"/>
  <c r="R118" i="3"/>
  <c r="Q118" i="3"/>
  <c r="V117" i="3"/>
  <c r="T117" i="3"/>
  <c r="S117" i="3"/>
  <c r="W117" i="3" s="1"/>
  <c r="R117" i="3"/>
  <c r="Q117" i="3"/>
  <c r="V116" i="3"/>
  <c r="T116" i="3"/>
  <c r="S116" i="3"/>
  <c r="W116" i="3" s="1"/>
  <c r="R116" i="3"/>
  <c r="Q116" i="3"/>
  <c r="V115" i="3"/>
  <c r="T115" i="3"/>
  <c r="S115" i="3"/>
  <c r="W115" i="3" s="1"/>
  <c r="R115" i="3"/>
  <c r="Q115" i="3"/>
  <c r="W114" i="3"/>
  <c r="V114" i="3"/>
  <c r="T114" i="3"/>
  <c r="S114" i="3"/>
  <c r="R114" i="3"/>
  <c r="Q114" i="3"/>
  <c r="V113" i="3"/>
  <c r="T113" i="3"/>
  <c r="S113" i="3"/>
  <c r="W113" i="3" s="1"/>
  <c r="R113" i="3"/>
  <c r="Q113" i="3"/>
  <c r="V112" i="3"/>
  <c r="T112" i="3"/>
  <c r="S112" i="3"/>
  <c r="W112" i="3" s="1"/>
  <c r="R112" i="3"/>
  <c r="Q112" i="3"/>
  <c r="V111" i="3"/>
  <c r="T111" i="3"/>
  <c r="S111" i="3"/>
  <c r="W111" i="3" s="1"/>
  <c r="R111" i="3"/>
  <c r="Q111" i="3"/>
  <c r="W110" i="3"/>
  <c r="V110" i="3"/>
  <c r="T110" i="3"/>
  <c r="S110" i="3"/>
  <c r="R110" i="3"/>
  <c r="Q110" i="3"/>
  <c r="V109" i="3"/>
  <c r="T109" i="3"/>
  <c r="S109" i="3"/>
  <c r="W109" i="3" s="1"/>
  <c r="R109" i="3"/>
  <c r="Q109" i="3"/>
  <c r="V108" i="3"/>
  <c r="T108" i="3"/>
  <c r="S108" i="3"/>
  <c r="W108" i="3" s="1"/>
  <c r="R108" i="3"/>
  <c r="Q108" i="3"/>
  <c r="V107" i="3"/>
  <c r="T107" i="3"/>
  <c r="S107" i="3"/>
  <c r="W107" i="3" s="1"/>
  <c r="R107" i="3"/>
  <c r="Q107" i="3"/>
  <c r="W106" i="3"/>
  <c r="V106" i="3"/>
  <c r="T106" i="3"/>
  <c r="S106" i="3"/>
  <c r="R106" i="3"/>
  <c r="Q106" i="3"/>
  <c r="V105" i="3"/>
  <c r="T105" i="3"/>
  <c r="S105" i="3"/>
  <c r="W105" i="3" s="1"/>
  <c r="R105" i="3"/>
  <c r="Q105" i="3"/>
  <c r="V104" i="3"/>
  <c r="T104" i="3"/>
  <c r="S104" i="3"/>
  <c r="W104" i="3" s="1"/>
  <c r="R104" i="3"/>
  <c r="Q104" i="3"/>
  <c r="V103" i="3"/>
  <c r="T103" i="3"/>
  <c r="S103" i="3"/>
  <c r="W103" i="3" s="1"/>
  <c r="R103" i="3"/>
  <c r="Q103" i="3"/>
  <c r="W102" i="3"/>
  <c r="V102" i="3"/>
  <c r="T102" i="3"/>
  <c r="S102" i="3"/>
  <c r="R102" i="3"/>
  <c r="Q102" i="3"/>
  <c r="V101" i="3"/>
  <c r="T101" i="3"/>
  <c r="S101" i="3"/>
  <c r="W101" i="3" s="1"/>
  <c r="R101" i="3"/>
  <c r="Q101" i="3"/>
  <c r="V100" i="3"/>
  <c r="T100" i="3"/>
  <c r="S100" i="3"/>
  <c r="W100" i="3" s="1"/>
  <c r="R100" i="3"/>
  <c r="Q100" i="3"/>
  <c r="V99" i="3"/>
  <c r="T99" i="3"/>
  <c r="S99" i="3"/>
  <c r="W99" i="3" s="1"/>
  <c r="R99" i="3"/>
  <c r="Q99" i="3"/>
  <c r="W98" i="3"/>
  <c r="V98" i="3"/>
  <c r="T98" i="3"/>
  <c r="S98" i="3"/>
  <c r="R98" i="3"/>
  <c r="Q98" i="3"/>
  <c r="V97" i="3"/>
  <c r="T97" i="3"/>
  <c r="S97" i="3"/>
  <c r="W97" i="3" s="1"/>
  <c r="R97" i="3"/>
  <c r="Q97" i="3"/>
  <c r="V96" i="3"/>
  <c r="T96" i="3"/>
  <c r="S96" i="3"/>
  <c r="W96" i="3" s="1"/>
  <c r="R96" i="3"/>
  <c r="Q96" i="3"/>
  <c r="V95" i="3"/>
  <c r="T95" i="3"/>
  <c r="S95" i="3"/>
  <c r="W95" i="3" s="1"/>
  <c r="R95" i="3"/>
  <c r="Q95" i="3"/>
  <c r="W94" i="3"/>
  <c r="V94" i="3"/>
  <c r="T94" i="3"/>
  <c r="S94" i="3"/>
  <c r="R94" i="3"/>
  <c r="Q94" i="3"/>
  <c r="V93" i="3"/>
  <c r="T93" i="3"/>
  <c r="S93" i="3"/>
  <c r="W93" i="3" s="1"/>
  <c r="R93" i="3"/>
  <c r="Q93" i="3"/>
  <c r="V92" i="3"/>
  <c r="T92" i="3"/>
  <c r="S92" i="3"/>
  <c r="W92" i="3" s="1"/>
  <c r="R92" i="3"/>
  <c r="Q92" i="3"/>
  <c r="V91" i="3"/>
  <c r="T91" i="3"/>
  <c r="S91" i="3"/>
  <c r="W91" i="3" s="1"/>
  <c r="R91" i="3"/>
  <c r="Q91" i="3"/>
  <c r="W90" i="3"/>
  <c r="V90" i="3"/>
  <c r="T90" i="3"/>
  <c r="S90" i="3"/>
  <c r="R90" i="3"/>
  <c r="Q90" i="3"/>
  <c r="V89" i="3"/>
  <c r="T89" i="3"/>
  <c r="S89" i="3"/>
  <c r="W89" i="3" s="1"/>
  <c r="R89" i="3"/>
  <c r="Q89" i="3"/>
  <c r="V88" i="3"/>
  <c r="T88" i="3"/>
  <c r="S88" i="3"/>
  <c r="W88" i="3" s="1"/>
  <c r="R88" i="3"/>
  <c r="Q88" i="3"/>
  <c r="V87" i="3"/>
  <c r="T87" i="3"/>
  <c r="S87" i="3"/>
  <c r="W87" i="3" s="1"/>
  <c r="R87" i="3"/>
  <c r="Q87" i="3"/>
  <c r="W86" i="3"/>
  <c r="V86" i="3"/>
  <c r="T86" i="3"/>
  <c r="S86" i="3"/>
  <c r="R86" i="3"/>
  <c r="Q86" i="3"/>
  <c r="V85" i="3"/>
  <c r="T85" i="3"/>
  <c r="S85" i="3"/>
  <c r="W85" i="3" s="1"/>
  <c r="R85" i="3"/>
  <c r="Q85" i="3"/>
  <c r="V84" i="3"/>
  <c r="T84" i="3"/>
  <c r="S84" i="3"/>
  <c r="W84" i="3" s="1"/>
  <c r="R84" i="3"/>
  <c r="Q84" i="3"/>
  <c r="V83" i="3"/>
  <c r="T83" i="3"/>
  <c r="S83" i="3"/>
  <c r="W83" i="3" s="1"/>
  <c r="R83" i="3"/>
  <c r="Q83" i="3"/>
  <c r="W82" i="3"/>
  <c r="V82" i="3"/>
  <c r="T82" i="3"/>
  <c r="S82" i="3"/>
  <c r="R82" i="3"/>
  <c r="Q82" i="3"/>
  <c r="V81" i="3"/>
  <c r="T81" i="3"/>
  <c r="S81" i="3"/>
  <c r="W81" i="3" s="1"/>
  <c r="R81" i="3"/>
  <c r="Q81" i="3"/>
  <c r="V80" i="3"/>
  <c r="T80" i="3"/>
  <c r="S80" i="3"/>
  <c r="W80" i="3" s="1"/>
  <c r="R80" i="3"/>
  <c r="Q80" i="3"/>
  <c r="V79" i="3"/>
  <c r="T79" i="3"/>
  <c r="S79" i="3"/>
  <c r="W79" i="3" s="1"/>
  <c r="R79" i="3"/>
  <c r="Q79" i="3"/>
  <c r="W78" i="3"/>
  <c r="V78" i="3"/>
  <c r="T78" i="3"/>
  <c r="S78" i="3"/>
  <c r="R78" i="3"/>
  <c r="Q78" i="3"/>
  <c r="V77" i="3"/>
  <c r="T77" i="3"/>
  <c r="S77" i="3"/>
  <c r="W77" i="3" s="1"/>
  <c r="R77" i="3"/>
  <c r="Q77" i="3"/>
  <c r="V76" i="3"/>
  <c r="T76" i="3"/>
  <c r="S76" i="3"/>
  <c r="W76" i="3" s="1"/>
  <c r="R76" i="3"/>
  <c r="Q76" i="3"/>
  <c r="V75" i="3"/>
  <c r="T75" i="3"/>
  <c r="S75" i="3"/>
  <c r="W75" i="3" s="1"/>
  <c r="R75" i="3"/>
  <c r="Q75" i="3"/>
  <c r="W74" i="3"/>
  <c r="V74" i="3"/>
  <c r="T74" i="3"/>
  <c r="S74" i="3"/>
  <c r="R74" i="3"/>
  <c r="Q74" i="3"/>
  <c r="V73" i="3"/>
  <c r="T73" i="3"/>
  <c r="S73" i="3"/>
  <c r="W73" i="3" s="1"/>
  <c r="R73" i="3"/>
  <c r="Q73" i="3"/>
  <c r="V72" i="3"/>
  <c r="T72" i="3"/>
  <c r="S72" i="3"/>
  <c r="W72" i="3" s="1"/>
  <c r="R72" i="3"/>
  <c r="Q72" i="3"/>
  <c r="V71" i="3"/>
  <c r="T71" i="3"/>
  <c r="S71" i="3"/>
  <c r="W71" i="3" s="1"/>
  <c r="R71" i="3"/>
  <c r="Q71" i="3"/>
  <c r="W70" i="3"/>
  <c r="V70" i="3"/>
  <c r="T70" i="3"/>
  <c r="S70" i="3"/>
  <c r="R70" i="3"/>
  <c r="Q70" i="3"/>
  <c r="V69" i="3"/>
  <c r="T69" i="3"/>
  <c r="S69" i="3"/>
  <c r="W69" i="3" s="1"/>
  <c r="R69" i="3"/>
  <c r="Q69" i="3"/>
  <c r="V68" i="3"/>
  <c r="T68" i="3"/>
  <c r="S68" i="3"/>
  <c r="W68" i="3" s="1"/>
  <c r="R68" i="3"/>
  <c r="Q68" i="3"/>
  <c r="V67" i="3"/>
  <c r="T67" i="3"/>
  <c r="S67" i="3"/>
  <c r="W67" i="3" s="1"/>
  <c r="R67" i="3"/>
  <c r="Q67" i="3"/>
  <c r="W66" i="3"/>
  <c r="V66" i="3"/>
  <c r="T66" i="3"/>
  <c r="S66" i="3"/>
  <c r="R66" i="3"/>
  <c r="Q66" i="3"/>
  <c r="V65" i="3"/>
  <c r="T65" i="3"/>
  <c r="S65" i="3"/>
  <c r="W65" i="3" s="1"/>
  <c r="R65" i="3"/>
  <c r="Q65" i="3"/>
  <c r="V64" i="3"/>
  <c r="T64" i="3"/>
  <c r="S64" i="3"/>
  <c r="W64" i="3" s="1"/>
  <c r="R64" i="3"/>
  <c r="Q64" i="3"/>
  <c r="V63" i="3"/>
  <c r="T63" i="3"/>
  <c r="S63" i="3"/>
  <c r="W63" i="3" s="1"/>
  <c r="R63" i="3"/>
  <c r="Q63" i="3"/>
  <c r="W62" i="3"/>
  <c r="V62" i="3"/>
  <c r="T62" i="3"/>
  <c r="S62" i="3"/>
  <c r="R62" i="3"/>
  <c r="Q62" i="3"/>
  <c r="V61" i="3"/>
  <c r="T61" i="3"/>
  <c r="S61" i="3"/>
  <c r="W61" i="3" s="1"/>
  <c r="R61" i="3"/>
  <c r="Q61" i="3"/>
  <c r="V60" i="3"/>
  <c r="T60" i="3"/>
  <c r="S60" i="3"/>
  <c r="W60" i="3" s="1"/>
  <c r="R60" i="3"/>
  <c r="Q60" i="3"/>
  <c r="V59" i="3"/>
  <c r="T59" i="3"/>
  <c r="S59" i="3"/>
  <c r="W59" i="3" s="1"/>
  <c r="R59" i="3"/>
  <c r="Q59" i="3"/>
  <c r="V58" i="3"/>
  <c r="T58" i="3"/>
  <c r="S58" i="3"/>
  <c r="W58" i="3" s="1"/>
  <c r="R58" i="3"/>
  <c r="Q58" i="3"/>
  <c r="V57" i="3"/>
  <c r="T57" i="3"/>
  <c r="S57" i="3"/>
  <c r="W57" i="3" s="1"/>
  <c r="R57" i="3"/>
  <c r="Q57" i="3"/>
  <c r="V56" i="3"/>
  <c r="T56" i="3"/>
  <c r="S56" i="3"/>
  <c r="W56" i="3" s="1"/>
  <c r="R56" i="3"/>
  <c r="Q56" i="3"/>
  <c r="V55" i="3"/>
  <c r="T55" i="3"/>
  <c r="S55" i="3"/>
  <c r="W55" i="3" s="1"/>
  <c r="R55" i="3"/>
  <c r="Q55" i="3"/>
  <c r="W54" i="3"/>
  <c r="V54" i="3"/>
  <c r="T54" i="3"/>
  <c r="S54" i="3"/>
  <c r="R54" i="3"/>
  <c r="Q54" i="3"/>
  <c r="V53" i="3"/>
  <c r="T53" i="3"/>
  <c r="S53" i="3"/>
  <c r="W53" i="3" s="1"/>
  <c r="R53" i="3"/>
  <c r="Q53" i="3"/>
  <c r="V52" i="3"/>
  <c r="T52" i="3"/>
  <c r="S52" i="3"/>
  <c r="W52" i="3" s="1"/>
  <c r="R52" i="3"/>
  <c r="Q52" i="3"/>
  <c r="V51" i="3"/>
  <c r="T51" i="3"/>
  <c r="S51" i="3"/>
  <c r="W51" i="3" s="1"/>
  <c r="R51" i="3"/>
  <c r="Q51" i="3"/>
  <c r="V50" i="3"/>
  <c r="T50" i="3"/>
  <c r="S50" i="3"/>
  <c r="W50" i="3" s="1"/>
  <c r="R50" i="3"/>
  <c r="Q50" i="3"/>
  <c r="V49" i="3"/>
  <c r="T49" i="3"/>
  <c r="S49" i="3"/>
  <c r="W49" i="3" s="1"/>
  <c r="R49" i="3"/>
  <c r="Q49" i="3"/>
  <c r="V48" i="3"/>
  <c r="T48" i="3"/>
  <c r="S48" i="3"/>
  <c r="W48" i="3" s="1"/>
  <c r="R48" i="3"/>
  <c r="Q48" i="3"/>
  <c r="V47" i="3"/>
  <c r="T47" i="3"/>
  <c r="S47" i="3"/>
  <c r="W47" i="3" s="1"/>
  <c r="R47" i="3"/>
  <c r="Q47" i="3"/>
  <c r="W46" i="3"/>
  <c r="V46" i="3"/>
  <c r="T46" i="3"/>
  <c r="S46" i="3"/>
  <c r="R46" i="3"/>
  <c r="Q46" i="3"/>
  <c r="V45" i="3"/>
  <c r="T45" i="3"/>
  <c r="S45" i="3"/>
  <c r="W45" i="3" s="1"/>
  <c r="R45" i="3"/>
  <c r="Q45" i="3"/>
  <c r="V44" i="3"/>
  <c r="T44" i="3"/>
  <c r="S44" i="3"/>
  <c r="W44" i="3" s="1"/>
  <c r="R44" i="3"/>
  <c r="Q44" i="3"/>
  <c r="V43" i="3"/>
  <c r="T43" i="3"/>
  <c r="S43" i="3"/>
  <c r="W43" i="3" s="1"/>
  <c r="R43" i="3"/>
  <c r="Q43" i="3"/>
  <c r="V42" i="3"/>
  <c r="T42" i="3"/>
  <c r="S42" i="3"/>
  <c r="W42" i="3" s="1"/>
  <c r="R42" i="3"/>
  <c r="Q42" i="3"/>
  <c r="V41" i="3"/>
  <c r="T41" i="3"/>
  <c r="S41" i="3"/>
  <c r="W41" i="3" s="1"/>
  <c r="R41" i="3"/>
  <c r="Q41" i="3"/>
  <c r="V40" i="3"/>
  <c r="T40" i="3"/>
  <c r="S40" i="3"/>
  <c r="W40" i="3" s="1"/>
  <c r="R40" i="3"/>
  <c r="Q40" i="3"/>
  <c r="V39" i="3"/>
  <c r="T39" i="3"/>
  <c r="S39" i="3"/>
  <c r="W39" i="3" s="1"/>
  <c r="R39" i="3"/>
  <c r="Q39" i="3"/>
  <c r="W38" i="3"/>
  <c r="V38" i="3"/>
  <c r="T38" i="3"/>
  <c r="S38" i="3"/>
  <c r="R38" i="3"/>
  <c r="Q38" i="3"/>
  <c r="V37" i="3"/>
  <c r="T37" i="3"/>
  <c r="S37" i="3"/>
  <c r="W37" i="3" s="1"/>
  <c r="R37" i="3"/>
  <c r="Q37" i="3"/>
  <c r="V36" i="3"/>
  <c r="T36" i="3"/>
  <c r="S36" i="3"/>
  <c r="W36" i="3" s="1"/>
  <c r="R36" i="3"/>
  <c r="Q36" i="3"/>
  <c r="V35" i="3"/>
  <c r="T35" i="3"/>
  <c r="S35" i="3"/>
  <c r="W35" i="3" s="1"/>
  <c r="R35" i="3"/>
  <c r="Q35" i="3"/>
  <c r="V34" i="3"/>
  <c r="T34" i="3"/>
  <c r="S34" i="3"/>
  <c r="W34" i="3" s="1"/>
  <c r="R34" i="3"/>
  <c r="Q34" i="3"/>
  <c r="V33" i="3"/>
  <c r="T33" i="3"/>
  <c r="S33" i="3"/>
  <c r="W33" i="3" s="1"/>
  <c r="R33" i="3"/>
  <c r="Q33" i="3"/>
  <c r="V32" i="3"/>
  <c r="T32" i="3"/>
  <c r="S32" i="3"/>
  <c r="W32" i="3" s="1"/>
  <c r="R32" i="3"/>
  <c r="Q32" i="3"/>
  <c r="V31" i="3"/>
  <c r="T31" i="3"/>
  <c r="S31" i="3"/>
  <c r="W31" i="3" s="1"/>
  <c r="R31" i="3"/>
  <c r="Q31" i="3"/>
  <c r="W30" i="3"/>
  <c r="V30" i="3"/>
  <c r="T30" i="3"/>
  <c r="S30" i="3"/>
  <c r="R30" i="3"/>
  <c r="Q30" i="3"/>
  <c r="V29" i="3"/>
  <c r="T29" i="3"/>
  <c r="S29" i="3"/>
  <c r="W29" i="3" s="1"/>
  <c r="R29" i="3"/>
  <c r="Q29" i="3"/>
  <c r="V28" i="3"/>
  <c r="T28" i="3"/>
  <c r="S28" i="3"/>
  <c r="W28" i="3" s="1"/>
  <c r="R28" i="3"/>
  <c r="Q28" i="3"/>
  <c r="V27" i="3"/>
  <c r="T27" i="3"/>
  <c r="S27" i="3"/>
  <c r="W27" i="3" s="1"/>
  <c r="R27" i="3"/>
  <c r="Q27" i="3"/>
  <c r="V26" i="3"/>
  <c r="T26" i="3"/>
  <c r="S26" i="3"/>
  <c r="W26" i="3" s="1"/>
  <c r="R26" i="3"/>
  <c r="Q26" i="3"/>
  <c r="V25" i="3"/>
  <c r="T25" i="3"/>
  <c r="S25" i="3"/>
  <c r="W25" i="3" s="1"/>
  <c r="R25" i="3"/>
  <c r="Q25" i="3"/>
  <c r="V24" i="3"/>
  <c r="T24" i="3"/>
  <c r="S24" i="3"/>
  <c r="W24" i="3" s="1"/>
  <c r="R24" i="3"/>
  <c r="Q24" i="3"/>
  <c r="V23" i="3"/>
  <c r="T23" i="3"/>
  <c r="S23" i="3"/>
  <c r="W23" i="3" s="1"/>
  <c r="R23" i="3"/>
  <c r="Q23" i="3"/>
  <c r="V22" i="3"/>
  <c r="T22" i="3"/>
  <c r="S22" i="3"/>
  <c r="W22" i="3" s="1"/>
  <c r="R22" i="3"/>
  <c r="Q22" i="3"/>
  <c r="V21" i="3"/>
  <c r="T21" i="3"/>
  <c r="S21" i="3"/>
  <c r="W21" i="3" s="1"/>
  <c r="R21" i="3"/>
  <c r="Q21" i="3"/>
  <c r="V20" i="3"/>
  <c r="T20" i="3"/>
  <c r="S20" i="3"/>
  <c r="W20" i="3" s="1"/>
  <c r="R20" i="3"/>
  <c r="Q20" i="3"/>
  <c r="V19" i="3"/>
  <c r="T19" i="3"/>
  <c r="S19" i="3"/>
  <c r="W19" i="3" s="1"/>
  <c r="R19" i="3"/>
  <c r="Q19" i="3"/>
  <c r="V18" i="3"/>
  <c r="T18" i="3"/>
  <c r="S18" i="3"/>
  <c r="W18" i="3" s="1"/>
  <c r="R18" i="3"/>
  <c r="Q18" i="3"/>
  <c r="V17" i="3"/>
  <c r="T17" i="3"/>
  <c r="S17" i="3"/>
  <c r="W17" i="3" s="1"/>
  <c r="R17" i="3"/>
  <c r="Q17" i="3"/>
  <c r="V16" i="3"/>
  <c r="T16" i="3"/>
  <c r="S16" i="3"/>
  <c r="W16" i="3" s="1"/>
  <c r="R16" i="3"/>
  <c r="Q16" i="3"/>
  <c r="V15" i="3"/>
  <c r="T15" i="3"/>
  <c r="S15" i="3"/>
  <c r="W15" i="3" s="1"/>
  <c r="R15" i="3"/>
  <c r="Q15" i="3"/>
  <c r="V14" i="3"/>
  <c r="T14" i="3"/>
  <c r="S14" i="3"/>
  <c r="W14" i="3" s="1"/>
  <c r="R14" i="3"/>
  <c r="Q14" i="3"/>
  <c r="V13" i="3"/>
  <c r="T13" i="3"/>
  <c r="S13" i="3"/>
  <c r="W13" i="3" s="1"/>
  <c r="R13" i="3"/>
  <c r="Q13" i="3"/>
  <c r="V12" i="3"/>
  <c r="T12" i="3"/>
  <c r="S12" i="3"/>
  <c r="W12" i="3" s="1"/>
  <c r="R12" i="3"/>
  <c r="Q12" i="3"/>
  <c r="V11" i="3"/>
  <c r="T11" i="3"/>
  <c r="S11" i="3"/>
  <c r="W11" i="3" s="1"/>
  <c r="R11" i="3"/>
  <c r="Q11" i="3"/>
  <c r="V10" i="3"/>
  <c r="T10" i="3"/>
  <c r="S10" i="3"/>
  <c r="W10" i="3" s="1"/>
  <c r="R10" i="3"/>
  <c r="Q10" i="3"/>
  <c r="V9" i="3"/>
  <c r="T9" i="3"/>
  <c r="S9" i="3"/>
  <c r="W9" i="3" s="1"/>
  <c r="R9" i="3"/>
  <c r="Q9" i="3"/>
  <c r="V8" i="3"/>
  <c r="T8" i="3"/>
  <c r="S8" i="3"/>
  <c r="W8" i="3" s="1"/>
  <c r="R8" i="3"/>
  <c r="Q8" i="3"/>
  <c r="V7" i="3"/>
  <c r="T7" i="3"/>
  <c r="S7" i="3"/>
  <c r="W7" i="3" s="1"/>
  <c r="R7" i="3"/>
  <c r="Q7" i="3"/>
  <c r="V6" i="3"/>
  <c r="T6" i="3"/>
  <c r="S6" i="3"/>
  <c r="W6" i="3" s="1"/>
  <c r="R6" i="3"/>
  <c r="Q6" i="3"/>
  <c r="V5" i="3"/>
  <c r="T5" i="3"/>
  <c r="S5" i="3"/>
  <c r="W5" i="3" s="1"/>
  <c r="R5" i="3"/>
  <c r="Q5" i="3"/>
  <c r="V4" i="3"/>
  <c r="T4" i="3"/>
  <c r="S4" i="3"/>
  <c r="W4" i="3" s="1"/>
  <c r="R4" i="3"/>
  <c r="Q4" i="3"/>
  <c r="V3" i="3"/>
  <c r="T3" i="3"/>
  <c r="S3" i="3"/>
  <c r="W3" i="3" s="1"/>
  <c r="R3" i="3"/>
  <c r="Q3" i="3"/>
  <c r="V2" i="3"/>
  <c r="T2" i="3"/>
  <c r="S2" i="3"/>
  <c r="W2" i="3" s="1"/>
  <c r="R2" i="3"/>
  <c r="Q2" i="3"/>
  <c r="V214" i="1"/>
  <c r="T214" i="1"/>
  <c r="S214" i="1"/>
  <c r="W214" i="1" s="1"/>
  <c r="R214" i="1"/>
  <c r="Q214" i="1"/>
  <c r="V213" i="1"/>
  <c r="T213" i="1"/>
  <c r="S213" i="1"/>
  <c r="W213" i="1" s="1"/>
  <c r="R213" i="1"/>
  <c r="Q213" i="1"/>
  <c r="V212" i="1"/>
  <c r="T212" i="1"/>
  <c r="S212" i="1"/>
  <c r="W212" i="1" s="1"/>
  <c r="R212" i="1"/>
  <c r="Q212" i="1"/>
  <c r="V211" i="1"/>
  <c r="T211" i="1"/>
  <c r="S211" i="1"/>
  <c r="W211" i="1" s="1"/>
  <c r="R211" i="1"/>
  <c r="Q211" i="1"/>
  <c r="V210" i="1"/>
  <c r="T210" i="1"/>
  <c r="S210" i="1"/>
  <c r="W210" i="1" s="1"/>
  <c r="R210" i="1"/>
  <c r="Q210" i="1"/>
  <c r="V209" i="1"/>
  <c r="T209" i="1"/>
  <c r="S209" i="1"/>
  <c r="W209" i="1" s="1"/>
  <c r="R209" i="1"/>
  <c r="Q209" i="1"/>
  <c r="V208" i="1"/>
  <c r="T208" i="1"/>
  <c r="S208" i="1"/>
  <c r="W208" i="1" s="1"/>
  <c r="R208" i="1"/>
  <c r="Q208" i="1"/>
  <c r="V207" i="1"/>
  <c r="T207" i="1"/>
  <c r="S207" i="1"/>
  <c r="W207" i="1" s="1"/>
  <c r="R207" i="1"/>
  <c r="Q207" i="1"/>
  <c r="V206" i="1"/>
  <c r="T206" i="1"/>
  <c r="S206" i="1"/>
  <c r="W206" i="1" s="1"/>
  <c r="R206" i="1"/>
  <c r="Q206" i="1"/>
  <c r="V205" i="1"/>
  <c r="T205" i="1"/>
  <c r="S205" i="1"/>
  <c r="W205" i="1" s="1"/>
  <c r="R205" i="1"/>
  <c r="Q205" i="1"/>
  <c r="V204" i="1"/>
  <c r="T204" i="1"/>
  <c r="S204" i="1"/>
  <c r="W204" i="1" s="1"/>
  <c r="R204" i="1"/>
  <c r="Q204" i="1"/>
  <c r="V203" i="1"/>
  <c r="T203" i="1"/>
  <c r="S203" i="1"/>
  <c r="W203" i="1" s="1"/>
  <c r="R203" i="1"/>
  <c r="Q203" i="1"/>
  <c r="V202" i="1"/>
  <c r="T202" i="1"/>
  <c r="S202" i="1"/>
  <c r="W202" i="1" s="1"/>
  <c r="R202" i="1"/>
  <c r="Q202" i="1"/>
  <c r="V201" i="1"/>
  <c r="T201" i="1"/>
  <c r="S201" i="1"/>
  <c r="W201" i="1" s="1"/>
  <c r="R201" i="1"/>
  <c r="Q201" i="1"/>
  <c r="V200" i="1"/>
  <c r="T200" i="1"/>
  <c r="S200" i="1"/>
  <c r="W200" i="1" s="1"/>
  <c r="R200" i="1"/>
  <c r="Q200" i="1"/>
  <c r="V199" i="1"/>
  <c r="T199" i="1"/>
  <c r="S199" i="1"/>
  <c r="W199" i="1" s="1"/>
  <c r="R199" i="1"/>
  <c r="Q199" i="1"/>
  <c r="V198" i="1"/>
  <c r="T198" i="1"/>
  <c r="S198" i="1"/>
  <c r="W198" i="1" s="1"/>
  <c r="R198" i="1"/>
  <c r="Q198" i="1"/>
  <c r="V197" i="1"/>
  <c r="T197" i="1"/>
  <c r="S197" i="1"/>
  <c r="W197" i="1" s="1"/>
  <c r="R197" i="1"/>
  <c r="Q197" i="1"/>
  <c r="V196" i="1"/>
  <c r="T196" i="1"/>
  <c r="S196" i="1"/>
  <c r="W196" i="1" s="1"/>
  <c r="R196" i="1"/>
  <c r="Q196" i="1"/>
  <c r="V195" i="1"/>
  <c r="T195" i="1"/>
  <c r="S195" i="1"/>
  <c r="W195" i="1" s="1"/>
  <c r="R195" i="1"/>
  <c r="Q195" i="1"/>
  <c r="V194" i="1"/>
  <c r="T194" i="1"/>
  <c r="S194" i="1"/>
  <c r="W194" i="1" s="1"/>
  <c r="R194" i="1"/>
  <c r="Q194" i="1"/>
  <c r="V193" i="1"/>
  <c r="T193" i="1"/>
  <c r="S193" i="1"/>
  <c r="W193" i="1" s="1"/>
  <c r="R193" i="1"/>
  <c r="Q193" i="1"/>
  <c r="V192" i="1"/>
  <c r="T192" i="1"/>
  <c r="S192" i="1"/>
  <c r="W192" i="1" s="1"/>
  <c r="R192" i="1"/>
  <c r="Q192" i="1"/>
  <c r="V191" i="1"/>
  <c r="T191" i="1"/>
  <c r="S191" i="1"/>
  <c r="W191" i="1" s="1"/>
  <c r="R191" i="1"/>
  <c r="Q191" i="1"/>
  <c r="V190" i="1"/>
  <c r="T190" i="1"/>
  <c r="S190" i="1"/>
  <c r="W190" i="1" s="1"/>
  <c r="R190" i="1"/>
  <c r="Q190" i="1"/>
  <c r="V189" i="1"/>
  <c r="T189" i="1"/>
  <c r="S189" i="1"/>
  <c r="W189" i="1" s="1"/>
  <c r="R189" i="1"/>
  <c r="Q189" i="1"/>
  <c r="V188" i="1"/>
  <c r="T188" i="1"/>
  <c r="S188" i="1"/>
  <c r="W188" i="1" s="1"/>
  <c r="R188" i="1"/>
  <c r="Q188" i="1"/>
  <c r="V187" i="1"/>
  <c r="T187" i="1"/>
  <c r="S187" i="1"/>
  <c r="W187" i="1" s="1"/>
  <c r="R187" i="1"/>
  <c r="Q187" i="1"/>
  <c r="V186" i="1"/>
  <c r="T186" i="1"/>
  <c r="S186" i="1"/>
  <c r="W186" i="1" s="1"/>
  <c r="R186" i="1"/>
  <c r="Q186" i="1"/>
  <c r="V185" i="1"/>
  <c r="T185" i="1"/>
  <c r="S185" i="1"/>
  <c r="W185" i="1" s="1"/>
  <c r="R185" i="1"/>
  <c r="Q185" i="1"/>
  <c r="V184" i="1"/>
  <c r="T184" i="1"/>
  <c r="S184" i="1"/>
  <c r="W184" i="1" s="1"/>
  <c r="R184" i="1"/>
  <c r="Q184" i="1"/>
  <c r="V183" i="1"/>
  <c r="T183" i="1"/>
  <c r="S183" i="1"/>
  <c r="W183" i="1" s="1"/>
  <c r="R183" i="1"/>
  <c r="Q183" i="1"/>
  <c r="V182" i="1"/>
  <c r="T182" i="1"/>
  <c r="S182" i="1"/>
  <c r="W182" i="1" s="1"/>
  <c r="R182" i="1"/>
  <c r="Q182" i="1"/>
  <c r="V181" i="1"/>
  <c r="T181" i="1"/>
  <c r="S181" i="1"/>
  <c r="W181" i="1" s="1"/>
  <c r="R181" i="1"/>
  <c r="Q181" i="1"/>
  <c r="V180" i="1"/>
  <c r="T180" i="1"/>
  <c r="S180" i="1"/>
  <c r="W180" i="1" s="1"/>
  <c r="R180" i="1"/>
  <c r="Q180" i="1"/>
  <c r="V179" i="1"/>
  <c r="T179" i="1"/>
  <c r="S179" i="1"/>
  <c r="W179" i="1" s="1"/>
  <c r="R179" i="1"/>
  <c r="Q179" i="1"/>
  <c r="V178" i="1"/>
  <c r="T178" i="1"/>
  <c r="S178" i="1"/>
  <c r="W178" i="1" s="1"/>
  <c r="R178" i="1"/>
  <c r="Q178" i="1"/>
  <c r="V177" i="1"/>
  <c r="T177" i="1"/>
  <c r="S177" i="1"/>
  <c r="W177" i="1" s="1"/>
  <c r="R177" i="1"/>
  <c r="Q177" i="1"/>
  <c r="V176" i="1"/>
  <c r="T176" i="1"/>
  <c r="S176" i="1"/>
  <c r="W176" i="1" s="1"/>
  <c r="R176" i="1"/>
  <c r="Q176" i="1"/>
  <c r="V175" i="1"/>
  <c r="T175" i="1"/>
  <c r="S175" i="1"/>
  <c r="W175" i="1" s="1"/>
  <c r="R175" i="1"/>
  <c r="Q175" i="1"/>
  <c r="V174" i="1"/>
  <c r="T174" i="1"/>
  <c r="S174" i="1"/>
  <c r="W174" i="1" s="1"/>
  <c r="R174" i="1"/>
  <c r="Q174" i="1"/>
  <c r="V173" i="1"/>
  <c r="T173" i="1"/>
  <c r="S173" i="1"/>
  <c r="W173" i="1" s="1"/>
  <c r="R173" i="1"/>
  <c r="Q173" i="1"/>
  <c r="V172" i="1"/>
  <c r="T172" i="1"/>
  <c r="S172" i="1"/>
  <c r="W172" i="1" s="1"/>
  <c r="R172" i="1"/>
  <c r="Q172" i="1"/>
  <c r="V171" i="1"/>
  <c r="T171" i="1"/>
  <c r="S171" i="1"/>
  <c r="W171" i="1" s="1"/>
  <c r="R171" i="1"/>
  <c r="Q171" i="1"/>
  <c r="V170" i="1"/>
  <c r="T170" i="1"/>
  <c r="S170" i="1"/>
  <c r="W170" i="1" s="1"/>
  <c r="R170" i="1"/>
  <c r="Q170" i="1"/>
  <c r="V169" i="1"/>
  <c r="T169" i="1"/>
  <c r="S169" i="1"/>
  <c r="W169" i="1" s="1"/>
  <c r="R169" i="1"/>
  <c r="Q169" i="1"/>
  <c r="V168" i="1"/>
  <c r="T168" i="1"/>
  <c r="S168" i="1"/>
  <c r="W168" i="1" s="1"/>
  <c r="R168" i="1"/>
  <c r="Q168" i="1"/>
  <c r="V167" i="1"/>
  <c r="T167" i="1"/>
  <c r="S167" i="1"/>
  <c r="W167" i="1" s="1"/>
  <c r="R167" i="1"/>
  <c r="Q167" i="1"/>
  <c r="V166" i="1"/>
  <c r="T166" i="1"/>
  <c r="S166" i="1"/>
  <c r="W166" i="1" s="1"/>
  <c r="R166" i="1"/>
  <c r="Q166" i="1"/>
  <c r="V165" i="1"/>
  <c r="T165" i="1"/>
  <c r="S165" i="1"/>
  <c r="W165" i="1" s="1"/>
  <c r="R165" i="1"/>
  <c r="Q165" i="1"/>
  <c r="V164" i="1"/>
  <c r="T164" i="1"/>
  <c r="S164" i="1"/>
  <c r="W164" i="1" s="1"/>
  <c r="R164" i="1"/>
  <c r="Q164" i="1"/>
  <c r="V163" i="1"/>
  <c r="T163" i="1"/>
  <c r="S163" i="1"/>
  <c r="W163" i="1" s="1"/>
  <c r="R163" i="1"/>
  <c r="Q163" i="1"/>
  <c r="V162" i="1"/>
  <c r="T162" i="1"/>
  <c r="S162" i="1"/>
  <c r="W162" i="1" s="1"/>
  <c r="R162" i="1"/>
  <c r="Q162" i="1"/>
  <c r="V161" i="1"/>
  <c r="T161" i="1"/>
  <c r="S161" i="1"/>
  <c r="W161" i="1" s="1"/>
  <c r="R161" i="1"/>
  <c r="Q161" i="1"/>
  <c r="V160" i="1"/>
  <c r="T160" i="1"/>
  <c r="S160" i="1"/>
  <c r="W160" i="1" s="1"/>
  <c r="R160" i="1"/>
  <c r="Q160" i="1"/>
  <c r="V159" i="1"/>
  <c r="T159" i="1"/>
  <c r="S159" i="1"/>
  <c r="W159" i="1" s="1"/>
  <c r="R159" i="1"/>
  <c r="Q159" i="1"/>
  <c r="V158" i="1"/>
  <c r="T158" i="1"/>
  <c r="S158" i="1"/>
  <c r="W158" i="1" s="1"/>
  <c r="R158" i="1"/>
  <c r="Q158" i="1"/>
  <c r="V157" i="1"/>
  <c r="T157" i="1"/>
  <c r="S157" i="1"/>
  <c r="W157" i="1" s="1"/>
  <c r="R157" i="1"/>
  <c r="Q157" i="1"/>
  <c r="V156" i="1"/>
  <c r="T156" i="1"/>
  <c r="S156" i="1"/>
  <c r="W156" i="1" s="1"/>
  <c r="R156" i="1"/>
  <c r="Q156" i="1"/>
  <c r="V155" i="1"/>
  <c r="T155" i="1"/>
  <c r="S155" i="1"/>
  <c r="W155" i="1" s="1"/>
  <c r="R155" i="1"/>
  <c r="Q155" i="1"/>
  <c r="V154" i="1"/>
  <c r="T154" i="1"/>
  <c r="S154" i="1"/>
  <c r="W154" i="1" s="1"/>
  <c r="R154" i="1"/>
  <c r="Q154" i="1"/>
  <c r="V153" i="1"/>
  <c r="T153" i="1"/>
  <c r="S153" i="1"/>
  <c r="W153" i="1" s="1"/>
  <c r="R153" i="1"/>
  <c r="Q153" i="1"/>
  <c r="V152" i="1"/>
  <c r="T152" i="1"/>
  <c r="S152" i="1"/>
  <c r="W152" i="1" s="1"/>
  <c r="R152" i="1"/>
  <c r="Q152" i="1"/>
  <c r="V151" i="1"/>
  <c r="T151" i="1"/>
  <c r="S151" i="1"/>
  <c r="W151" i="1" s="1"/>
  <c r="R151" i="1"/>
  <c r="Q151" i="1"/>
  <c r="V150" i="1"/>
  <c r="T150" i="1"/>
  <c r="S150" i="1"/>
  <c r="W150" i="1" s="1"/>
  <c r="R150" i="1"/>
  <c r="Q150" i="1"/>
  <c r="V149" i="1"/>
  <c r="T149" i="1"/>
  <c r="S149" i="1"/>
  <c r="W149" i="1" s="1"/>
  <c r="R149" i="1"/>
  <c r="Q149" i="1"/>
  <c r="W148" i="1"/>
  <c r="V148" i="1"/>
  <c r="T148" i="1"/>
  <c r="S148" i="1"/>
  <c r="R148" i="1"/>
  <c r="Q148" i="1"/>
  <c r="W147" i="1"/>
  <c r="V147" i="1"/>
  <c r="T147" i="1"/>
  <c r="S147" i="1"/>
  <c r="R147" i="1"/>
  <c r="Q147" i="1"/>
  <c r="W146" i="1"/>
  <c r="V146" i="1"/>
  <c r="T146" i="1"/>
  <c r="S146" i="1"/>
  <c r="R146" i="1"/>
  <c r="Q146" i="1"/>
  <c r="V145" i="1"/>
  <c r="T145" i="1"/>
  <c r="S145" i="1"/>
  <c r="W145" i="1" s="1"/>
  <c r="R145" i="1"/>
  <c r="Q145" i="1"/>
  <c r="V144" i="1"/>
  <c r="T144" i="1"/>
  <c r="S144" i="1"/>
  <c r="W144" i="1" s="1"/>
  <c r="R144" i="1"/>
  <c r="Q144" i="1"/>
  <c r="V143" i="1"/>
  <c r="T143" i="1"/>
  <c r="S143" i="1"/>
  <c r="W143" i="1" s="1"/>
  <c r="R143" i="1"/>
  <c r="Q143" i="1"/>
  <c r="V142" i="1"/>
  <c r="T142" i="1"/>
  <c r="S142" i="1"/>
  <c r="W142" i="1" s="1"/>
  <c r="R142" i="1"/>
  <c r="Q142" i="1"/>
  <c r="V141" i="1"/>
  <c r="T141" i="1"/>
  <c r="S141" i="1"/>
  <c r="W141" i="1" s="1"/>
  <c r="R141" i="1"/>
  <c r="Q141" i="1"/>
  <c r="W140" i="1"/>
  <c r="V140" i="1"/>
  <c r="T140" i="1"/>
  <c r="S140" i="1"/>
  <c r="R140" i="1"/>
  <c r="Q140" i="1"/>
  <c r="W139" i="1"/>
  <c r="V139" i="1"/>
  <c r="T139" i="1"/>
  <c r="S139" i="1"/>
  <c r="R139" i="1"/>
  <c r="Q139" i="1"/>
  <c r="W138" i="1"/>
  <c r="V138" i="1"/>
  <c r="T138" i="1"/>
  <c r="S138" i="1"/>
  <c r="R138" i="1"/>
  <c r="Q138" i="1"/>
  <c r="V137" i="1"/>
  <c r="T137" i="1"/>
  <c r="S137" i="1"/>
  <c r="W137" i="1" s="1"/>
  <c r="R137" i="1"/>
  <c r="Q137" i="1"/>
  <c r="V136" i="1"/>
  <c r="T136" i="1"/>
  <c r="S136" i="1"/>
  <c r="W136" i="1" s="1"/>
  <c r="R136" i="1"/>
  <c r="Q136" i="1"/>
  <c r="V135" i="1"/>
  <c r="T135" i="1"/>
  <c r="S135" i="1"/>
  <c r="W135" i="1" s="1"/>
  <c r="R135" i="1"/>
  <c r="Q135" i="1"/>
  <c r="V134" i="1"/>
  <c r="T134" i="1"/>
  <c r="S134" i="1"/>
  <c r="W134" i="1" s="1"/>
  <c r="R134" i="1"/>
  <c r="Q134" i="1"/>
  <c r="V133" i="1"/>
  <c r="T133" i="1"/>
  <c r="S133" i="1"/>
  <c r="W133" i="1" s="1"/>
  <c r="R133" i="1"/>
  <c r="Q133" i="1"/>
  <c r="W132" i="1"/>
  <c r="V132" i="1"/>
  <c r="T132" i="1"/>
  <c r="S132" i="1"/>
  <c r="R132" i="1"/>
  <c r="Q132" i="1"/>
  <c r="W131" i="1"/>
  <c r="V131" i="1"/>
  <c r="T131" i="1"/>
  <c r="S131" i="1"/>
  <c r="R131" i="1"/>
  <c r="Q131" i="1"/>
  <c r="W130" i="1"/>
  <c r="V130" i="1"/>
  <c r="T130" i="1"/>
  <c r="S130" i="1"/>
  <c r="R130" i="1"/>
  <c r="Q130" i="1"/>
  <c r="V129" i="1"/>
  <c r="T129" i="1"/>
  <c r="S129" i="1"/>
  <c r="W129" i="1" s="1"/>
  <c r="R129" i="1"/>
  <c r="Q129" i="1"/>
  <c r="V128" i="1"/>
  <c r="T128" i="1"/>
  <c r="S128" i="1"/>
  <c r="W128" i="1" s="1"/>
  <c r="R128" i="1"/>
  <c r="Q128" i="1"/>
  <c r="V127" i="1"/>
  <c r="T127" i="1"/>
  <c r="S127" i="1"/>
  <c r="W127" i="1" s="1"/>
  <c r="R127" i="1"/>
  <c r="Q127" i="1"/>
  <c r="V126" i="1"/>
  <c r="T126" i="1"/>
  <c r="S126" i="1"/>
  <c r="W126" i="1" s="1"/>
  <c r="R126" i="1"/>
  <c r="Q126" i="1"/>
  <c r="V125" i="1"/>
  <c r="T125" i="1"/>
  <c r="S125" i="1"/>
  <c r="W125" i="1" s="1"/>
  <c r="R125" i="1"/>
  <c r="Q125" i="1"/>
  <c r="W124" i="1"/>
  <c r="V124" i="1"/>
  <c r="T124" i="1"/>
  <c r="S124" i="1"/>
  <c r="R124" i="1"/>
  <c r="Q124" i="1"/>
  <c r="W123" i="1"/>
  <c r="V123" i="1"/>
  <c r="T123" i="1"/>
  <c r="S123" i="1"/>
  <c r="R123" i="1"/>
  <c r="Q123" i="1"/>
  <c r="W122" i="1"/>
  <c r="V122" i="1"/>
  <c r="T122" i="1"/>
  <c r="S122" i="1"/>
  <c r="R122" i="1"/>
  <c r="Q122" i="1"/>
  <c r="V121" i="1"/>
  <c r="T121" i="1"/>
  <c r="S121" i="1"/>
  <c r="W121" i="1" s="1"/>
  <c r="R121" i="1"/>
  <c r="Q121" i="1"/>
  <c r="V120" i="1"/>
  <c r="T120" i="1"/>
  <c r="S120" i="1"/>
  <c r="W120" i="1" s="1"/>
  <c r="R120" i="1"/>
  <c r="Q120" i="1"/>
  <c r="V119" i="1"/>
  <c r="T119" i="1"/>
  <c r="S119" i="1"/>
  <c r="W119" i="1" s="1"/>
  <c r="R119" i="1"/>
  <c r="Q119" i="1"/>
  <c r="V118" i="1"/>
  <c r="T118" i="1"/>
  <c r="S118" i="1"/>
  <c r="W118" i="1" s="1"/>
  <c r="R118" i="1"/>
  <c r="Q118" i="1"/>
  <c r="V117" i="1"/>
  <c r="T117" i="1"/>
  <c r="S117" i="1"/>
  <c r="W117" i="1" s="1"/>
  <c r="R117" i="1"/>
  <c r="Q117" i="1"/>
  <c r="W116" i="1"/>
  <c r="V116" i="1"/>
  <c r="T116" i="1"/>
  <c r="S116" i="1"/>
  <c r="R116" i="1"/>
  <c r="Q116" i="1"/>
  <c r="W115" i="1"/>
  <c r="V115" i="1"/>
  <c r="T115" i="1"/>
  <c r="S115" i="1"/>
  <c r="R115" i="1"/>
  <c r="Q115" i="1"/>
  <c r="W114" i="1"/>
  <c r="V114" i="1"/>
  <c r="T114" i="1"/>
  <c r="S114" i="1"/>
  <c r="R114" i="1"/>
  <c r="Q114" i="1"/>
  <c r="V113" i="1"/>
  <c r="T113" i="1"/>
  <c r="S113" i="1"/>
  <c r="W113" i="1" s="1"/>
  <c r="R113" i="1"/>
  <c r="Q113" i="1"/>
  <c r="V112" i="1"/>
  <c r="T112" i="1"/>
  <c r="S112" i="1"/>
  <c r="W112" i="1" s="1"/>
  <c r="R112" i="1"/>
  <c r="Q112" i="1"/>
  <c r="V111" i="1"/>
  <c r="T111" i="1"/>
  <c r="S111" i="1"/>
  <c r="W111" i="1" s="1"/>
  <c r="R111" i="1"/>
  <c r="Q111" i="1"/>
  <c r="V110" i="1"/>
  <c r="T110" i="1"/>
  <c r="S110" i="1"/>
  <c r="W110" i="1" s="1"/>
  <c r="R110" i="1"/>
  <c r="Q110" i="1"/>
  <c r="V109" i="1"/>
  <c r="T109" i="1"/>
  <c r="S109" i="1"/>
  <c r="W109" i="1" s="1"/>
  <c r="R109" i="1"/>
  <c r="Q109" i="1"/>
  <c r="W108" i="1"/>
  <c r="V108" i="1"/>
  <c r="T108" i="1"/>
  <c r="S108" i="1"/>
  <c r="R108" i="1"/>
  <c r="Q108" i="1"/>
  <c r="W107" i="1"/>
  <c r="V107" i="1"/>
  <c r="T107" i="1"/>
  <c r="S107" i="1"/>
  <c r="R107" i="1"/>
  <c r="Q107" i="1"/>
  <c r="W106" i="1"/>
  <c r="V106" i="1"/>
  <c r="T106" i="1"/>
  <c r="S106" i="1"/>
  <c r="R106" i="1"/>
  <c r="Q106" i="1"/>
  <c r="V105" i="1"/>
  <c r="T105" i="1"/>
  <c r="S105" i="1"/>
  <c r="W105" i="1" s="1"/>
  <c r="R105" i="1"/>
  <c r="Q105" i="1"/>
  <c r="V104" i="1"/>
  <c r="T104" i="1"/>
  <c r="S104" i="1"/>
  <c r="W104" i="1" s="1"/>
  <c r="R104" i="1"/>
  <c r="Q104" i="1"/>
  <c r="V103" i="1"/>
  <c r="T103" i="1"/>
  <c r="S103" i="1"/>
  <c r="W103" i="1" s="1"/>
  <c r="R103" i="1"/>
  <c r="Q103" i="1"/>
  <c r="V102" i="1"/>
  <c r="T102" i="1"/>
  <c r="S102" i="1"/>
  <c r="W102" i="1" s="1"/>
  <c r="R102" i="1"/>
  <c r="Q102" i="1"/>
  <c r="V101" i="1"/>
  <c r="T101" i="1"/>
  <c r="S101" i="1"/>
  <c r="W101" i="1" s="1"/>
  <c r="R101" i="1"/>
  <c r="Q101" i="1"/>
  <c r="W100" i="1"/>
  <c r="V100" i="1"/>
  <c r="T100" i="1"/>
  <c r="S100" i="1"/>
  <c r="R100" i="1"/>
  <c r="Q100" i="1"/>
  <c r="W99" i="1"/>
  <c r="V99" i="1"/>
  <c r="T99" i="1"/>
  <c r="S99" i="1"/>
  <c r="R99" i="1"/>
  <c r="Q99" i="1"/>
  <c r="W98" i="1"/>
  <c r="V98" i="1"/>
  <c r="T98" i="1"/>
  <c r="S98" i="1"/>
  <c r="R98" i="1"/>
  <c r="Q98" i="1"/>
  <c r="V97" i="1"/>
  <c r="T97" i="1"/>
  <c r="S97" i="1"/>
  <c r="W97" i="1" s="1"/>
  <c r="R97" i="1"/>
  <c r="Q97" i="1"/>
  <c r="V96" i="1"/>
  <c r="T96" i="1"/>
  <c r="S96" i="1"/>
  <c r="W96" i="1" s="1"/>
  <c r="R96" i="1"/>
  <c r="Q96" i="1"/>
  <c r="V95" i="1"/>
  <c r="T95" i="1"/>
  <c r="S95" i="1"/>
  <c r="W95" i="1" s="1"/>
  <c r="R95" i="1"/>
  <c r="Q95" i="1"/>
  <c r="V94" i="1"/>
  <c r="T94" i="1"/>
  <c r="S94" i="1"/>
  <c r="W94" i="1" s="1"/>
  <c r="R94" i="1"/>
  <c r="Q94" i="1"/>
  <c r="V93" i="1"/>
  <c r="T93" i="1"/>
  <c r="S93" i="1"/>
  <c r="W93" i="1" s="1"/>
  <c r="R93" i="1"/>
  <c r="Q93" i="1"/>
  <c r="W92" i="1"/>
  <c r="V92" i="1"/>
  <c r="T92" i="1"/>
  <c r="S92" i="1"/>
  <c r="R92" i="1"/>
  <c r="Q92" i="1"/>
  <c r="W91" i="1"/>
  <c r="V91" i="1"/>
  <c r="T91" i="1"/>
  <c r="S91" i="1"/>
  <c r="R91" i="1"/>
  <c r="Q91" i="1"/>
  <c r="W90" i="1"/>
  <c r="V90" i="1"/>
  <c r="T90" i="1"/>
  <c r="S90" i="1"/>
  <c r="R90" i="1"/>
  <c r="Q90" i="1"/>
  <c r="W89" i="1"/>
  <c r="V89" i="1"/>
  <c r="T89" i="1"/>
  <c r="S89" i="1"/>
  <c r="R89" i="1"/>
  <c r="Q89" i="1"/>
  <c r="W88" i="1"/>
  <c r="V88" i="1"/>
  <c r="T88" i="1"/>
  <c r="S88" i="1"/>
  <c r="R88" i="1"/>
  <c r="Q88" i="1"/>
  <c r="W87" i="1"/>
  <c r="V87" i="1"/>
  <c r="T87" i="1"/>
  <c r="S87" i="1"/>
  <c r="R87" i="1"/>
  <c r="Q87" i="1"/>
  <c r="W86" i="1"/>
  <c r="V86" i="1"/>
  <c r="T86" i="1"/>
  <c r="S86" i="1"/>
  <c r="R86" i="1"/>
  <c r="Q86" i="1"/>
  <c r="W85" i="1"/>
  <c r="V85" i="1"/>
  <c r="T85" i="1"/>
  <c r="S85" i="1"/>
  <c r="R85" i="1"/>
  <c r="Q85" i="1"/>
  <c r="W84" i="1"/>
  <c r="V84" i="1"/>
  <c r="T84" i="1"/>
  <c r="S84" i="1"/>
  <c r="R84" i="1"/>
  <c r="Q84" i="1"/>
  <c r="W83" i="1"/>
  <c r="V83" i="1"/>
  <c r="T83" i="1"/>
  <c r="S83" i="1"/>
  <c r="R83" i="1"/>
  <c r="Q83" i="1"/>
  <c r="W82" i="1"/>
  <c r="V82" i="1"/>
  <c r="T82" i="1"/>
  <c r="S82" i="1"/>
  <c r="R82" i="1"/>
  <c r="Q82" i="1"/>
  <c r="W81" i="1"/>
  <c r="V81" i="1"/>
  <c r="T81" i="1"/>
  <c r="S81" i="1"/>
  <c r="R81" i="1"/>
  <c r="Q81" i="1"/>
  <c r="W80" i="1"/>
  <c r="V80" i="1"/>
  <c r="T80" i="1"/>
  <c r="S80" i="1"/>
  <c r="R80" i="1"/>
  <c r="Q80" i="1"/>
  <c r="W79" i="1"/>
  <c r="V79" i="1"/>
  <c r="T79" i="1"/>
  <c r="S79" i="1"/>
  <c r="R79" i="1"/>
  <c r="Q79" i="1"/>
  <c r="W78" i="1"/>
  <c r="V78" i="1"/>
  <c r="T78" i="1"/>
  <c r="S78" i="1"/>
  <c r="R78" i="1"/>
  <c r="Q78" i="1"/>
  <c r="W77" i="1"/>
  <c r="V77" i="1"/>
  <c r="T77" i="1"/>
  <c r="S77" i="1"/>
  <c r="R77" i="1"/>
  <c r="Q77" i="1"/>
  <c r="W76" i="1"/>
  <c r="V76" i="1"/>
  <c r="T76" i="1"/>
  <c r="S76" i="1"/>
  <c r="R76" i="1"/>
  <c r="Q76" i="1"/>
  <c r="W75" i="1"/>
  <c r="V75" i="1"/>
  <c r="T75" i="1"/>
  <c r="S75" i="1"/>
  <c r="R75" i="1"/>
  <c r="Q75" i="1"/>
  <c r="W74" i="1"/>
  <c r="V74" i="1"/>
  <c r="T74" i="1"/>
  <c r="S74" i="1"/>
  <c r="R74" i="1"/>
  <c r="Q74" i="1"/>
  <c r="W73" i="1"/>
  <c r="V73" i="1"/>
  <c r="T73" i="1"/>
  <c r="S73" i="1"/>
  <c r="R73" i="1"/>
  <c r="Q73" i="1"/>
  <c r="W72" i="1"/>
  <c r="V72" i="1"/>
  <c r="T72" i="1"/>
  <c r="S72" i="1"/>
  <c r="R72" i="1"/>
  <c r="Q72" i="1"/>
  <c r="W71" i="1"/>
  <c r="V71" i="1"/>
  <c r="T71" i="1"/>
  <c r="S71" i="1"/>
  <c r="R71" i="1"/>
  <c r="Q71" i="1"/>
  <c r="W70" i="1"/>
  <c r="V70" i="1"/>
  <c r="T70" i="1"/>
  <c r="S70" i="1"/>
  <c r="R70" i="1"/>
  <c r="Q70" i="1"/>
  <c r="W69" i="1"/>
  <c r="V69" i="1"/>
  <c r="T69" i="1"/>
  <c r="S69" i="1"/>
  <c r="R69" i="1"/>
  <c r="Q69" i="1"/>
  <c r="W68" i="1"/>
  <c r="V68" i="1"/>
  <c r="T68" i="1"/>
  <c r="S68" i="1"/>
  <c r="R68" i="1"/>
  <c r="Q68" i="1"/>
  <c r="W67" i="1"/>
  <c r="V67" i="1"/>
  <c r="T67" i="1"/>
  <c r="S67" i="1"/>
  <c r="R67" i="1"/>
  <c r="Q67" i="1"/>
  <c r="W66" i="1"/>
  <c r="V66" i="1"/>
  <c r="T66" i="1"/>
  <c r="S66" i="1"/>
  <c r="R66" i="1"/>
  <c r="Q66" i="1"/>
  <c r="W65" i="1"/>
  <c r="V65" i="1"/>
  <c r="T65" i="1"/>
  <c r="S65" i="1"/>
  <c r="R65" i="1"/>
  <c r="Q65" i="1"/>
  <c r="W64" i="1"/>
  <c r="V64" i="1"/>
  <c r="T64" i="1"/>
  <c r="S64" i="1"/>
  <c r="R64" i="1"/>
  <c r="Q64" i="1"/>
  <c r="W63" i="1"/>
  <c r="V63" i="1"/>
  <c r="T63" i="1"/>
  <c r="S63" i="1"/>
  <c r="R63" i="1"/>
  <c r="Q63" i="1"/>
  <c r="W62" i="1"/>
  <c r="V62" i="1"/>
  <c r="T62" i="1"/>
  <c r="S62" i="1"/>
  <c r="R62" i="1"/>
  <c r="Q62" i="1"/>
  <c r="W61" i="1"/>
  <c r="V61" i="1"/>
  <c r="T61" i="1"/>
  <c r="S61" i="1"/>
  <c r="R61" i="1"/>
  <c r="Q61" i="1"/>
  <c r="W60" i="1"/>
  <c r="V60" i="1"/>
  <c r="T60" i="1"/>
  <c r="S60" i="1"/>
  <c r="R60" i="1"/>
  <c r="Q60" i="1"/>
  <c r="W59" i="1"/>
  <c r="V59" i="1"/>
  <c r="T59" i="1"/>
  <c r="S59" i="1"/>
  <c r="R59" i="1"/>
  <c r="Q59" i="1"/>
  <c r="W58" i="1"/>
  <c r="V58" i="1"/>
  <c r="T58" i="1"/>
  <c r="S58" i="1"/>
  <c r="R58" i="1"/>
  <c r="Q58" i="1"/>
  <c r="W57" i="1"/>
  <c r="V57" i="1"/>
  <c r="T57" i="1"/>
  <c r="S57" i="1"/>
  <c r="R57" i="1"/>
  <c r="Q57" i="1"/>
  <c r="W56" i="1"/>
  <c r="V56" i="1"/>
  <c r="T56" i="1"/>
  <c r="S56" i="1"/>
  <c r="R56" i="1"/>
  <c r="Q56" i="1"/>
  <c r="W55" i="1"/>
  <c r="V55" i="1"/>
  <c r="T55" i="1"/>
  <c r="S55" i="1"/>
  <c r="R55" i="1"/>
  <c r="Q55" i="1"/>
  <c r="W54" i="1"/>
  <c r="V54" i="1"/>
  <c r="T54" i="1"/>
  <c r="S54" i="1"/>
  <c r="R54" i="1"/>
  <c r="Q54" i="1"/>
  <c r="W53" i="1"/>
  <c r="V53" i="1"/>
  <c r="T53" i="1"/>
  <c r="S53" i="1"/>
  <c r="R53" i="1"/>
  <c r="Q53" i="1"/>
  <c r="W52" i="1"/>
  <c r="V52" i="1"/>
  <c r="T52" i="1"/>
  <c r="S52" i="1"/>
  <c r="R52" i="1"/>
  <c r="Q52" i="1"/>
  <c r="W51" i="1"/>
  <c r="V51" i="1"/>
  <c r="T51" i="1"/>
  <c r="S51" i="1"/>
  <c r="R51" i="1"/>
  <c r="Q51" i="1"/>
  <c r="W50" i="1"/>
  <c r="V50" i="1"/>
  <c r="T50" i="1"/>
  <c r="S50" i="1"/>
  <c r="R50" i="1"/>
  <c r="Q50" i="1"/>
  <c r="W49" i="1"/>
  <c r="V49" i="1"/>
  <c r="T49" i="1"/>
  <c r="S49" i="1"/>
  <c r="R49" i="1"/>
  <c r="Q49" i="1"/>
  <c r="W48" i="1"/>
  <c r="V48" i="1"/>
  <c r="T48" i="1"/>
  <c r="S48" i="1"/>
  <c r="R48" i="1"/>
  <c r="Q48" i="1"/>
  <c r="W47" i="1"/>
  <c r="V47" i="1"/>
  <c r="T47" i="1"/>
  <c r="S47" i="1"/>
  <c r="R47" i="1"/>
  <c r="Q47" i="1"/>
  <c r="W46" i="1"/>
  <c r="V46" i="1"/>
  <c r="T46" i="1"/>
  <c r="S46" i="1"/>
  <c r="R46" i="1"/>
  <c r="Q46" i="1"/>
  <c r="W45" i="1"/>
  <c r="V45" i="1"/>
  <c r="T45" i="1"/>
  <c r="S45" i="1"/>
  <c r="R45" i="1"/>
  <c r="Q45" i="1"/>
  <c r="W44" i="1"/>
  <c r="V44" i="1"/>
  <c r="T44" i="1"/>
  <c r="S44" i="1"/>
  <c r="R44" i="1"/>
  <c r="Q44" i="1"/>
  <c r="W43" i="1"/>
  <c r="V43" i="1"/>
  <c r="T43" i="1"/>
  <c r="S43" i="1"/>
  <c r="R43" i="1"/>
  <c r="Q43" i="1"/>
  <c r="W42" i="1"/>
  <c r="V42" i="1"/>
  <c r="T42" i="1"/>
  <c r="S42" i="1"/>
  <c r="R42" i="1"/>
  <c r="Q42" i="1"/>
  <c r="W41" i="1"/>
  <c r="V41" i="1"/>
  <c r="T41" i="1"/>
  <c r="S41" i="1"/>
  <c r="R41" i="1"/>
  <c r="Q41" i="1"/>
  <c r="W40" i="1"/>
  <c r="V40" i="1"/>
  <c r="T40" i="1"/>
  <c r="S40" i="1"/>
  <c r="R40" i="1"/>
  <c r="Q40" i="1"/>
  <c r="W39" i="1"/>
  <c r="V39" i="1"/>
  <c r="T39" i="1"/>
  <c r="S39" i="1"/>
  <c r="R39" i="1"/>
  <c r="Q39" i="1"/>
  <c r="W38" i="1"/>
  <c r="V38" i="1"/>
  <c r="T38" i="1"/>
  <c r="S38" i="1"/>
  <c r="R38" i="1"/>
  <c r="Q38" i="1"/>
  <c r="W37" i="1"/>
  <c r="V37" i="1"/>
  <c r="T37" i="1"/>
  <c r="S37" i="1"/>
  <c r="R37" i="1"/>
  <c r="Q37" i="1"/>
  <c r="W36" i="1"/>
  <c r="V36" i="1"/>
  <c r="T36" i="1"/>
  <c r="S36" i="1"/>
  <c r="R36" i="1"/>
  <c r="Q36" i="1"/>
  <c r="W35" i="1"/>
  <c r="V35" i="1"/>
  <c r="T35" i="1"/>
  <c r="S35" i="1"/>
  <c r="R35" i="1"/>
  <c r="Q35" i="1"/>
  <c r="W34" i="1"/>
  <c r="V34" i="1"/>
  <c r="T34" i="1"/>
  <c r="S34" i="1"/>
  <c r="R34" i="1"/>
  <c r="Q34" i="1"/>
  <c r="W33" i="1"/>
  <c r="V33" i="1"/>
  <c r="T33" i="1"/>
  <c r="S33" i="1"/>
  <c r="R33" i="1"/>
  <c r="Q33" i="1"/>
  <c r="W32" i="1"/>
  <c r="V32" i="1"/>
  <c r="T32" i="1"/>
  <c r="S32" i="1"/>
  <c r="R32" i="1"/>
  <c r="Q32" i="1"/>
  <c r="W31" i="1"/>
  <c r="V31" i="1"/>
  <c r="T31" i="1"/>
  <c r="S31" i="1"/>
  <c r="R31" i="1"/>
  <c r="Q31" i="1"/>
  <c r="W30" i="1"/>
  <c r="V30" i="1"/>
  <c r="T30" i="1"/>
  <c r="S30" i="1"/>
  <c r="R30" i="1"/>
  <c r="Q30" i="1"/>
  <c r="W29" i="1"/>
  <c r="V29" i="1"/>
  <c r="T29" i="1"/>
  <c r="S29" i="1"/>
  <c r="R29" i="1"/>
  <c r="Q29" i="1"/>
  <c r="W28" i="1"/>
  <c r="V28" i="1"/>
  <c r="T28" i="1"/>
  <c r="S28" i="1"/>
  <c r="R28" i="1"/>
  <c r="Q28" i="1"/>
  <c r="W27" i="1"/>
  <c r="V27" i="1"/>
  <c r="T27" i="1"/>
  <c r="S27" i="1"/>
  <c r="R27" i="1"/>
  <c r="Q27" i="1"/>
  <c r="W26" i="1"/>
  <c r="V26" i="1"/>
  <c r="T26" i="1"/>
  <c r="S26" i="1"/>
  <c r="R26" i="1"/>
  <c r="Q26" i="1"/>
  <c r="W25" i="1"/>
  <c r="V25" i="1"/>
  <c r="T25" i="1"/>
  <c r="S25" i="1"/>
  <c r="R25" i="1"/>
  <c r="Q25" i="1"/>
  <c r="W24" i="1"/>
  <c r="V24" i="1"/>
  <c r="T24" i="1"/>
  <c r="S24" i="1"/>
  <c r="R24" i="1"/>
  <c r="Q24" i="1"/>
  <c r="W23" i="1"/>
  <c r="V23" i="1"/>
  <c r="T23" i="1"/>
  <c r="S23" i="1"/>
  <c r="R23" i="1"/>
  <c r="Q23" i="1"/>
  <c r="W22" i="1"/>
  <c r="V22" i="1"/>
  <c r="T22" i="1"/>
  <c r="S22" i="1"/>
  <c r="R22" i="1"/>
  <c r="Q22" i="1"/>
  <c r="W21" i="1"/>
  <c r="V21" i="1"/>
  <c r="T21" i="1"/>
  <c r="S21" i="1"/>
  <c r="R21" i="1"/>
  <c r="Q21" i="1"/>
  <c r="W20" i="1"/>
  <c r="V20" i="1"/>
  <c r="T20" i="1"/>
  <c r="S20" i="1"/>
  <c r="R20" i="1"/>
  <c r="Q20" i="1"/>
  <c r="W19" i="1"/>
  <c r="V19" i="1"/>
  <c r="T19" i="1"/>
  <c r="S19" i="1"/>
  <c r="R19" i="1"/>
  <c r="Q19" i="1"/>
  <c r="W18" i="1"/>
  <c r="V18" i="1"/>
  <c r="T18" i="1"/>
  <c r="S18" i="1"/>
  <c r="R18" i="1"/>
  <c r="Q18" i="1"/>
  <c r="W17" i="1"/>
  <c r="V17" i="1"/>
  <c r="T17" i="1"/>
  <c r="S17" i="1"/>
  <c r="R17" i="1"/>
  <c r="Q17" i="1"/>
  <c r="W16" i="1"/>
  <c r="V16" i="1"/>
  <c r="T16" i="1"/>
  <c r="S16" i="1"/>
  <c r="R16" i="1"/>
  <c r="Q16" i="1"/>
  <c r="W15" i="1"/>
  <c r="V15" i="1"/>
  <c r="T15" i="1"/>
  <c r="S15" i="1"/>
  <c r="R15" i="1"/>
  <c r="Q15" i="1"/>
  <c r="W14" i="1"/>
  <c r="V14" i="1"/>
  <c r="T14" i="1"/>
  <c r="S14" i="1"/>
  <c r="R14" i="1"/>
  <c r="Q14" i="1"/>
  <c r="W13" i="1"/>
  <c r="V13" i="1"/>
  <c r="T13" i="1"/>
  <c r="S13" i="1"/>
  <c r="R13" i="1"/>
  <c r="Q13" i="1"/>
  <c r="W12" i="1"/>
  <c r="V12" i="1"/>
  <c r="T12" i="1"/>
  <c r="S12" i="1"/>
  <c r="R12" i="1"/>
  <c r="Q12" i="1"/>
  <c r="W11" i="1"/>
  <c r="V11" i="1"/>
  <c r="T11" i="1"/>
  <c r="S11" i="1"/>
  <c r="R11" i="1"/>
  <c r="Q11" i="1"/>
  <c r="W10" i="1"/>
  <c r="V10" i="1"/>
  <c r="T10" i="1"/>
  <c r="S10" i="1"/>
  <c r="R10" i="1"/>
  <c r="Q10" i="1"/>
  <c r="W9" i="1"/>
  <c r="V9" i="1"/>
  <c r="T9" i="1"/>
  <c r="S9" i="1"/>
  <c r="R9" i="1"/>
  <c r="Q9" i="1"/>
  <c r="W8" i="1"/>
  <c r="V8" i="1"/>
  <c r="T8" i="1"/>
  <c r="S8" i="1"/>
  <c r="R8" i="1"/>
  <c r="Q8" i="1"/>
  <c r="W7" i="1"/>
  <c r="V7" i="1"/>
  <c r="T7" i="1"/>
  <c r="S7" i="1"/>
  <c r="R7" i="1"/>
  <c r="Q7" i="1"/>
  <c r="W6" i="1"/>
  <c r="V6" i="1"/>
  <c r="T6" i="1"/>
  <c r="S6" i="1"/>
  <c r="R6" i="1"/>
  <c r="Q6" i="1"/>
  <c r="W5" i="1"/>
  <c r="V5" i="1"/>
  <c r="T5" i="1"/>
  <c r="S5" i="1"/>
  <c r="R5" i="1"/>
  <c r="Q5" i="1"/>
  <c r="W4" i="1"/>
  <c r="V4" i="1"/>
  <c r="T4" i="1"/>
  <c r="S4" i="1"/>
  <c r="R4" i="1"/>
  <c r="Q4" i="1"/>
  <c r="W3" i="1"/>
  <c r="V3" i="1"/>
  <c r="T3" i="1"/>
  <c r="S3" i="1"/>
  <c r="R3" i="1"/>
  <c r="Q3" i="1"/>
  <c r="W2" i="1"/>
  <c r="V2" i="1"/>
  <c r="T2" i="1"/>
  <c r="S2" i="1"/>
  <c r="R2" i="1"/>
  <c r="Q2" i="1"/>
  <c r="R215" i="3" l="1"/>
  <c r="B10" i="4"/>
</calcChain>
</file>

<file path=xl/sharedStrings.xml><?xml version="1.0" encoding="utf-8"?>
<sst xmlns="http://schemas.openxmlformats.org/spreadsheetml/2006/main" count="2448" uniqueCount="289">
  <si>
    <t>name</t>
  </si>
  <si>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</si>
  <si>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</si>
  <si>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</si>
  <si>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</si>
  <si>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</si>
  <si>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</si>
  <si>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</si>
  <si>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</si>
  <si>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</si>
  <si>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Dataset</t>
  </si>
  <si>
    <t>wat_lim_r</t>
  </si>
  <si>
    <t>wat_unimp_r</t>
  </si>
  <si>
    <t>wat_sur_r</t>
  </si>
  <si>
    <t>wat_bas_u</t>
  </si>
  <si>
    <t>Estimated world</t>
  </si>
  <si>
    <t>wat_lim_u</t>
  </si>
  <si>
    <t>wat_unimp_u</t>
  </si>
  <si>
    <t>wat_sur_u</t>
  </si>
  <si>
    <t>Value_Nt</t>
  </si>
  <si>
    <t>pop_u_val</t>
  </si>
  <si>
    <t>pop_r</t>
  </si>
  <si>
    <t>pop_u(m)</t>
  </si>
  <si>
    <t>wat_bas_n(rounded)</t>
  </si>
  <si>
    <t>Total population</t>
  </si>
  <si>
    <t>pop_u(rounded)</t>
  </si>
  <si>
    <t>pop_r(rounded)</t>
  </si>
  <si>
    <t>Saint Barthelemy</t>
  </si>
  <si>
    <t>Tokelau</t>
  </si>
  <si>
    <t>NAN</t>
  </si>
  <si>
    <t>Total urban population (urban estimated percentage)</t>
  </si>
  <si>
    <t xml:space="preserve">Using Estimated world Urban Percentage  </t>
  </si>
  <si>
    <t>Total Urban population (urban totals)</t>
  </si>
  <si>
    <t>sum of the pop_u_val feature of our dataset</t>
  </si>
  <si>
    <t>%</t>
  </si>
  <si>
    <t>Percentage difference</t>
  </si>
  <si>
    <t>Dataset population &amp; Estimated world</t>
  </si>
  <si>
    <t>Nauru</t>
  </si>
  <si>
    <t>Niue</t>
  </si>
  <si>
    <t>Dataset urban totals and Dataset urban percentage</t>
  </si>
  <si>
    <t>Gibraltar</t>
  </si>
  <si>
    <t>Falkland Islands (Malvinas)</t>
  </si>
  <si>
    <t>dataset urban totals &amp; Estimated world urban</t>
  </si>
  <si>
    <t>Saint Martin (French part)</t>
  </si>
  <si>
    <t>Dataset urban percentage &amp; Estimated world urban</t>
  </si>
  <si>
    <t>Monaco</t>
  </si>
  <si>
    <t>Montserrat</t>
  </si>
  <si>
    <t>Bermuda</t>
  </si>
  <si>
    <t>NATIONAL</t>
  </si>
  <si>
    <t>Saint Pierre and Miquelon</t>
  </si>
  <si>
    <t>RURAL</t>
  </si>
  <si>
    <t>URBAN</t>
  </si>
  <si>
    <t>Basic</t>
  </si>
  <si>
    <t>Limited</t>
  </si>
  <si>
    <t>China, Macao SAR</t>
  </si>
  <si>
    <t>unimproved</t>
  </si>
  <si>
    <t>surface water</t>
  </si>
  <si>
    <t>Maximum</t>
  </si>
  <si>
    <t>Saint Helena</t>
  </si>
  <si>
    <t>Minimum</t>
  </si>
  <si>
    <t>Réunion</t>
  </si>
  <si>
    <t>Mean</t>
  </si>
  <si>
    <t>Median</t>
  </si>
  <si>
    <t>Mode</t>
  </si>
  <si>
    <t>Kuwait</t>
  </si>
  <si>
    <t>Q1</t>
  </si>
  <si>
    <t>Q3</t>
  </si>
  <si>
    <t>Interquartile range</t>
  </si>
  <si>
    <t>Singapore</t>
  </si>
  <si>
    <t>High income</t>
  </si>
  <si>
    <t>China, Hong Kong SAR</t>
  </si>
  <si>
    <t>Wallis and Futuna Islands</t>
  </si>
  <si>
    <t>Qatar</t>
  </si>
  <si>
    <t>Tuvalu</t>
  </si>
  <si>
    <t>Upper middle income</t>
  </si>
  <si>
    <t>Guadeloupe</t>
  </si>
  <si>
    <t>Cook Islands</t>
  </si>
  <si>
    <t>Belgium</t>
  </si>
  <si>
    <t>Palau</t>
  </si>
  <si>
    <t>San Marino</t>
  </si>
  <si>
    <t>British Virgin Islands</t>
  </si>
  <si>
    <t>United States Virgin Islands</t>
  </si>
  <si>
    <t>Uruguay</t>
  </si>
  <si>
    <t>Guam</t>
  </si>
  <si>
    <t>Malta</t>
  </si>
  <si>
    <t>Liechtenstein</t>
  </si>
  <si>
    <t>Iceland</t>
  </si>
  <si>
    <t>Puerto Rico</t>
  </si>
  <si>
    <t>Israel</t>
  </si>
  <si>
    <t>Faeroe Islands</t>
  </si>
  <si>
    <t>Northern Mariana Islands</t>
  </si>
  <si>
    <t>American Samoa</t>
  </si>
  <si>
    <t>Netherlands</t>
  </si>
  <si>
    <t>Greenland</t>
  </si>
  <si>
    <t>Argentina</t>
  </si>
  <si>
    <t>Japan</t>
  </si>
  <si>
    <t>Luxembourg</t>
  </si>
  <si>
    <t>Marshall Islands</t>
  </si>
  <si>
    <t>Jordan</t>
  </si>
  <si>
    <t>Andorra</t>
  </si>
  <si>
    <t>Bahrain</t>
  </si>
  <si>
    <t>Isle of Man</t>
  </si>
  <si>
    <t>Gabon</t>
  </si>
  <si>
    <t>Martinique</t>
  </si>
  <si>
    <t>Lebanon</t>
  </si>
  <si>
    <t>Tonga</t>
  </si>
  <si>
    <t>Kiribati</t>
  </si>
  <si>
    <t>Lower middle income</t>
  </si>
  <si>
    <t>Denmark</t>
  </si>
  <si>
    <t>Sweden</t>
  </si>
  <si>
    <t>Saint Lucia</t>
  </si>
  <si>
    <t>Chile</t>
  </si>
  <si>
    <t>Samoa</t>
  </si>
  <si>
    <t>Venezuela (Bolivarian Republic of)</t>
  </si>
  <si>
    <t>Sao Tome and Principe</t>
  </si>
  <si>
    <t>Mayotte</t>
  </si>
  <si>
    <t>New Zealand</t>
  </si>
  <si>
    <t>French Polynesia</t>
  </si>
  <si>
    <t>United Arab Emirates</t>
  </si>
  <si>
    <t>Brazil</t>
  </si>
  <si>
    <t>New Caledonia</t>
  </si>
  <si>
    <t>French Guiana</t>
  </si>
  <si>
    <t>Barbados</t>
  </si>
  <si>
    <t>Oman</t>
  </si>
  <si>
    <t>Finland</t>
  </si>
  <si>
    <t>Vanuatu</t>
  </si>
  <si>
    <t>Australia</t>
  </si>
  <si>
    <t>Saudi Arabia</t>
  </si>
  <si>
    <t>United Kingdom</t>
  </si>
  <si>
    <t>Norway</t>
  </si>
  <si>
    <t>Belize</t>
  </si>
  <si>
    <t>Dominican Republic</t>
  </si>
  <si>
    <t>United States of America</t>
  </si>
  <si>
    <t>Brunei Darussalam</t>
  </si>
  <si>
    <t>Canada</t>
  </si>
  <si>
    <t>Maldives</t>
  </si>
  <si>
    <t>Costa Rica</t>
  </si>
  <si>
    <t>Cabo Verde</t>
  </si>
  <si>
    <t>Libya</t>
  </si>
  <si>
    <t>Suriname</t>
  </si>
  <si>
    <t>Spain</t>
  </si>
  <si>
    <t>Colombia</t>
  </si>
  <si>
    <t>Montenegro</t>
  </si>
  <si>
    <t>Republic of Korea</t>
  </si>
  <si>
    <t>France</t>
  </si>
  <si>
    <t>Mexico</t>
  </si>
  <si>
    <t>Solomon Islands</t>
  </si>
  <si>
    <t>Greece</t>
  </si>
  <si>
    <t>Bhutan</t>
  </si>
  <si>
    <t>Guyana</t>
  </si>
  <si>
    <t>Belarus</t>
  </si>
  <si>
    <t>Fiji</t>
  </si>
  <si>
    <t>Djibouti</t>
  </si>
  <si>
    <t>Peru</t>
  </si>
  <si>
    <t>Eswatini</t>
  </si>
  <si>
    <t>West Bank and Gaza Strip</t>
  </si>
  <si>
    <t>Cyprus</t>
  </si>
  <si>
    <t>Cuba</t>
  </si>
  <si>
    <t>Mauritius</t>
  </si>
  <si>
    <t>Malaysia</t>
  </si>
  <si>
    <t>Timor-Leste</t>
  </si>
  <si>
    <t>Germany</t>
  </si>
  <si>
    <t>Bulgaria</t>
  </si>
  <si>
    <t>Estonia</t>
  </si>
  <si>
    <t>Iran (Islamic Republic of)</t>
  </si>
  <si>
    <t>Trinidad and Tobago</t>
  </si>
  <si>
    <t>Turkey</t>
  </si>
  <si>
    <t>Latvia</t>
  </si>
  <si>
    <t>Russian Federation</t>
  </si>
  <si>
    <t>Guinea-Bissau</t>
  </si>
  <si>
    <t>Low income</t>
  </si>
  <si>
    <t>Slovenia</t>
  </si>
  <si>
    <t>Switzerland</t>
  </si>
  <si>
    <t>Czech Republic</t>
  </si>
  <si>
    <t>North Macedonia</t>
  </si>
  <si>
    <t>Algeria</t>
  </si>
  <si>
    <t>Lesotho</t>
  </si>
  <si>
    <t>El Salvador</t>
  </si>
  <si>
    <t>Botswana</t>
  </si>
  <si>
    <t>Hungary</t>
  </si>
  <si>
    <t>Gambia</t>
  </si>
  <si>
    <t>Namibia</t>
  </si>
  <si>
    <t>Iraq</t>
  </si>
  <si>
    <t>Lithuania</t>
  </si>
  <si>
    <t>Italy</t>
  </si>
  <si>
    <t>Albania</t>
  </si>
  <si>
    <t>Bolivia (Plurinational State of)</t>
  </si>
  <si>
    <t>Tunisia</t>
  </si>
  <si>
    <t>Jamaica</t>
  </si>
  <si>
    <t>Ukraine</t>
  </si>
  <si>
    <t>Armenia</t>
  </si>
  <si>
    <t>Mongolia</t>
  </si>
  <si>
    <t>Bosnia and Herzegovina</t>
  </si>
  <si>
    <t>Georgia</t>
  </si>
  <si>
    <t>Republic of Moldova</t>
  </si>
  <si>
    <t>Panama</t>
  </si>
  <si>
    <t>Croatia</t>
  </si>
  <si>
    <t>Congo</t>
  </si>
  <si>
    <t>Mauritania</t>
  </si>
  <si>
    <t>Angola</t>
  </si>
  <si>
    <t>Central African Republic</t>
  </si>
  <si>
    <t>Ireland</t>
  </si>
  <si>
    <t>South Africa</t>
  </si>
  <si>
    <t>Liberia</t>
  </si>
  <si>
    <t>Portugal</t>
  </si>
  <si>
    <t>Slovakia</t>
  </si>
  <si>
    <t>Ecuador</t>
  </si>
  <si>
    <t>Morocco</t>
  </si>
  <si>
    <t>Turkmenistan</t>
  </si>
  <si>
    <t>Paraguay</t>
  </si>
  <si>
    <t>Democratic People's Republic of Korea</t>
  </si>
  <si>
    <t>Kyrgyzstan</t>
  </si>
  <si>
    <t>China</t>
  </si>
  <si>
    <t>Poland</t>
  </si>
  <si>
    <t>Nicaragua</t>
  </si>
  <si>
    <t>Austria</t>
  </si>
  <si>
    <t>Lao People's Democratic Republic</t>
  </si>
  <si>
    <t>Honduras</t>
  </si>
  <si>
    <t>Sierra Leone</t>
  </si>
  <si>
    <t>Kazakhstan</t>
  </si>
  <si>
    <t>Togo</t>
  </si>
  <si>
    <t>Cameroon</t>
  </si>
  <si>
    <t>Haiti</t>
  </si>
  <si>
    <t>Serbia</t>
  </si>
  <si>
    <t>Ghana</t>
  </si>
  <si>
    <t>Papua New Guinea</t>
  </si>
  <si>
    <t>Indonesia</t>
  </si>
  <si>
    <t>Tajikistan</t>
  </si>
  <si>
    <t>Azerbaijan</t>
  </si>
  <si>
    <t>Syrian Arab Republic</t>
  </si>
  <si>
    <t>Romania</t>
  </si>
  <si>
    <t>South Sudan</t>
  </si>
  <si>
    <t>Guatemala</t>
  </si>
  <si>
    <t>Côte d'Ivoire</t>
  </si>
  <si>
    <t>Nigeria</t>
  </si>
  <si>
    <t>Thailand</t>
  </si>
  <si>
    <t>Burundi</t>
  </si>
  <si>
    <t>Uzbekistan</t>
  </si>
  <si>
    <t>Benin</t>
  </si>
  <si>
    <t>Rwanda</t>
  </si>
  <si>
    <t>Guinea</t>
  </si>
  <si>
    <t>Zimbabwe</t>
  </si>
  <si>
    <t>Somalia</t>
  </si>
  <si>
    <t>Senegal</t>
  </si>
  <si>
    <t>Chad</t>
  </si>
  <si>
    <t>Philippines</t>
  </si>
  <si>
    <t>Cambodia</t>
  </si>
  <si>
    <t>Democratic Republic of the Congo</t>
  </si>
  <si>
    <t>Zambia</t>
  </si>
  <si>
    <t>Mali</t>
  </si>
  <si>
    <t>Malawi</t>
  </si>
  <si>
    <t>Egypt</t>
  </si>
  <si>
    <t>Burkina Faso</t>
  </si>
  <si>
    <t>Sri Lanka</t>
  </si>
  <si>
    <t>Niger</t>
  </si>
  <si>
    <t>SUM of pop_n</t>
  </si>
  <si>
    <t>SUM of pop_u</t>
  </si>
  <si>
    <t>Madagascar</t>
  </si>
  <si>
    <t>Yemen</t>
  </si>
  <si>
    <t>Nepal</t>
  </si>
  <si>
    <t>Bangladesh</t>
  </si>
  <si>
    <t>Mozambique</t>
  </si>
  <si>
    <t>Viet Nam</t>
  </si>
  <si>
    <t>Pakistan</t>
  </si>
  <si>
    <t>Sudan</t>
  </si>
  <si>
    <t>United Republic of Tanzania</t>
  </si>
  <si>
    <t>India</t>
  </si>
  <si>
    <t>Myanmar</t>
  </si>
  <si>
    <t>Afghanistan</t>
  </si>
  <si>
    <t>Kenya</t>
  </si>
  <si>
    <t>Uganda</t>
  </si>
  <si>
    <t>AVERAGE of wat_bas_n</t>
  </si>
  <si>
    <t>AVERAGE of wat_lim_n</t>
  </si>
  <si>
    <t>AVERAGE of wat_unimp_n</t>
  </si>
  <si>
    <t>AVERAGE of wat_sur_n</t>
  </si>
  <si>
    <t>Grand Total</t>
  </si>
  <si>
    <t>Ethiopia</t>
  </si>
  <si>
    <t>Total National Population</t>
  </si>
  <si>
    <t>Total Urban Population</t>
  </si>
  <si>
    <t>Average Basic Water Access(National)</t>
  </si>
  <si>
    <t>Average Limited Water Access(National)</t>
  </si>
  <si>
    <t>Average unimproved Water Access(National)</t>
  </si>
  <si>
    <t>Average Surface Water Access(National)</t>
  </si>
  <si>
    <t>National Population</t>
  </si>
  <si>
    <t>Urban Population</t>
  </si>
  <si>
    <t>Rural Population</t>
  </si>
  <si>
    <t/>
  </si>
  <si>
    <t>Average of pop_n</t>
  </si>
  <si>
    <t>Average of pop_u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</si>
</sst>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9"/>
      <color rgb="FF000000"/>
      <name val="&quot;Google Sans Mono&quot;"/>
    </font>
    <font>
      <b/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4" fontId="3" fillId="2" borderId="0" xfId="0" applyNumberFormat="1" applyFont="1" applyFill="1" applyAlignment="1">
      <alignment horizontal="right"/>
    </xf>
    <xf numFmtId="4" fontId="1" fillId="0" borderId="0" xfId="0" applyNumberFormat="1" applyFont="1"/>
    <xf numFmtId="4" fontId="4" fillId="2" borderId="0" xfId="0" applyNumberFormat="1" applyFont="1" applyFill="1" applyAlignment="1">
      <alignment horizontal="left"/>
    </xf>
    <xf numFmtId="10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7" xfId="0" applyBorder="1"/>
    <xf numFmtId="0" fontId="0" fillId="0" borderId="7" xfId="0" pivotButton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Border="1"/>
    <xf numFmtId="0" fontId="0" fillId="0" borderId="12" xfId="0" applyNumberFormat="1" applyBorder="1"/>
    <xf numFmtId="0" fontId="0" fillId="0" borderId="0" xfId="0" applyNumberFormat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NumberFormat="1" applyBorder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etail1-3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2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3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2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Income group population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Urban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'Improved pivot table'!$A$2:$A$6</c:f>
              <c:strCache>
                <c:ptCount val="5"/>
                <c:pt idx="0">
                  <c:v>income_group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strCache>
            </c:strRef>
          </c:cat>
          <c:val>
            <c:numRef>
              <c:f>'Improved pivot table'!$C$2:$C$6</c:f>
              <c:numCache>
                <c:formatCode>General</c:formatCode>
                <c:ptCount val="5"/>
                <c:pt idx="0">
                  <c:v>0</c:v>
                </c:pt>
                <c:pt idx="1">
                  <c:v>983.36799431100007</c:v>
                </c:pt>
                <c:pt idx="2">
                  <c:v>937.16098785999986</c:v>
                </c:pt>
                <c:pt idx="3">
                  <c:v>2537.0749826499996</c:v>
                </c:pt>
                <c:pt idx="4">
                  <c:v>3169.599086780001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7-4DEE-8836-6215D9B2283A}"/>
            </c:ext>
          </c:extLst>
        </c:ser>
        <c:ser>
          <c:idx val="1"/>
          <c:order val="1"/>
          <c:tx>
            <c:v>Rural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'Improved pivot table'!$A$2:$A$6</c:f>
              <c:strCache>
                <c:ptCount val="5"/>
                <c:pt idx="0">
                  <c:v>income_group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strCache>
            </c:strRef>
          </c:cat>
          <c:val>
            <c:numRef>
              <c:f>'Improved pivot table'!$H$2:$H$6</c:f>
              <c:numCache>
                <c:formatCode>General</c:formatCode>
                <c:ptCount val="5"/>
                <c:pt idx="0">
                  <c:v>0</c:v>
                </c:pt>
                <c:pt idx="1">
                  <c:v>616.63200568900004</c:v>
                </c:pt>
                <c:pt idx="2">
                  <c:v>1662.8390121399998</c:v>
                </c:pt>
                <c:pt idx="3">
                  <c:v>2662.9250173499995</c:v>
                </c:pt>
                <c:pt idx="4">
                  <c:v>1730.4009132200001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67-4DEE-8836-6215D9B22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7678198"/>
        <c:axId val="813485790"/>
      </c:barChart>
      <c:catAx>
        <c:axId val="1247678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income_group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3485790"/>
        <c:crosses val="autoZero"/>
        <c:auto val="1"/>
        <c:lblAlgn val="ctr"/>
        <c:lblOffset val="100"/>
        <c:noMultiLvlLbl val="1"/>
      </c:catAx>
      <c:valAx>
        <c:axId val="813485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76781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National distribution of access to water per service level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At least Basic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numRef>
              <c:f>'Estimates on the use of water ('!$T$2:$T$1000</c:f>
              <c:numCache>
                <c:formatCode>General</c:formatCode>
                <c:ptCount val="9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13</c:v>
                </c:pt>
                <c:pt idx="138">
                  <c:v>13</c:v>
                </c:pt>
                <c:pt idx="139">
                  <c:v>14</c:v>
                </c:pt>
                <c:pt idx="140">
                  <c:v>15</c:v>
                </c:pt>
                <c:pt idx="141">
                  <c:v>16</c:v>
                </c:pt>
                <c:pt idx="142">
                  <c:v>17</c:v>
                </c:pt>
                <c:pt idx="143">
                  <c:v>17</c:v>
                </c:pt>
                <c:pt idx="144">
                  <c:v>17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19</c:v>
                </c:pt>
                <c:pt idx="150">
                  <c:v>19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21</c:v>
                </c:pt>
                <c:pt idx="155">
                  <c:v>21</c:v>
                </c:pt>
                <c:pt idx="156">
                  <c:v>22</c:v>
                </c:pt>
                <c:pt idx="157">
                  <c:v>25</c:v>
                </c:pt>
                <c:pt idx="158">
                  <c:v>26</c:v>
                </c:pt>
                <c:pt idx="159">
                  <c:v>26</c:v>
                </c:pt>
                <c:pt idx="160">
                  <c:v>27</c:v>
                </c:pt>
                <c:pt idx="161">
                  <c:v>27</c:v>
                </c:pt>
                <c:pt idx="162">
                  <c:v>28</c:v>
                </c:pt>
                <c:pt idx="163">
                  <c:v>29</c:v>
                </c:pt>
                <c:pt idx="164">
                  <c:v>30</c:v>
                </c:pt>
                <c:pt idx="165">
                  <c:v>30</c:v>
                </c:pt>
                <c:pt idx="166">
                  <c:v>32</c:v>
                </c:pt>
                <c:pt idx="167">
                  <c:v>32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34</c:v>
                </c:pt>
                <c:pt idx="172">
                  <c:v>35</c:v>
                </c:pt>
                <c:pt idx="173">
                  <c:v>37</c:v>
                </c:pt>
                <c:pt idx="174">
                  <c:v>38</c:v>
                </c:pt>
                <c:pt idx="175">
                  <c:v>38</c:v>
                </c:pt>
                <c:pt idx="176">
                  <c:v>39</c:v>
                </c:pt>
                <c:pt idx="177">
                  <c:v>41</c:v>
                </c:pt>
                <c:pt idx="178">
                  <c:v>44</c:v>
                </c:pt>
                <c:pt idx="179">
                  <c:v>44</c:v>
                </c:pt>
                <c:pt idx="180">
                  <c:v>44</c:v>
                </c:pt>
                <c:pt idx="181">
                  <c:v>46</c:v>
                </c:pt>
                <c:pt idx="182">
                  <c:v>46</c:v>
                </c:pt>
                <c:pt idx="183">
                  <c:v>47</c:v>
                </c:pt>
                <c:pt idx="184">
                  <c:v>51</c:v>
                </c:pt>
                <c:pt idx="185">
                  <c:v>52</c:v>
                </c:pt>
                <c:pt idx="186">
                  <c:v>54</c:v>
                </c:pt>
                <c:pt idx="187">
                  <c:v>55</c:v>
                </c:pt>
                <c:pt idx="188">
                  <c:v>60</c:v>
                </c:pt>
                <c:pt idx="189">
                  <c:v>60</c:v>
                </c:pt>
                <c:pt idx="190">
                  <c:v>61</c:v>
                </c:pt>
                <c:pt idx="191">
                  <c:v>66</c:v>
                </c:pt>
                <c:pt idx="192">
                  <c:v>68</c:v>
                </c:pt>
                <c:pt idx="193">
                  <c:v>70</c:v>
                </c:pt>
                <c:pt idx="194">
                  <c:v>84</c:v>
                </c:pt>
                <c:pt idx="195">
                  <c:v>84</c:v>
                </c:pt>
                <c:pt idx="196">
                  <c:v>85</c:v>
                </c:pt>
                <c:pt idx="197">
                  <c:v>90</c:v>
                </c:pt>
                <c:pt idx="198">
                  <c:v>98</c:v>
                </c:pt>
                <c:pt idx="199">
                  <c:v>103</c:v>
                </c:pt>
                <c:pt idx="200">
                  <c:v>110</c:v>
                </c:pt>
                <c:pt idx="201">
                  <c:v>115</c:v>
                </c:pt>
                <c:pt idx="202">
                  <c:v>127</c:v>
                </c:pt>
                <c:pt idx="203">
                  <c:v>129</c:v>
                </c:pt>
                <c:pt idx="204">
                  <c:v>146</c:v>
                </c:pt>
                <c:pt idx="205">
                  <c:v>165</c:v>
                </c:pt>
                <c:pt idx="206">
                  <c:v>207</c:v>
                </c:pt>
                <c:pt idx="207">
                  <c:v>213</c:v>
                </c:pt>
                <c:pt idx="208">
                  <c:v>221</c:v>
                </c:pt>
                <c:pt idx="209">
                  <c:v>274</c:v>
                </c:pt>
                <c:pt idx="210">
                  <c:v>332</c:v>
                </c:pt>
                <c:pt idx="211">
                  <c:v>1381</c:v>
                </c:pt>
                <c:pt idx="212">
                  <c:v>1464</c:v>
                </c:pt>
              </c:numCache>
            </c:numRef>
          </c:cat>
          <c:val>
            <c:numRef>
              <c:f>'Estimates on the use of water ('!$E$2:$E$1000</c:f>
              <c:numCache>
                <c:formatCode>General</c:formatCode>
                <c:ptCount val="999"/>
                <c:pt idx="0">
                  <c:v>99.707676649999996</c:v>
                </c:pt>
                <c:pt idx="1">
                  <c:v>97.010876179999997</c:v>
                </c:pt>
                <c:pt idx="2">
                  <c:v>95.308927400000002</c:v>
                </c:pt>
                <c:pt idx="3">
                  <c:v>98.077482619999998</c:v>
                </c:pt>
                <c:pt idx="4">
                  <c:v>91.4</c:v>
                </c:pt>
                <c:pt idx="5">
                  <c:v>99.1</c:v>
                </c:pt>
                <c:pt idx="6">
                  <c:v>100</c:v>
                </c:pt>
                <c:pt idx="7">
                  <c:v>100</c:v>
                </c:pt>
                <c:pt idx="8">
                  <c:v>99.143287360000002</c:v>
                </c:pt>
                <c:pt idx="9">
                  <c:v>100</c:v>
                </c:pt>
                <c:pt idx="10">
                  <c:v>99.971610220000002</c:v>
                </c:pt>
                <c:pt idx="11">
                  <c:v>99.657545499999998</c:v>
                </c:pt>
                <c:pt idx="12">
                  <c:v>99.864383559999993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99.999271390000004</c:v>
                </c:pt>
                <c:pt idx="17">
                  <c:v>100</c:v>
                </c:pt>
                <c:pt idx="18">
                  <c:v>100</c:v>
                </c:pt>
                <c:pt idx="19">
                  <c:v>99.773771659999994</c:v>
                </c:pt>
                <c:pt idx="20">
                  <c:v>100.0000017</c:v>
                </c:pt>
                <c:pt idx="21">
                  <c:v>100</c:v>
                </c:pt>
                <c:pt idx="22">
                  <c:v>88.572046979999996</c:v>
                </c:pt>
                <c:pt idx="23">
                  <c:v>99.903140019999995</c:v>
                </c:pt>
                <c:pt idx="24">
                  <c:v>100.00000369999999</c:v>
                </c:pt>
                <c:pt idx="25">
                  <c:v>99.075000000000003</c:v>
                </c:pt>
                <c:pt idx="26">
                  <c:v>98.71826738</c:v>
                </c:pt>
                <c:pt idx="27">
                  <c:v>98.731080829999996</c:v>
                </c:pt>
                <c:pt idx="28">
                  <c:v>77.970920849999999</c:v>
                </c:pt>
                <c:pt idx="29">
                  <c:v>99.6952</c:v>
                </c:pt>
                <c:pt idx="30">
                  <c:v>96.887844569999999</c:v>
                </c:pt>
                <c:pt idx="31">
                  <c:v>91.837724550000004</c:v>
                </c:pt>
                <c:pt idx="32">
                  <c:v>78.22645516</c:v>
                </c:pt>
                <c:pt idx="33">
                  <c:v>96.371179710000007</c:v>
                </c:pt>
                <c:pt idx="34">
                  <c:v>100</c:v>
                </c:pt>
                <c:pt idx="35">
                  <c:v>99.305320570000006</c:v>
                </c:pt>
                <c:pt idx="36">
                  <c:v>98.514450420000003</c:v>
                </c:pt>
                <c:pt idx="37">
                  <c:v>93.782216349999999</c:v>
                </c:pt>
                <c:pt idx="38">
                  <c:v>91.231190749999996</c:v>
                </c:pt>
                <c:pt idx="39">
                  <c:v>99.999997210000004</c:v>
                </c:pt>
                <c:pt idx="40">
                  <c:v>99.841970779999997</c:v>
                </c:pt>
                <c:pt idx="41">
                  <c:v>98.401954630000006</c:v>
                </c:pt>
                <c:pt idx="42">
                  <c:v>99.803126039999995</c:v>
                </c:pt>
                <c:pt idx="43">
                  <c:v>99.900036799999995</c:v>
                </c:pt>
                <c:pt idx="44">
                  <c:v>100.0000004</c:v>
                </c:pt>
                <c:pt idx="45">
                  <c:v>99.544438600000007</c:v>
                </c:pt>
                <c:pt idx="46">
                  <c:v>88.769606420000002</c:v>
                </c:pt>
                <c:pt idx="47">
                  <c:v>97.989631669999994</c:v>
                </c:pt>
                <c:pt idx="48">
                  <c:v>99.879932539999999</c:v>
                </c:pt>
                <c:pt idx="49">
                  <c:v>98.856916519999999</c:v>
                </c:pt>
                <c:pt idx="50">
                  <c:v>100</c:v>
                </c:pt>
                <c:pt idx="51">
                  <c:v>67.301025539999998</c:v>
                </c:pt>
                <c:pt idx="52">
                  <c:v>97.313222629999999</c:v>
                </c:pt>
                <c:pt idx="53">
                  <c:v>95.554806850000006</c:v>
                </c:pt>
                <c:pt idx="54">
                  <c:v>100</c:v>
                </c:pt>
                <c:pt idx="55">
                  <c:v>94.30106524</c:v>
                </c:pt>
                <c:pt idx="56">
                  <c:v>76.049920209999996</c:v>
                </c:pt>
                <c:pt idx="57">
                  <c:v>70.753070949999994</c:v>
                </c:pt>
                <c:pt idx="58">
                  <c:v>99.765173180000005</c:v>
                </c:pt>
                <c:pt idx="59">
                  <c:v>99.866254699999999</c:v>
                </c:pt>
                <c:pt idx="60">
                  <c:v>85.495601199999996</c:v>
                </c:pt>
                <c:pt idx="61">
                  <c:v>99.59078178</c:v>
                </c:pt>
                <c:pt idx="62">
                  <c:v>98.875170769999997</c:v>
                </c:pt>
                <c:pt idx="63">
                  <c:v>100</c:v>
                </c:pt>
                <c:pt idx="64">
                  <c:v>98.782601150000005</c:v>
                </c:pt>
                <c:pt idx="65">
                  <c:v>59.016912210000001</c:v>
                </c:pt>
                <c:pt idx="66">
                  <c:v>99.5</c:v>
                </c:pt>
                <c:pt idx="67">
                  <c:v>97.742815789999995</c:v>
                </c:pt>
                <c:pt idx="68">
                  <c:v>72.176039270000004</c:v>
                </c:pt>
                <c:pt idx="69">
                  <c:v>85.341930599999998</c:v>
                </c:pt>
                <c:pt idx="70">
                  <c:v>92.213563070000006</c:v>
                </c:pt>
                <c:pt idx="71">
                  <c:v>80.940407140000005</c:v>
                </c:pt>
                <c:pt idx="72">
                  <c:v>84.270036279999999</c:v>
                </c:pt>
                <c:pt idx="73">
                  <c:v>98.013347240000002</c:v>
                </c:pt>
                <c:pt idx="74">
                  <c:v>100</c:v>
                </c:pt>
                <c:pt idx="75">
                  <c:v>95.068038830000006</c:v>
                </c:pt>
                <c:pt idx="76">
                  <c:v>99.568101940000005</c:v>
                </c:pt>
                <c:pt idx="77">
                  <c:v>91.029944499999999</c:v>
                </c:pt>
                <c:pt idx="78">
                  <c:v>99.971180689999997</c:v>
                </c:pt>
                <c:pt idx="79">
                  <c:v>85.495625270000005</c:v>
                </c:pt>
                <c:pt idx="80">
                  <c:v>96.113897620000003</c:v>
                </c:pt>
                <c:pt idx="81">
                  <c:v>99.495757560000001</c:v>
                </c:pt>
                <c:pt idx="82">
                  <c:v>97.348139700000004</c:v>
                </c:pt>
                <c:pt idx="83">
                  <c:v>90.569962239999995</c:v>
                </c:pt>
                <c:pt idx="84">
                  <c:v>0</c:v>
                </c:pt>
                <c:pt idx="85">
                  <c:v>100</c:v>
                </c:pt>
                <c:pt idx="86">
                  <c:v>94.372544360000006</c:v>
                </c:pt>
                <c:pt idx="87">
                  <c:v>71.681049229999999</c:v>
                </c:pt>
                <c:pt idx="88">
                  <c:v>100.00000129999999</c:v>
                </c:pt>
                <c:pt idx="89">
                  <c:v>37.202402050000003</c:v>
                </c:pt>
                <c:pt idx="90">
                  <c:v>97.399706510000001</c:v>
                </c:pt>
                <c:pt idx="91">
                  <c:v>75.261791590000001</c:v>
                </c:pt>
                <c:pt idx="92">
                  <c:v>99.810536929999998</c:v>
                </c:pt>
                <c:pt idx="93">
                  <c:v>97.880397220000006</c:v>
                </c:pt>
                <c:pt idx="94">
                  <c:v>92.168024689999996</c:v>
                </c:pt>
                <c:pt idx="95">
                  <c:v>99.999995499999997</c:v>
                </c:pt>
                <c:pt idx="96">
                  <c:v>99.787698579999997</c:v>
                </c:pt>
                <c:pt idx="97">
                  <c:v>73.78451158</c:v>
                </c:pt>
                <c:pt idx="98">
                  <c:v>100.0000033</c:v>
                </c:pt>
                <c:pt idx="99">
                  <c:v>100.00000110000001</c:v>
                </c:pt>
                <c:pt idx="100">
                  <c:v>100</c:v>
                </c:pt>
                <c:pt idx="101">
                  <c:v>100</c:v>
                </c:pt>
                <c:pt idx="102">
                  <c:v>97.946575409999994</c:v>
                </c:pt>
                <c:pt idx="103">
                  <c:v>91.699305219999999</c:v>
                </c:pt>
                <c:pt idx="104">
                  <c:v>81.708753799999997</c:v>
                </c:pt>
                <c:pt idx="105">
                  <c:v>92.6</c:v>
                </c:pt>
                <c:pt idx="106">
                  <c:v>99.891523800000002</c:v>
                </c:pt>
                <c:pt idx="107">
                  <c:v>99.011416940000004</c:v>
                </c:pt>
                <c:pt idx="108">
                  <c:v>99.593466329999998</c:v>
                </c:pt>
                <c:pt idx="109">
                  <c:v>85.219743179999995</c:v>
                </c:pt>
                <c:pt idx="110">
                  <c:v>100</c:v>
                </c:pt>
                <c:pt idx="111">
                  <c:v>63.766285619999998</c:v>
                </c:pt>
                <c:pt idx="112">
                  <c:v>68.58372009</c:v>
                </c:pt>
                <c:pt idx="113">
                  <c:v>100.0000028</c:v>
                </c:pt>
                <c:pt idx="114">
                  <c:v>100</c:v>
                </c:pt>
                <c:pt idx="115">
                  <c:v>95.29552932</c:v>
                </c:pt>
                <c:pt idx="116">
                  <c:v>45.344017520000001</c:v>
                </c:pt>
                <c:pt idx="117">
                  <c:v>100</c:v>
                </c:pt>
                <c:pt idx="118">
                  <c:v>96.534726079999999</c:v>
                </c:pt>
                <c:pt idx="119">
                  <c:v>81.852415019999995</c:v>
                </c:pt>
                <c:pt idx="120">
                  <c:v>99.999997469999997</c:v>
                </c:pt>
                <c:pt idx="121">
                  <c:v>99.965596000000005</c:v>
                </c:pt>
                <c:pt idx="122">
                  <c:v>95.689221130000007</c:v>
                </c:pt>
                <c:pt idx="123">
                  <c:v>99.826867629999995</c:v>
                </c:pt>
                <c:pt idx="124">
                  <c:v>96.043376129999999</c:v>
                </c:pt>
                <c:pt idx="125">
                  <c:v>99.911993670000001</c:v>
                </c:pt>
                <c:pt idx="126">
                  <c:v>98.940302959999997</c:v>
                </c:pt>
                <c:pt idx="127">
                  <c:v>100.00000230000001</c:v>
                </c:pt>
                <c:pt idx="128">
                  <c:v>99.880591670000001</c:v>
                </c:pt>
                <c:pt idx="129">
                  <c:v>96.686811919999997</c:v>
                </c:pt>
                <c:pt idx="130">
                  <c:v>40.95092717</c:v>
                </c:pt>
                <c:pt idx="131">
                  <c:v>97.002696159999999</c:v>
                </c:pt>
                <c:pt idx="132">
                  <c:v>66.695308400000002</c:v>
                </c:pt>
                <c:pt idx="133">
                  <c:v>99.999996449999998</c:v>
                </c:pt>
                <c:pt idx="134">
                  <c:v>93.390071629999994</c:v>
                </c:pt>
                <c:pt idx="135">
                  <c:v>97.54330899</c:v>
                </c:pt>
                <c:pt idx="136">
                  <c:v>62.207122249999998</c:v>
                </c:pt>
                <c:pt idx="137">
                  <c:v>65.414122989999996</c:v>
                </c:pt>
                <c:pt idx="138">
                  <c:v>60.41450115</c:v>
                </c:pt>
                <c:pt idx="139">
                  <c:v>63.961788740000003</c:v>
                </c:pt>
                <c:pt idx="140">
                  <c:v>62.666457610000002</c:v>
                </c:pt>
                <c:pt idx="141">
                  <c:v>56.476973389999998</c:v>
                </c:pt>
                <c:pt idx="142">
                  <c:v>46.187534790000001</c:v>
                </c:pt>
                <c:pt idx="143">
                  <c:v>71.219884969999995</c:v>
                </c:pt>
                <c:pt idx="144">
                  <c:v>84.905237790000001</c:v>
                </c:pt>
                <c:pt idx="145">
                  <c:v>99.999999290000005</c:v>
                </c:pt>
                <c:pt idx="146">
                  <c:v>93.925857179999994</c:v>
                </c:pt>
                <c:pt idx="147">
                  <c:v>95.359763560000005</c:v>
                </c:pt>
                <c:pt idx="148">
                  <c:v>94.006428270000001</c:v>
                </c:pt>
                <c:pt idx="149">
                  <c:v>65.412383570000003</c:v>
                </c:pt>
                <c:pt idx="150">
                  <c:v>95.434970320000005</c:v>
                </c:pt>
                <c:pt idx="151">
                  <c:v>99.999998719999994</c:v>
                </c:pt>
                <c:pt idx="152">
                  <c:v>70.047728509999999</c:v>
                </c:pt>
                <c:pt idx="153">
                  <c:v>100</c:v>
                </c:pt>
                <c:pt idx="154">
                  <c:v>82.547291029999997</c:v>
                </c:pt>
                <c:pt idx="155">
                  <c:v>47.214854459999998</c:v>
                </c:pt>
                <c:pt idx="156">
                  <c:v>92.227579370000001</c:v>
                </c:pt>
                <c:pt idx="157">
                  <c:v>46.911797470000003</c:v>
                </c:pt>
                <c:pt idx="158">
                  <c:v>99.969811820000004</c:v>
                </c:pt>
                <c:pt idx="159">
                  <c:v>93.843843030000002</c:v>
                </c:pt>
                <c:pt idx="160">
                  <c:v>70.909070389999997</c:v>
                </c:pt>
                <c:pt idx="161">
                  <c:v>65.720418179999996</c:v>
                </c:pt>
                <c:pt idx="162">
                  <c:v>53.385884910000001</c:v>
                </c:pt>
                <c:pt idx="163">
                  <c:v>93.685800709999995</c:v>
                </c:pt>
                <c:pt idx="164">
                  <c:v>90.074541789999998</c:v>
                </c:pt>
                <c:pt idx="165">
                  <c:v>60.663569840000001</c:v>
                </c:pt>
                <c:pt idx="166">
                  <c:v>85.790996649999997</c:v>
                </c:pt>
                <c:pt idx="167">
                  <c:v>63.369425630000002</c:v>
                </c:pt>
                <c:pt idx="168">
                  <c:v>97.09990707</c:v>
                </c:pt>
                <c:pt idx="169">
                  <c:v>57.167737619999997</c:v>
                </c:pt>
                <c:pt idx="170">
                  <c:v>93.139366210000006</c:v>
                </c:pt>
                <c:pt idx="171">
                  <c:v>97.828784850000005</c:v>
                </c:pt>
                <c:pt idx="172">
                  <c:v>100</c:v>
                </c:pt>
                <c:pt idx="173">
                  <c:v>90.402344679999999</c:v>
                </c:pt>
                <c:pt idx="174">
                  <c:v>99.221810660000003</c:v>
                </c:pt>
                <c:pt idx="175">
                  <c:v>99.966591550000004</c:v>
                </c:pt>
                <c:pt idx="176">
                  <c:v>75.091413250000002</c:v>
                </c:pt>
                <c:pt idx="177">
                  <c:v>98.359903250000002</c:v>
                </c:pt>
                <c:pt idx="178">
                  <c:v>93.928281949999999</c:v>
                </c:pt>
                <c:pt idx="179">
                  <c:v>60.448675600000001</c:v>
                </c:pt>
                <c:pt idx="180">
                  <c:v>94.43732996</c:v>
                </c:pt>
                <c:pt idx="181">
                  <c:v>0</c:v>
                </c:pt>
                <c:pt idx="182">
                  <c:v>55.855049209999997</c:v>
                </c:pt>
                <c:pt idx="183">
                  <c:v>99.925612610000002</c:v>
                </c:pt>
                <c:pt idx="184">
                  <c:v>97.491657110000006</c:v>
                </c:pt>
                <c:pt idx="185">
                  <c:v>99.931396649999996</c:v>
                </c:pt>
                <c:pt idx="186">
                  <c:v>61.632891579999999</c:v>
                </c:pt>
                <c:pt idx="187">
                  <c:v>83.718191910000002</c:v>
                </c:pt>
                <c:pt idx="188">
                  <c:v>93.885057439999997</c:v>
                </c:pt>
                <c:pt idx="189">
                  <c:v>60.716797589999999</c:v>
                </c:pt>
                <c:pt idx="190">
                  <c:v>99.91703407</c:v>
                </c:pt>
                <c:pt idx="191">
                  <c:v>99.999998500000004</c:v>
                </c:pt>
                <c:pt idx="192">
                  <c:v>99.999998559999995</c:v>
                </c:pt>
                <c:pt idx="193">
                  <c:v>100</c:v>
                </c:pt>
                <c:pt idx="194">
                  <c:v>100.00000230000001</c:v>
                </c:pt>
                <c:pt idx="195">
                  <c:v>97.482636330000005</c:v>
                </c:pt>
                <c:pt idx="196">
                  <c:v>97.014269159999998</c:v>
                </c:pt>
                <c:pt idx="197">
                  <c:v>45.952126960000001</c:v>
                </c:pt>
                <c:pt idx="198">
                  <c:v>96.884356870000005</c:v>
                </c:pt>
                <c:pt idx="199">
                  <c:v>99.440175960000005</c:v>
                </c:pt>
                <c:pt idx="200">
                  <c:v>94.109034559999998</c:v>
                </c:pt>
                <c:pt idx="201">
                  <c:v>49.615572739999998</c:v>
                </c:pt>
                <c:pt idx="202">
                  <c:v>99.078912450000004</c:v>
                </c:pt>
                <c:pt idx="203">
                  <c:v>99.679568279999998</c:v>
                </c:pt>
                <c:pt idx="204">
                  <c:v>96.992548069999998</c:v>
                </c:pt>
                <c:pt idx="205">
                  <c:v>97.697960249999994</c:v>
                </c:pt>
                <c:pt idx="206">
                  <c:v>77.609053380000006</c:v>
                </c:pt>
                <c:pt idx="207">
                  <c:v>99.320852990000006</c:v>
                </c:pt>
                <c:pt idx="208">
                  <c:v>90.148965079999996</c:v>
                </c:pt>
                <c:pt idx="209">
                  <c:v>92.415349610000007</c:v>
                </c:pt>
                <c:pt idx="210">
                  <c:v>99.883526680000003</c:v>
                </c:pt>
                <c:pt idx="211">
                  <c:v>90.489525029999996</c:v>
                </c:pt>
                <c:pt idx="212">
                  <c:v>94.261110590000001</c:v>
                </c:pt>
                <c:pt idx="213">
                  <c:v>89.864782531469217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B-43CF-8F4E-150036EEACBE}"/>
            </c:ext>
          </c:extLst>
        </c:ser>
        <c:ser>
          <c:idx val="1"/>
          <c:order val="1"/>
          <c:tx>
            <c:v>Limited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numRef>
              <c:f>'Estimates on the use of water ('!$T$2:$T$1000</c:f>
              <c:numCache>
                <c:formatCode>General</c:formatCode>
                <c:ptCount val="9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13</c:v>
                </c:pt>
                <c:pt idx="138">
                  <c:v>13</c:v>
                </c:pt>
                <c:pt idx="139">
                  <c:v>14</c:v>
                </c:pt>
                <c:pt idx="140">
                  <c:v>15</c:v>
                </c:pt>
                <c:pt idx="141">
                  <c:v>16</c:v>
                </c:pt>
                <c:pt idx="142">
                  <c:v>17</c:v>
                </c:pt>
                <c:pt idx="143">
                  <c:v>17</c:v>
                </c:pt>
                <c:pt idx="144">
                  <c:v>17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19</c:v>
                </c:pt>
                <c:pt idx="150">
                  <c:v>19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21</c:v>
                </c:pt>
                <c:pt idx="155">
                  <c:v>21</c:v>
                </c:pt>
                <c:pt idx="156">
                  <c:v>22</c:v>
                </c:pt>
                <c:pt idx="157">
                  <c:v>25</c:v>
                </c:pt>
                <c:pt idx="158">
                  <c:v>26</c:v>
                </c:pt>
                <c:pt idx="159">
                  <c:v>26</c:v>
                </c:pt>
                <c:pt idx="160">
                  <c:v>27</c:v>
                </c:pt>
                <c:pt idx="161">
                  <c:v>27</c:v>
                </c:pt>
                <c:pt idx="162">
                  <c:v>28</c:v>
                </c:pt>
                <c:pt idx="163">
                  <c:v>29</c:v>
                </c:pt>
                <c:pt idx="164">
                  <c:v>30</c:v>
                </c:pt>
                <c:pt idx="165">
                  <c:v>30</c:v>
                </c:pt>
                <c:pt idx="166">
                  <c:v>32</c:v>
                </c:pt>
                <c:pt idx="167">
                  <c:v>32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34</c:v>
                </c:pt>
                <c:pt idx="172">
                  <c:v>35</c:v>
                </c:pt>
                <c:pt idx="173">
                  <c:v>37</c:v>
                </c:pt>
                <c:pt idx="174">
                  <c:v>38</c:v>
                </c:pt>
                <c:pt idx="175">
                  <c:v>38</c:v>
                </c:pt>
                <c:pt idx="176">
                  <c:v>39</c:v>
                </c:pt>
                <c:pt idx="177">
                  <c:v>41</c:v>
                </c:pt>
                <c:pt idx="178">
                  <c:v>44</c:v>
                </c:pt>
                <c:pt idx="179">
                  <c:v>44</c:v>
                </c:pt>
                <c:pt idx="180">
                  <c:v>44</c:v>
                </c:pt>
                <c:pt idx="181">
                  <c:v>46</c:v>
                </c:pt>
                <c:pt idx="182">
                  <c:v>46</c:v>
                </c:pt>
                <c:pt idx="183">
                  <c:v>47</c:v>
                </c:pt>
                <c:pt idx="184">
                  <c:v>51</c:v>
                </c:pt>
                <c:pt idx="185">
                  <c:v>52</c:v>
                </c:pt>
                <c:pt idx="186">
                  <c:v>54</c:v>
                </c:pt>
                <c:pt idx="187">
                  <c:v>55</c:v>
                </c:pt>
                <c:pt idx="188">
                  <c:v>60</c:v>
                </c:pt>
                <c:pt idx="189">
                  <c:v>60</c:v>
                </c:pt>
                <c:pt idx="190">
                  <c:v>61</c:v>
                </c:pt>
                <c:pt idx="191">
                  <c:v>66</c:v>
                </c:pt>
                <c:pt idx="192">
                  <c:v>68</c:v>
                </c:pt>
                <c:pt idx="193">
                  <c:v>70</c:v>
                </c:pt>
                <c:pt idx="194">
                  <c:v>84</c:v>
                </c:pt>
                <c:pt idx="195">
                  <c:v>84</c:v>
                </c:pt>
                <c:pt idx="196">
                  <c:v>85</c:v>
                </c:pt>
                <c:pt idx="197">
                  <c:v>90</c:v>
                </c:pt>
                <c:pt idx="198">
                  <c:v>98</c:v>
                </c:pt>
                <c:pt idx="199">
                  <c:v>103</c:v>
                </c:pt>
                <c:pt idx="200">
                  <c:v>110</c:v>
                </c:pt>
                <c:pt idx="201">
                  <c:v>115</c:v>
                </c:pt>
                <c:pt idx="202">
                  <c:v>127</c:v>
                </c:pt>
                <c:pt idx="203">
                  <c:v>129</c:v>
                </c:pt>
                <c:pt idx="204">
                  <c:v>146</c:v>
                </c:pt>
                <c:pt idx="205">
                  <c:v>165</c:v>
                </c:pt>
                <c:pt idx="206">
                  <c:v>207</c:v>
                </c:pt>
                <c:pt idx="207">
                  <c:v>213</c:v>
                </c:pt>
                <c:pt idx="208">
                  <c:v>221</c:v>
                </c:pt>
                <c:pt idx="209">
                  <c:v>274</c:v>
                </c:pt>
                <c:pt idx="210">
                  <c:v>332</c:v>
                </c:pt>
                <c:pt idx="211">
                  <c:v>1381</c:v>
                </c:pt>
                <c:pt idx="212">
                  <c:v>1464</c:v>
                </c:pt>
              </c:numCache>
            </c:numRef>
          </c:cat>
          <c:val>
            <c:numRef>
              <c:f>'Estimates on the use of water ('!$F$2:$F$1000</c:f>
              <c:numCache>
                <c:formatCode>General</c:formatCode>
                <c:ptCount val="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11.387979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0.88149729619999995</c:v>
                </c:pt>
                <c:pt idx="28">
                  <c:v>4.0768996250000002</c:v>
                </c:pt>
                <c:pt idx="29">
                  <c:v>0</c:v>
                </c:pt>
                <c:pt idx="30">
                  <c:v>1.815652166</c:v>
                </c:pt>
                <c:pt idx="31">
                  <c:v>6.5208999519999997</c:v>
                </c:pt>
                <c:pt idx="32">
                  <c:v>20.237982980000002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0.26760057609999999</c:v>
                </c:pt>
                <c:pt idx="37">
                  <c:v>0</c:v>
                </c:pt>
                <c:pt idx="38">
                  <c:v>1.0623850500000001</c:v>
                </c:pt>
                <c:pt idx="39">
                  <c:v>0</c:v>
                </c:pt>
                <c:pt idx="40">
                  <c:v>0</c:v>
                </c:pt>
                <c:pt idx="41">
                  <c:v>1.249110629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4.8050691299999997E-2</c:v>
                </c:pt>
                <c:pt idx="46">
                  <c:v>7.9041508460000003</c:v>
                </c:pt>
                <c:pt idx="47">
                  <c:v>1.0672469410000001</c:v>
                </c:pt>
                <c:pt idx="48">
                  <c:v>0</c:v>
                </c:pt>
                <c:pt idx="49">
                  <c:v>0.54547882039999995</c:v>
                </c:pt>
                <c:pt idx="50">
                  <c:v>0</c:v>
                </c:pt>
                <c:pt idx="51">
                  <c:v>5.79547831</c:v>
                </c:pt>
                <c:pt idx="52">
                  <c:v>2.4607126070000001</c:v>
                </c:pt>
                <c:pt idx="53">
                  <c:v>1.205244408</c:v>
                </c:pt>
                <c:pt idx="54">
                  <c:v>0</c:v>
                </c:pt>
                <c:pt idx="55">
                  <c:v>0</c:v>
                </c:pt>
                <c:pt idx="56">
                  <c:v>14.7574817</c:v>
                </c:pt>
                <c:pt idx="57">
                  <c:v>9.5070671630000003</c:v>
                </c:pt>
                <c:pt idx="58">
                  <c:v>0</c:v>
                </c:pt>
                <c:pt idx="59">
                  <c:v>0</c:v>
                </c:pt>
                <c:pt idx="60">
                  <c:v>1.88586597</c:v>
                </c:pt>
                <c:pt idx="61">
                  <c:v>0</c:v>
                </c:pt>
                <c:pt idx="62">
                  <c:v>1.1248292310000001</c:v>
                </c:pt>
                <c:pt idx="63">
                  <c:v>0</c:v>
                </c:pt>
                <c:pt idx="64">
                  <c:v>0.68230074240000005</c:v>
                </c:pt>
                <c:pt idx="65">
                  <c:v>14.03457137</c:v>
                </c:pt>
                <c:pt idx="66">
                  <c:v>0</c:v>
                </c:pt>
                <c:pt idx="67">
                  <c:v>1.6349941400000001</c:v>
                </c:pt>
                <c:pt idx="68">
                  <c:v>10.40592597</c:v>
                </c:pt>
                <c:pt idx="69">
                  <c:v>7.7352631030000003</c:v>
                </c:pt>
                <c:pt idx="70">
                  <c:v>4.7230389700000002</c:v>
                </c:pt>
                <c:pt idx="71">
                  <c:v>8.5973913910000004</c:v>
                </c:pt>
                <c:pt idx="72">
                  <c:v>7.0876275099999999</c:v>
                </c:pt>
                <c:pt idx="73">
                  <c:v>0</c:v>
                </c:pt>
                <c:pt idx="74">
                  <c:v>0</c:v>
                </c:pt>
                <c:pt idx="75">
                  <c:v>1.8846560919999999</c:v>
                </c:pt>
                <c:pt idx="76">
                  <c:v>0</c:v>
                </c:pt>
                <c:pt idx="77">
                  <c:v>5.3675709139999999</c:v>
                </c:pt>
                <c:pt idx="78">
                  <c:v>0</c:v>
                </c:pt>
                <c:pt idx="79">
                  <c:v>2.1464289299999999</c:v>
                </c:pt>
                <c:pt idx="80">
                  <c:v>3.8236639380000002</c:v>
                </c:pt>
                <c:pt idx="81">
                  <c:v>0.50424244119999995</c:v>
                </c:pt>
                <c:pt idx="82">
                  <c:v>0</c:v>
                </c:pt>
                <c:pt idx="83">
                  <c:v>1.519776762</c:v>
                </c:pt>
                <c:pt idx="84">
                  <c:v>0</c:v>
                </c:pt>
                <c:pt idx="85">
                  <c:v>0</c:v>
                </c:pt>
                <c:pt idx="86">
                  <c:v>1.8734805919999999</c:v>
                </c:pt>
                <c:pt idx="87">
                  <c:v>13.476891930000001</c:v>
                </c:pt>
                <c:pt idx="88">
                  <c:v>0</c:v>
                </c:pt>
                <c:pt idx="89">
                  <c:v>25.682373479999999</c:v>
                </c:pt>
                <c:pt idx="90">
                  <c:v>0</c:v>
                </c:pt>
                <c:pt idx="91">
                  <c:v>8.7006574749999999</c:v>
                </c:pt>
                <c:pt idx="92">
                  <c:v>0.18945947460000001</c:v>
                </c:pt>
                <c:pt idx="93">
                  <c:v>1.029979486</c:v>
                </c:pt>
                <c:pt idx="94">
                  <c:v>7.5414198929999996</c:v>
                </c:pt>
                <c:pt idx="95">
                  <c:v>0</c:v>
                </c:pt>
                <c:pt idx="96">
                  <c:v>0.2123014241</c:v>
                </c:pt>
                <c:pt idx="97">
                  <c:v>10.46117203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0.20726323190000001</c:v>
                </c:pt>
                <c:pt idx="103">
                  <c:v>1.900734111</c:v>
                </c:pt>
                <c:pt idx="104">
                  <c:v>1.506645682</c:v>
                </c:pt>
                <c:pt idx="105">
                  <c:v>7.4</c:v>
                </c:pt>
                <c:pt idx="106">
                  <c:v>0</c:v>
                </c:pt>
                <c:pt idx="107">
                  <c:v>0</c:v>
                </c:pt>
                <c:pt idx="108">
                  <c:v>0.40653024389999998</c:v>
                </c:pt>
                <c:pt idx="109">
                  <c:v>3.566857739</c:v>
                </c:pt>
                <c:pt idx="110">
                  <c:v>0</c:v>
                </c:pt>
                <c:pt idx="111">
                  <c:v>9.0233163570000006</c:v>
                </c:pt>
                <c:pt idx="112">
                  <c:v>6.065434765</c:v>
                </c:pt>
                <c:pt idx="113">
                  <c:v>0</c:v>
                </c:pt>
                <c:pt idx="114">
                  <c:v>0</c:v>
                </c:pt>
                <c:pt idx="115">
                  <c:v>4.244199279</c:v>
                </c:pt>
                <c:pt idx="116">
                  <c:v>2.128564452</c:v>
                </c:pt>
                <c:pt idx="117">
                  <c:v>0</c:v>
                </c:pt>
                <c:pt idx="118">
                  <c:v>3.3721195499999999</c:v>
                </c:pt>
                <c:pt idx="119">
                  <c:v>2.5683639349999998</c:v>
                </c:pt>
                <c:pt idx="120">
                  <c:v>0</c:v>
                </c:pt>
                <c:pt idx="121">
                  <c:v>0</c:v>
                </c:pt>
                <c:pt idx="122">
                  <c:v>0.4256206085</c:v>
                </c:pt>
                <c:pt idx="123">
                  <c:v>0</c:v>
                </c:pt>
                <c:pt idx="124">
                  <c:v>1.04278118</c:v>
                </c:pt>
                <c:pt idx="125">
                  <c:v>0</c:v>
                </c:pt>
                <c:pt idx="126">
                  <c:v>0.1462147369</c:v>
                </c:pt>
                <c:pt idx="127">
                  <c:v>0</c:v>
                </c:pt>
                <c:pt idx="128">
                  <c:v>0</c:v>
                </c:pt>
                <c:pt idx="129">
                  <c:v>0.46703865039999998</c:v>
                </c:pt>
                <c:pt idx="130">
                  <c:v>37.426962869999997</c:v>
                </c:pt>
                <c:pt idx="131">
                  <c:v>1.471384542</c:v>
                </c:pt>
                <c:pt idx="132">
                  <c:v>9.8145436519999993</c:v>
                </c:pt>
                <c:pt idx="133">
                  <c:v>0</c:v>
                </c:pt>
                <c:pt idx="134">
                  <c:v>0.13659052960000001</c:v>
                </c:pt>
                <c:pt idx="135">
                  <c:v>1.63135067</c:v>
                </c:pt>
                <c:pt idx="136">
                  <c:v>19.439693139999999</c:v>
                </c:pt>
                <c:pt idx="137">
                  <c:v>9.317535586</c:v>
                </c:pt>
                <c:pt idx="138">
                  <c:v>22.3207193</c:v>
                </c:pt>
                <c:pt idx="139">
                  <c:v>21.281591500000001</c:v>
                </c:pt>
                <c:pt idx="140">
                  <c:v>14.1975397</c:v>
                </c:pt>
                <c:pt idx="141">
                  <c:v>27.704199559999999</c:v>
                </c:pt>
                <c:pt idx="142">
                  <c:v>14.74028929</c:v>
                </c:pt>
                <c:pt idx="143">
                  <c:v>13.90222204</c:v>
                </c:pt>
                <c:pt idx="144">
                  <c:v>2.3872175090000001</c:v>
                </c:pt>
                <c:pt idx="145">
                  <c:v>0</c:v>
                </c:pt>
                <c:pt idx="146">
                  <c:v>5.8737307679999997</c:v>
                </c:pt>
                <c:pt idx="147">
                  <c:v>3.451463449E-3</c:v>
                </c:pt>
                <c:pt idx="148">
                  <c:v>1.034150511</c:v>
                </c:pt>
                <c:pt idx="149">
                  <c:v>6.1539390200000001</c:v>
                </c:pt>
                <c:pt idx="150">
                  <c:v>1.9414250390000001</c:v>
                </c:pt>
                <c:pt idx="151">
                  <c:v>0</c:v>
                </c:pt>
                <c:pt idx="152">
                  <c:v>21.95081497</c:v>
                </c:pt>
                <c:pt idx="153">
                  <c:v>0</c:v>
                </c:pt>
                <c:pt idx="154">
                  <c:v>3.8547345270000002</c:v>
                </c:pt>
                <c:pt idx="155">
                  <c:v>31.2730034</c:v>
                </c:pt>
                <c:pt idx="156">
                  <c:v>0.59545814949999998</c:v>
                </c:pt>
                <c:pt idx="157">
                  <c:v>21.653898699999999</c:v>
                </c:pt>
                <c:pt idx="158">
                  <c:v>0</c:v>
                </c:pt>
                <c:pt idx="159">
                  <c:v>0.68313118719999999</c:v>
                </c:pt>
                <c:pt idx="160">
                  <c:v>8.9354217019999993</c:v>
                </c:pt>
                <c:pt idx="161">
                  <c:v>12.874748629999999</c:v>
                </c:pt>
                <c:pt idx="162">
                  <c:v>2.7179729799999999</c:v>
                </c:pt>
                <c:pt idx="163">
                  <c:v>0.4707829181</c:v>
                </c:pt>
                <c:pt idx="164">
                  <c:v>3.979825725</c:v>
                </c:pt>
                <c:pt idx="165">
                  <c:v>28.9627418</c:v>
                </c:pt>
                <c:pt idx="166">
                  <c:v>6.5860621129999997</c:v>
                </c:pt>
                <c:pt idx="167">
                  <c:v>9.9757845070000002</c:v>
                </c:pt>
                <c:pt idx="168">
                  <c:v>0.35453968650000001</c:v>
                </c:pt>
                <c:pt idx="169">
                  <c:v>9.2873499190000004</c:v>
                </c:pt>
                <c:pt idx="170">
                  <c:v>0.84955935110000003</c:v>
                </c:pt>
                <c:pt idx="171">
                  <c:v>0</c:v>
                </c:pt>
                <c:pt idx="172">
                  <c:v>0</c:v>
                </c:pt>
                <c:pt idx="173">
                  <c:v>5.2635496010000002</c:v>
                </c:pt>
                <c:pt idx="174">
                  <c:v>0</c:v>
                </c:pt>
                <c:pt idx="175">
                  <c:v>0</c:v>
                </c:pt>
                <c:pt idx="176">
                  <c:v>1.447541688</c:v>
                </c:pt>
                <c:pt idx="177">
                  <c:v>0.89216034950000001</c:v>
                </c:pt>
                <c:pt idx="178">
                  <c:v>5.671978717</c:v>
                </c:pt>
                <c:pt idx="179">
                  <c:v>26.670019750000002</c:v>
                </c:pt>
                <c:pt idx="180">
                  <c:v>4.9858808420000003</c:v>
                </c:pt>
                <c:pt idx="181">
                  <c:v>0</c:v>
                </c:pt>
                <c:pt idx="182">
                  <c:v>27.282859999999999</c:v>
                </c:pt>
                <c:pt idx="183">
                  <c:v>0</c:v>
                </c:pt>
                <c:pt idx="184">
                  <c:v>0.18615215909999999</c:v>
                </c:pt>
                <c:pt idx="185">
                  <c:v>0</c:v>
                </c:pt>
                <c:pt idx="186">
                  <c:v>9.54187005</c:v>
                </c:pt>
                <c:pt idx="187">
                  <c:v>1.595436949</c:v>
                </c:pt>
                <c:pt idx="188">
                  <c:v>2.7727361859999999</c:v>
                </c:pt>
                <c:pt idx="189">
                  <c:v>11.29007067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1.938311229</c:v>
                </c:pt>
                <c:pt idx="196">
                  <c:v>2.0230780749999999</c:v>
                </c:pt>
                <c:pt idx="197">
                  <c:v>13.44122447</c:v>
                </c:pt>
                <c:pt idx="198">
                  <c:v>0</c:v>
                </c:pt>
                <c:pt idx="199">
                  <c:v>0.23760910860000001</c:v>
                </c:pt>
                <c:pt idx="200">
                  <c:v>2.8564861370000001</c:v>
                </c:pt>
                <c:pt idx="201">
                  <c:v>26.740719639999998</c:v>
                </c:pt>
                <c:pt idx="202">
                  <c:v>0</c:v>
                </c:pt>
                <c:pt idx="203">
                  <c:v>0</c:v>
                </c:pt>
                <c:pt idx="204">
                  <c:v>0.62199637659999996</c:v>
                </c:pt>
                <c:pt idx="205">
                  <c:v>1.1564258780000001</c:v>
                </c:pt>
                <c:pt idx="206">
                  <c:v>4.9793993429999999</c:v>
                </c:pt>
                <c:pt idx="207">
                  <c:v>0.12654900390000001</c:v>
                </c:pt>
                <c:pt idx="208">
                  <c:v>3.8222795249999999</c:v>
                </c:pt>
                <c:pt idx="209">
                  <c:v>0.85547463349999997</c:v>
                </c:pt>
                <c:pt idx="210">
                  <c:v>0</c:v>
                </c:pt>
                <c:pt idx="211">
                  <c:v>4.9836025619999997</c:v>
                </c:pt>
                <c:pt idx="212">
                  <c:v>0.8147213297</c:v>
                </c:pt>
                <c:pt idx="213">
                  <c:v>3.8652653448826966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B-43CF-8F4E-150036EEACBE}"/>
            </c:ext>
          </c:extLst>
        </c:ser>
        <c:ser>
          <c:idx val="2"/>
          <c:order val="2"/>
          <c:tx>
            <c:v>Unimproved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numRef>
              <c:f>'Estimates on the use of water ('!$T$2:$T$1000</c:f>
              <c:numCache>
                <c:formatCode>General</c:formatCode>
                <c:ptCount val="9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13</c:v>
                </c:pt>
                <c:pt idx="138">
                  <c:v>13</c:v>
                </c:pt>
                <c:pt idx="139">
                  <c:v>14</c:v>
                </c:pt>
                <c:pt idx="140">
                  <c:v>15</c:v>
                </c:pt>
                <c:pt idx="141">
                  <c:v>16</c:v>
                </c:pt>
                <c:pt idx="142">
                  <c:v>17</c:v>
                </c:pt>
                <c:pt idx="143">
                  <c:v>17</c:v>
                </c:pt>
                <c:pt idx="144">
                  <c:v>17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19</c:v>
                </c:pt>
                <c:pt idx="150">
                  <c:v>19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21</c:v>
                </c:pt>
                <c:pt idx="155">
                  <c:v>21</c:v>
                </c:pt>
                <c:pt idx="156">
                  <c:v>22</c:v>
                </c:pt>
                <c:pt idx="157">
                  <c:v>25</c:v>
                </c:pt>
                <c:pt idx="158">
                  <c:v>26</c:v>
                </c:pt>
                <c:pt idx="159">
                  <c:v>26</c:v>
                </c:pt>
                <c:pt idx="160">
                  <c:v>27</c:v>
                </c:pt>
                <c:pt idx="161">
                  <c:v>27</c:v>
                </c:pt>
                <c:pt idx="162">
                  <c:v>28</c:v>
                </c:pt>
                <c:pt idx="163">
                  <c:v>29</c:v>
                </c:pt>
                <c:pt idx="164">
                  <c:v>30</c:v>
                </c:pt>
                <c:pt idx="165">
                  <c:v>30</c:v>
                </c:pt>
                <c:pt idx="166">
                  <c:v>32</c:v>
                </c:pt>
                <c:pt idx="167">
                  <c:v>32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34</c:v>
                </c:pt>
                <c:pt idx="172">
                  <c:v>35</c:v>
                </c:pt>
                <c:pt idx="173">
                  <c:v>37</c:v>
                </c:pt>
                <c:pt idx="174">
                  <c:v>38</c:v>
                </c:pt>
                <c:pt idx="175">
                  <c:v>38</c:v>
                </c:pt>
                <c:pt idx="176">
                  <c:v>39</c:v>
                </c:pt>
                <c:pt idx="177">
                  <c:v>41</c:v>
                </c:pt>
                <c:pt idx="178">
                  <c:v>44</c:v>
                </c:pt>
                <c:pt idx="179">
                  <c:v>44</c:v>
                </c:pt>
                <c:pt idx="180">
                  <c:v>44</c:v>
                </c:pt>
                <c:pt idx="181">
                  <c:v>46</c:v>
                </c:pt>
                <c:pt idx="182">
                  <c:v>46</c:v>
                </c:pt>
                <c:pt idx="183">
                  <c:v>47</c:v>
                </c:pt>
                <c:pt idx="184">
                  <c:v>51</c:v>
                </c:pt>
                <c:pt idx="185">
                  <c:v>52</c:v>
                </c:pt>
                <c:pt idx="186">
                  <c:v>54</c:v>
                </c:pt>
                <c:pt idx="187">
                  <c:v>55</c:v>
                </c:pt>
                <c:pt idx="188">
                  <c:v>60</c:v>
                </c:pt>
                <c:pt idx="189">
                  <c:v>60</c:v>
                </c:pt>
                <c:pt idx="190">
                  <c:v>61</c:v>
                </c:pt>
                <c:pt idx="191">
                  <c:v>66</c:v>
                </c:pt>
                <c:pt idx="192">
                  <c:v>68</c:v>
                </c:pt>
                <c:pt idx="193">
                  <c:v>70</c:v>
                </c:pt>
                <c:pt idx="194">
                  <c:v>84</c:v>
                </c:pt>
                <c:pt idx="195">
                  <c:v>84</c:v>
                </c:pt>
                <c:pt idx="196">
                  <c:v>85</c:v>
                </c:pt>
                <c:pt idx="197">
                  <c:v>90</c:v>
                </c:pt>
                <c:pt idx="198">
                  <c:v>98</c:v>
                </c:pt>
                <c:pt idx="199">
                  <c:v>103</c:v>
                </c:pt>
                <c:pt idx="200">
                  <c:v>110</c:v>
                </c:pt>
                <c:pt idx="201">
                  <c:v>115</c:v>
                </c:pt>
                <c:pt idx="202">
                  <c:v>127</c:v>
                </c:pt>
                <c:pt idx="203">
                  <c:v>129</c:v>
                </c:pt>
                <c:pt idx="204">
                  <c:v>146</c:v>
                </c:pt>
                <c:pt idx="205">
                  <c:v>165</c:v>
                </c:pt>
                <c:pt idx="206">
                  <c:v>207</c:v>
                </c:pt>
                <c:pt idx="207">
                  <c:v>213</c:v>
                </c:pt>
                <c:pt idx="208">
                  <c:v>221</c:v>
                </c:pt>
                <c:pt idx="209">
                  <c:v>274</c:v>
                </c:pt>
                <c:pt idx="210">
                  <c:v>332</c:v>
                </c:pt>
                <c:pt idx="211">
                  <c:v>1381</c:v>
                </c:pt>
                <c:pt idx="212">
                  <c:v>1464</c:v>
                </c:pt>
              </c:numCache>
            </c:numRef>
          </c:cat>
          <c:val>
            <c:numRef>
              <c:f>'Estimates on the use of water ('!$G$2:$G$1000</c:f>
              <c:numCache>
                <c:formatCode>General</c:formatCode>
                <c:ptCount val="999"/>
                <c:pt idx="0">
                  <c:v>0.29232334589999998</c:v>
                </c:pt>
                <c:pt idx="1">
                  <c:v>2.9891238219999998</c:v>
                </c:pt>
                <c:pt idx="2">
                  <c:v>4.6910725959999997</c:v>
                </c:pt>
                <c:pt idx="3">
                  <c:v>1.922517378</c:v>
                </c:pt>
                <c:pt idx="4">
                  <c:v>8.6</c:v>
                </c:pt>
                <c:pt idx="5">
                  <c:v>0.9</c:v>
                </c:pt>
                <c:pt idx="6">
                  <c:v>0</c:v>
                </c:pt>
                <c:pt idx="7">
                  <c:v>0</c:v>
                </c:pt>
                <c:pt idx="8">
                  <c:v>0.85671263900000005</c:v>
                </c:pt>
                <c:pt idx="9">
                  <c:v>0</c:v>
                </c:pt>
                <c:pt idx="10">
                  <c:v>2.8389782700000001E-2</c:v>
                </c:pt>
                <c:pt idx="11">
                  <c:v>0.34245449839999997</c:v>
                </c:pt>
                <c:pt idx="12">
                  <c:v>0.13561643840000001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7.2861055070000001E-4</c:v>
                </c:pt>
                <c:pt idx="17">
                  <c:v>0</c:v>
                </c:pt>
                <c:pt idx="18">
                  <c:v>0</c:v>
                </c:pt>
                <c:pt idx="19">
                  <c:v>0.22622834150000001</c:v>
                </c:pt>
                <c:pt idx="20">
                  <c:v>0</c:v>
                </c:pt>
                <c:pt idx="21">
                  <c:v>0</c:v>
                </c:pt>
                <c:pt idx="22">
                  <c:v>3.9974025849999997E-2</c:v>
                </c:pt>
                <c:pt idx="23">
                  <c:v>9.6859982940000006E-2</c:v>
                </c:pt>
                <c:pt idx="24">
                  <c:v>0</c:v>
                </c:pt>
                <c:pt idx="25">
                  <c:v>0.92500000000000004</c:v>
                </c:pt>
                <c:pt idx="26">
                  <c:v>1.281732624</c:v>
                </c:pt>
                <c:pt idx="27">
                  <c:v>0.38742187769999997</c:v>
                </c:pt>
                <c:pt idx="28">
                  <c:v>17.952179529999999</c:v>
                </c:pt>
                <c:pt idx="29">
                  <c:v>0.30480000000000002</c:v>
                </c:pt>
                <c:pt idx="30">
                  <c:v>1.296503269</c:v>
                </c:pt>
                <c:pt idx="31">
                  <c:v>1.4186234280000001</c:v>
                </c:pt>
                <c:pt idx="32">
                  <c:v>0.44351992839999999</c:v>
                </c:pt>
                <c:pt idx="33">
                  <c:v>3.6288202950000001</c:v>
                </c:pt>
                <c:pt idx="34">
                  <c:v>0</c:v>
                </c:pt>
                <c:pt idx="35">
                  <c:v>0.69467942780000003</c:v>
                </c:pt>
                <c:pt idx="36">
                  <c:v>1.2179490049999999</c:v>
                </c:pt>
                <c:pt idx="37">
                  <c:v>6.2177836519999996</c:v>
                </c:pt>
                <c:pt idx="38">
                  <c:v>0</c:v>
                </c:pt>
                <c:pt idx="39">
                  <c:v>2.7946500150000002E-6</c:v>
                </c:pt>
                <c:pt idx="40">
                  <c:v>0.15802921580000001</c:v>
                </c:pt>
                <c:pt idx="41">
                  <c:v>0.3489347411</c:v>
                </c:pt>
                <c:pt idx="42">
                  <c:v>0.19687396130000001</c:v>
                </c:pt>
                <c:pt idx="43">
                  <c:v>9.9963200360000004E-2</c:v>
                </c:pt>
                <c:pt idx="44">
                  <c:v>0</c:v>
                </c:pt>
                <c:pt idx="45">
                  <c:v>0.40751070499999997</c:v>
                </c:pt>
                <c:pt idx="46">
                  <c:v>3.2091477159999999</c:v>
                </c:pt>
                <c:pt idx="47">
                  <c:v>0.37933650730000001</c:v>
                </c:pt>
                <c:pt idx="48">
                  <c:v>0.1200674649</c:v>
                </c:pt>
                <c:pt idx="49">
                  <c:v>0.59231201099999997</c:v>
                </c:pt>
                <c:pt idx="50">
                  <c:v>0</c:v>
                </c:pt>
                <c:pt idx="51">
                  <c:v>21.267843129999999</c:v>
                </c:pt>
                <c:pt idx="52">
                  <c:v>0.17642421829999999</c:v>
                </c:pt>
                <c:pt idx="53">
                  <c:v>1.143069849</c:v>
                </c:pt>
                <c:pt idx="54">
                  <c:v>0</c:v>
                </c:pt>
                <c:pt idx="55">
                  <c:v>3.3186027660000001</c:v>
                </c:pt>
                <c:pt idx="56">
                  <c:v>7.0158760510000002</c:v>
                </c:pt>
                <c:pt idx="57">
                  <c:v>9.8355679309999999</c:v>
                </c:pt>
                <c:pt idx="58">
                  <c:v>0.2348268167</c:v>
                </c:pt>
                <c:pt idx="59">
                  <c:v>0.13374530139999999</c:v>
                </c:pt>
                <c:pt idx="60">
                  <c:v>8.3600293969999999</c:v>
                </c:pt>
                <c:pt idx="61">
                  <c:v>0.40921822320000001</c:v>
                </c:pt>
                <c:pt idx="62">
                  <c:v>0</c:v>
                </c:pt>
                <c:pt idx="63">
                  <c:v>0</c:v>
                </c:pt>
                <c:pt idx="64">
                  <c:v>0.53509810369999999</c:v>
                </c:pt>
                <c:pt idx="65">
                  <c:v>26.6263769</c:v>
                </c:pt>
                <c:pt idx="66">
                  <c:v>0.5</c:v>
                </c:pt>
                <c:pt idx="67">
                  <c:v>0.57422847619999995</c:v>
                </c:pt>
                <c:pt idx="68">
                  <c:v>12.21725464</c:v>
                </c:pt>
                <c:pt idx="69">
                  <c:v>6.9228083570000001</c:v>
                </c:pt>
                <c:pt idx="70">
                  <c:v>1.7325264760000001</c:v>
                </c:pt>
                <c:pt idx="71">
                  <c:v>10.352852070000001</c:v>
                </c:pt>
                <c:pt idx="72">
                  <c:v>3.740143722</c:v>
                </c:pt>
                <c:pt idx="73">
                  <c:v>1.9866527599999999</c:v>
                </c:pt>
                <c:pt idx="74">
                  <c:v>0</c:v>
                </c:pt>
                <c:pt idx="75">
                  <c:v>3.0473050810000002</c:v>
                </c:pt>
                <c:pt idx="76">
                  <c:v>0.4318980637</c:v>
                </c:pt>
                <c:pt idx="77">
                  <c:v>1.8640102030000001</c:v>
                </c:pt>
                <c:pt idx="78">
                  <c:v>2.8819308009999999E-2</c:v>
                </c:pt>
                <c:pt idx="79">
                  <c:v>6.6333667140000001</c:v>
                </c:pt>
                <c:pt idx="80">
                  <c:v>6.2438437520000001E-2</c:v>
                </c:pt>
                <c:pt idx="81">
                  <c:v>0</c:v>
                </c:pt>
                <c:pt idx="82">
                  <c:v>2.6327613790000002</c:v>
                </c:pt>
                <c:pt idx="83">
                  <c:v>7.910260997</c:v>
                </c:pt>
                <c:pt idx="84">
                  <c:v>0</c:v>
                </c:pt>
                <c:pt idx="85">
                  <c:v>0</c:v>
                </c:pt>
                <c:pt idx="86">
                  <c:v>2.2623042469999999</c:v>
                </c:pt>
                <c:pt idx="87">
                  <c:v>14.820326809999999</c:v>
                </c:pt>
                <c:pt idx="88">
                  <c:v>0</c:v>
                </c:pt>
                <c:pt idx="89">
                  <c:v>33.53911377</c:v>
                </c:pt>
                <c:pt idx="90">
                  <c:v>2.6002934849999999</c:v>
                </c:pt>
                <c:pt idx="91">
                  <c:v>3.488080869</c:v>
                </c:pt>
                <c:pt idx="92">
                  <c:v>3.5944518969999999E-6</c:v>
                </c:pt>
                <c:pt idx="93">
                  <c:v>1.089623295</c:v>
                </c:pt>
                <c:pt idx="94">
                  <c:v>0.26040520360000002</c:v>
                </c:pt>
                <c:pt idx="95">
                  <c:v>4.5034074529999998E-6</c:v>
                </c:pt>
                <c:pt idx="96">
                  <c:v>0</c:v>
                </c:pt>
                <c:pt idx="97">
                  <c:v>9.5591807220000007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0.31517399689999998</c:v>
                </c:pt>
                <c:pt idx="103">
                  <c:v>1.8656486999999999</c:v>
                </c:pt>
                <c:pt idx="104">
                  <c:v>13.530531140000001</c:v>
                </c:pt>
                <c:pt idx="105">
                  <c:v>0</c:v>
                </c:pt>
                <c:pt idx="106">
                  <c:v>0.1084762012</c:v>
                </c:pt>
                <c:pt idx="107">
                  <c:v>0.98858306070000002</c:v>
                </c:pt>
                <c:pt idx="108">
                  <c:v>3.4229177000000001E-6</c:v>
                </c:pt>
                <c:pt idx="109">
                  <c:v>10.62886799</c:v>
                </c:pt>
                <c:pt idx="110">
                  <c:v>0</c:v>
                </c:pt>
                <c:pt idx="111">
                  <c:v>15.5639457</c:v>
                </c:pt>
                <c:pt idx="112">
                  <c:v>14.16432245</c:v>
                </c:pt>
                <c:pt idx="113">
                  <c:v>0</c:v>
                </c:pt>
                <c:pt idx="114">
                  <c:v>0</c:v>
                </c:pt>
                <c:pt idx="115">
                  <c:v>0.44372047780000001</c:v>
                </c:pt>
                <c:pt idx="116">
                  <c:v>22.157624949999999</c:v>
                </c:pt>
                <c:pt idx="117">
                  <c:v>0</c:v>
                </c:pt>
                <c:pt idx="118">
                  <c:v>9.3154368370000004E-2</c:v>
                </c:pt>
                <c:pt idx="119">
                  <c:v>3.4218570050000001</c:v>
                </c:pt>
                <c:pt idx="120">
                  <c:v>2.5272441919999999E-6</c:v>
                </c:pt>
                <c:pt idx="121">
                  <c:v>3.4403999999999997E-2</c:v>
                </c:pt>
                <c:pt idx="122">
                  <c:v>3.8851582640000002</c:v>
                </c:pt>
                <c:pt idx="123">
                  <c:v>0.17313237349999999</c:v>
                </c:pt>
                <c:pt idx="124">
                  <c:v>2.9138426879999999</c:v>
                </c:pt>
                <c:pt idx="125">
                  <c:v>8.8006333689999994E-2</c:v>
                </c:pt>
                <c:pt idx="126">
                  <c:v>0.8536474704</c:v>
                </c:pt>
                <c:pt idx="127">
                  <c:v>0</c:v>
                </c:pt>
                <c:pt idx="128">
                  <c:v>0.11940833250000001</c:v>
                </c:pt>
                <c:pt idx="129">
                  <c:v>1.2694287829999999</c:v>
                </c:pt>
                <c:pt idx="130">
                  <c:v>13.537555190000001</c:v>
                </c:pt>
                <c:pt idx="131">
                  <c:v>1.252811506</c:v>
                </c:pt>
                <c:pt idx="132">
                  <c:v>23.490147950000001</c:v>
                </c:pt>
                <c:pt idx="133">
                  <c:v>3.5547967910000002E-6</c:v>
                </c:pt>
                <c:pt idx="134">
                  <c:v>1.575010843</c:v>
                </c:pt>
                <c:pt idx="135">
                  <c:v>0.82534033780000005</c:v>
                </c:pt>
                <c:pt idx="136">
                  <c:v>14.758259689999999</c:v>
                </c:pt>
                <c:pt idx="137">
                  <c:v>21.97254088</c:v>
                </c:pt>
                <c:pt idx="138">
                  <c:v>13.15480415</c:v>
                </c:pt>
                <c:pt idx="139">
                  <c:v>6.2961194059999999</c:v>
                </c:pt>
                <c:pt idx="140">
                  <c:v>16.277855450000001</c:v>
                </c:pt>
                <c:pt idx="141">
                  <c:v>13.41704303</c:v>
                </c:pt>
                <c:pt idx="142">
                  <c:v>31.562457139999999</c:v>
                </c:pt>
                <c:pt idx="143">
                  <c:v>5.6772185579999999</c:v>
                </c:pt>
                <c:pt idx="144">
                  <c:v>12.60781566</c:v>
                </c:pt>
                <c:pt idx="145">
                  <c:v>7.1240862099999999E-7</c:v>
                </c:pt>
                <c:pt idx="146">
                  <c:v>0.20041205419999999</c:v>
                </c:pt>
                <c:pt idx="147">
                  <c:v>2.6044853890000002</c:v>
                </c:pt>
                <c:pt idx="148">
                  <c:v>3.2159118150000001</c:v>
                </c:pt>
                <c:pt idx="149">
                  <c:v>21.576840709999999</c:v>
                </c:pt>
                <c:pt idx="150">
                  <c:v>2.5459569339999999</c:v>
                </c:pt>
                <c:pt idx="151">
                  <c:v>1.2771393330000001E-6</c:v>
                </c:pt>
                <c:pt idx="152">
                  <c:v>5.7763044069999996</c:v>
                </c:pt>
                <c:pt idx="153">
                  <c:v>0</c:v>
                </c:pt>
                <c:pt idx="154">
                  <c:v>12.246971350000001</c:v>
                </c:pt>
                <c:pt idx="155">
                  <c:v>21.15863263</c:v>
                </c:pt>
                <c:pt idx="156">
                  <c:v>5.3489270639999997</c:v>
                </c:pt>
                <c:pt idx="157">
                  <c:v>27.027512439999999</c:v>
                </c:pt>
                <c:pt idx="158">
                  <c:v>3.0188178730000001E-2</c:v>
                </c:pt>
                <c:pt idx="159">
                  <c:v>5.2096927800000001</c:v>
                </c:pt>
                <c:pt idx="160">
                  <c:v>14.192441609999999</c:v>
                </c:pt>
                <c:pt idx="161">
                  <c:v>15.00100626</c:v>
                </c:pt>
                <c:pt idx="162">
                  <c:v>32.311459669999998</c:v>
                </c:pt>
                <c:pt idx="163">
                  <c:v>5.8434163730000002</c:v>
                </c:pt>
                <c:pt idx="164">
                  <c:v>4.699081176</c:v>
                </c:pt>
                <c:pt idx="165">
                  <c:v>7.77785276</c:v>
                </c:pt>
                <c:pt idx="166">
                  <c:v>2.8122161760000002</c:v>
                </c:pt>
                <c:pt idx="167">
                  <c:v>16.726145110000001</c:v>
                </c:pt>
                <c:pt idx="168">
                  <c:v>2.5455532409999999</c:v>
                </c:pt>
                <c:pt idx="169">
                  <c:v>19.450825340000002</c:v>
                </c:pt>
                <c:pt idx="170">
                  <c:v>4.1504683489999996</c:v>
                </c:pt>
                <c:pt idx="171">
                  <c:v>0.22384422000000001</c:v>
                </c:pt>
                <c:pt idx="172">
                  <c:v>0</c:v>
                </c:pt>
                <c:pt idx="173">
                  <c:v>2.8776725000000001</c:v>
                </c:pt>
                <c:pt idx="174">
                  <c:v>0.77818933690000003</c:v>
                </c:pt>
                <c:pt idx="175">
                  <c:v>3.3408445289999998E-2</c:v>
                </c:pt>
                <c:pt idx="176">
                  <c:v>14.56026288</c:v>
                </c:pt>
                <c:pt idx="177">
                  <c:v>2.427900808E-6</c:v>
                </c:pt>
                <c:pt idx="178">
                  <c:v>7.5904501289999995E-2</c:v>
                </c:pt>
                <c:pt idx="179">
                  <c:v>3.6502178750000001</c:v>
                </c:pt>
                <c:pt idx="180">
                  <c:v>0.53183666380000005</c:v>
                </c:pt>
                <c:pt idx="181">
                  <c:v>0</c:v>
                </c:pt>
                <c:pt idx="182">
                  <c:v>12.16590654</c:v>
                </c:pt>
                <c:pt idx="183">
                  <c:v>7.4387391420000004E-2</c:v>
                </c:pt>
                <c:pt idx="184">
                  <c:v>0.95361622280000002</c:v>
                </c:pt>
                <c:pt idx="185">
                  <c:v>6.8603352960000002E-2</c:v>
                </c:pt>
                <c:pt idx="186">
                  <c:v>9.7800875240000007</c:v>
                </c:pt>
                <c:pt idx="187">
                  <c:v>5.1094247800000003</c:v>
                </c:pt>
                <c:pt idx="188">
                  <c:v>1.410816657</c:v>
                </c:pt>
                <c:pt idx="189">
                  <c:v>14.51775136</c:v>
                </c:pt>
                <c:pt idx="190">
                  <c:v>8.2965925910000002E-2</c:v>
                </c:pt>
                <c:pt idx="191">
                  <c:v>1.49610841E-6</c:v>
                </c:pt>
                <c:pt idx="192">
                  <c:v>1.4385328199999999E-6</c:v>
                </c:pt>
                <c:pt idx="193">
                  <c:v>0</c:v>
                </c:pt>
                <c:pt idx="194">
                  <c:v>0</c:v>
                </c:pt>
                <c:pt idx="195">
                  <c:v>0.51379736310000002</c:v>
                </c:pt>
                <c:pt idx="196">
                  <c:v>0.73767495449999998</c:v>
                </c:pt>
                <c:pt idx="197">
                  <c:v>32.542316069999998</c:v>
                </c:pt>
                <c:pt idx="198">
                  <c:v>3.1156431260000002</c:v>
                </c:pt>
                <c:pt idx="199">
                  <c:v>0.3222149265</c:v>
                </c:pt>
                <c:pt idx="200">
                  <c:v>3.0344793069999998</c:v>
                </c:pt>
                <c:pt idx="201">
                  <c:v>18.635060129999999</c:v>
                </c:pt>
                <c:pt idx="202">
                  <c:v>0.92108754670000004</c:v>
                </c:pt>
                <c:pt idx="203">
                  <c:v>0.3204317169</c:v>
                </c:pt>
                <c:pt idx="204">
                  <c:v>2.3854555500000001</c:v>
                </c:pt>
                <c:pt idx="205">
                  <c:v>0.46265570020000002</c:v>
                </c:pt>
                <c:pt idx="206">
                  <c:v>11.79691148</c:v>
                </c:pt>
                <c:pt idx="207">
                  <c:v>0.55259800989999996</c:v>
                </c:pt>
                <c:pt idx="208">
                  <c:v>4.4133075740000001</c:v>
                </c:pt>
                <c:pt idx="209">
                  <c:v>5.553871666</c:v>
                </c:pt>
                <c:pt idx="210">
                  <c:v>0.1164733182</c:v>
                </c:pt>
                <c:pt idx="211">
                  <c:v>3.9631539450000002</c:v>
                </c:pt>
                <c:pt idx="212">
                  <c:v>4.725451938</c:v>
                </c:pt>
                <c:pt idx="213">
                  <c:v>4.4180106537201356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4B-43CF-8F4E-150036EEACBE}"/>
            </c:ext>
          </c:extLst>
        </c:ser>
        <c:ser>
          <c:idx val="3"/>
          <c:order val="3"/>
          <c:tx>
            <c:v>Surface water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numRef>
              <c:f>'Estimates on the use of water ('!$T$2:$T$1000</c:f>
              <c:numCache>
                <c:formatCode>General</c:formatCode>
                <c:ptCount val="9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13</c:v>
                </c:pt>
                <c:pt idx="138">
                  <c:v>13</c:v>
                </c:pt>
                <c:pt idx="139">
                  <c:v>14</c:v>
                </c:pt>
                <c:pt idx="140">
                  <c:v>15</c:v>
                </c:pt>
                <c:pt idx="141">
                  <c:v>16</c:v>
                </c:pt>
                <c:pt idx="142">
                  <c:v>17</c:v>
                </c:pt>
                <c:pt idx="143">
                  <c:v>17</c:v>
                </c:pt>
                <c:pt idx="144">
                  <c:v>17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19</c:v>
                </c:pt>
                <c:pt idx="150">
                  <c:v>19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21</c:v>
                </c:pt>
                <c:pt idx="155">
                  <c:v>21</c:v>
                </c:pt>
                <c:pt idx="156">
                  <c:v>22</c:v>
                </c:pt>
                <c:pt idx="157">
                  <c:v>25</c:v>
                </c:pt>
                <c:pt idx="158">
                  <c:v>26</c:v>
                </c:pt>
                <c:pt idx="159">
                  <c:v>26</c:v>
                </c:pt>
                <c:pt idx="160">
                  <c:v>27</c:v>
                </c:pt>
                <c:pt idx="161">
                  <c:v>27</c:v>
                </c:pt>
                <c:pt idx="162">
                  <c:v>28</c:v>
                </c:pt>
                <c:pt idx="163">
                  <c:v>29</c:v>
                </c:pt>
                <c:pt idx="164">
                  <c:v>30</c:v>
                </c:pt>
                <c:pt idx="165">
                  <c:v>30</c:v>
                </c:pt>
                <c:pt idx="166">
                  <c:v>32</c:v>
                </c:pt>
                <c:pt idx="167">
                  <c:v>32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34</c:v>
                </c:pt>
                <c:pt idx="172">
                  <c:v>35</c:v>
                </c:pt>
                <c:pt idx="173">
                  <c:v>37</c:v>
                </c:pt>
                <c:pt idx="174">
                  <c:v>38</c:v>
                </c:pt>
                <c:pt idx="175">
                  <c:v>38</c:v>
                </c:pt>
                <c:pt idx="176">
                  <c:v>39</c:v>
                </c:pt>
                <c:pt idx="177">
                  <c:v>41</c:v>
                </c:pt>
                <c:pt idx="178">
                  <c:v>44</c:v>
                </c:pt>
                <c:pt idx="179">
                  <c:v>44</c:v>
                </c:pt>
                <c:pt idx="180">
                  <c:v>44</c:v>
                </c:pt>
                <c:pt idx="181">
                  <c:v>46</c:v>
                </c:pt>
                <c:pt idx="182">
                  <c:v>46</c:v>
                </c:pt>
                <c:pt idx="183">
                  <c:v>47</c:v>
                </c:pt>
                <c:pt idx="184">
                  <c:v>51</c:v>
                </c:pt>
                <c:pt idx="185">
                  <c:v>52</c:v>
                </c:pt>
                <c:pt idx="186">
                  <c:v>54</c:v>
                </c:pt>
                <c:pt idx="187">
                  <c:v>55</c:v>
                </c:pt>
                <c:pt idx="188">
                  <c:v>60</c:v>
                </c:pt>
                <c:pt idx="189">
                  <c:v>60</c:v>
                </c:pt>
                <c:pt idx="190">
                  <c:v>61</c:v>
                </c:pt>
                <c:pt idx="191">
                  <c:v>66</c:v>
                </c:pt>
                <c:pt idx="192">
                  <c:v>68</c:v>
                </c:pt>
                <c:pt idx="193">
                  <c:v>70</c:v>
                </c:pt>
                <c:pt idx="194">
                  <c:v>84</c:v>
                </c:pt>
                <c:pt idx="195">
                  <c:v>84</c:v>
                </c:pt>
                <c:pt idx="196">
                  <c:v>85</c:v>
                </c:pt>
                <c:pt idx="197">
                  <c:v>90</c:v>
                </c:pt>
                <c:pt idx="198">
                  <c:v>98</c:v>
                </c:pt>
                <c:pt idx="199">
                  <c:v>103</c:v>
                </c:pt>
                <c:pt idx="200">
                  <c:v>110</c:v>
                </c:pt>
                <c:pt idx="201">
                  <c:v>115</c:v>
                </c:pt>
                <c:pt idx="202">
                  <c:v>127</c:v>
                </c:pt>
                <c:pt idx="203">
                  <c:v>129</c:v>
                </c:pt>
                <c:pt idx="204">
                  <c:v>146</c:v>
                </c:pt>
                <c:pt idx="205">
                  <c:v>165</c:v>
                </c:pt>
                <c:pt idx="206">
                  <c:v>207</c:v>
                </c:pt>
                <c:pt idx="207">
                  <c:v>213</c:v>
                </c:pt>
                <c:pt idx="208">
                  <c:v>221</c:v>
                </c:pt>
                <c:pt idx="209">
                  <c:v>274</c:v>
                </c:pt>
                <c:pt idx="210">
                  <c:v>332</c:v>
                </c:pt>
                <c:pt idx="211">
                  <c:v>1381</c:v>
                </c:pt>
                <c:pt idx="212">
                  <c:v>1464</c:v>
                </c:pt>
              </c:numCache>
            </c:numRef>
          </c:cat>
          <c:val>
            <c:numRef>
              <c:f>'Estimates on the use of water ('!$H$2:$H$1000</c:f>
              <c:numCache>
                <c:formatCode>General</c:formatCode>
                <c:ptCount val="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0.22275206789999999</c:v>
                </c:pt>
                <c:pt idx="32">
                  <c:v>1.0920419299999999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7.706424202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0.1170950144</c:v>
                </c:pt>
                <c:pt idx="47">
                  <c:v>0.56378488400000004</c:v>
                </c:pt>
                <c:pt idx="48">
                  <c:v>0</c:v>
                </c:pt>
                <c:pt idx="49">
                  <c:v>5.2926508940000002E-3</c:v>
                </c:pt>
                <c:pt idx="50">
                  <c:v>0</c:v>
                </c:pt>
                <c:pt idx="51">
                  <c:v>5.6356530249999999</c:v>
                </c:pt>
                <c:pt idx="52">
                  <c:v>4.9640541420000003E-2</c:v>
                </c:pt>
                <c:pt idx="53">
                  <c:v>2.0968788969999999</c:v>
                </c:pt>
                <c:pt idx="54">
                  <c:v>0</c:v>
                </c:pt>
                <c:pt idx="55">
                  <c:v>2.380331999</c:v>
                </c:pt>
                <c:pt idx="56">
                  <c:v>2.1767220379999999</c:v>
                </c:pt>
                <c:pt idx="57">
                  <c:v>9.9042939590000003</c:v>
                </c:pt>
                <c:pt idx="58">
                  <c:v>0</c:v>
                </c:pt>
                <c:pt idx="59">
                  <c:v>0</c:v>
                </c:pt>
                <c:pt idx="60">
                  <c:v>4.2585034329999996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0.3221395192</c:v>
                </c:pt>
                <c:pt idx="66">
                  <c:v>0</c:v>
                </c:pt>
                <c:pt idx="67">
                  <c:v>4.796159706E-2</c:v>
                </c:pt>
                <c:pt idx="68">
                  <c:v>5.2007801159999998</c:v>
                </c:pt>
                <c:pt idx="69">
                  <c:v>0</c:v>
                </c:pt>
                <c:pt idx="70">
                  <c:v>1.330871481</c:v>
                </c:pt>
                <c:pt idx="71">
                  <c:v>0.10934939270000001</c:v>
                </c:pt>
                <c:pt idx="72">
                  <c:v>4.9021924849999996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1.7384743789999999</c:v>
                </c:pt>
                <c:pt idx="78">
                  <c:v>0</c:v>
                </c:pt>
                <c:pt idx="79">
                  <c:v>5.7245790809999999</c:v>
                </c:pt>
                <c:pt idx="80">
                  <c:v>0</c:v>
                </c:pt>
                <c:pt idx="81">
                  <c:v>0</c:v>
                </c:pt>
                <c:pt idx="82">
                  <c:v>1.9098923269999998E-2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1.491670799</c:v>
                </c:pt>
                <c:pt idx="87">
                  <c:v>2.173203433E-2</c:v>
                </c:pt>
                <c:pt idx="88">
                  <c:v>0</c:v>
                </c:pt>
                <c:pt idx="89">
                  <c:v>3.5761107079999999</c:v>
                </c:pt>
                <c:pt idx="90">
                  <c:v>0</c:v>
                </c:pt>
                <c:pt idx="91">
                  <c:v>12.549470060000001</c:v>
                </c:pt>
                <c:pt idx="92">
                  <c:v>0</c:v>
                </c:pt>
                <c:pt idx="93">
                  <c:v>0</c:v>
                </c:pt>
                <c:pt idx="94">
                  <c:v>3.0150217449999999E-2</c:v>
                </c:pt>
                <c:pt idx="95">
                  <c:v>0</c:v>
                </c:pt>
                <c:pt idx="96">
                  <c:v>0</c:v>
                </c:pt>
                <c:pt idx="97">
                  <c:v>6.1951356640000004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1.530987366</c:v>
                </c:pt>
                <c:pt idx="103">
                  <c:v>4.5343119649999997</c:v>
                </c:pt>
                <c:pt idx="104">
                  <c:v>3.2540693780000001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0.58453109380000001</c:v>
                </c:pt>
                <c:pt idx="110">
                  <c:v>0</c:v>
                </c:pt>
                <c:pt idx="111">
                  <c:v>11.646452330000001</c:v>
                </c:pt>
                <c:pt idx="112">
                  <c:v>11.18652269</c:v>
                </c:pt>
                <c:pt idx="113">
                  <c:v>0</c:v>
                </c:pt>
                <c:pt idx="114">
                  <c:v>0</c:v>
                </c:pt>
                <c:pt idx="115">
                  <c:v>1.6550926470000001E-2</c:v>
                </c:pt>
                <c:pt idx="116">
                  <c:v>30.369793080000001</c:v>
                </c:pt>
                <c:pt idx="117">
                  <c:v>0</c:v>
                </c:pt>
                <c:pt idx="118">
                  <c:v>0</c:v>
                </c:pt>
                <c:pt idx="119">
                  <c:v>12.157364039999999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5.9834831790000001E-2</c:v>
                </c:pt>
                <c:pt idx="127">
                  <c:v>0</c:v>
                </c:pt>
                <c:pt idx="128">
                  <c:v>0</c:v>
                </c:pt>
                <c:pt idx="129">
                  <c:v>1.5767206439999999</c:v>
                </c:pt>
                <c:pt idx="130">
                  <c:v>8.0845547619999998</c:v>
                </c:pt>
                <c:pt idx="131">
                  <c:v>0.27310779629999998</c:v>
                </c:pt>
                <c:pt idx="132">
                  <c:v>0</c:v>
                </c:pt>
                <c:pt idx="133">
                  <c:v>0</c:v>
                </c:pt>
                <c:pt idx="134">
                  <c:v>4.8983269969999998</c:v>
                </c:pt>
                <c:pt idx="135">
                  <c:v>0</c:v>
                </c:pt>
                <c:pt idx="136">
                  <c:v>3.5949249129999998</c:v>
                </c:pt>
                <c:pt idx="137">
                  <c:v>3.2958005469999998</c:v>
                </c:pt>
                <c:pt idx="138">
                  <c:v>4.1099754009999998</c:v>
                </c:pt>
                <c:pt idx="139">
                  <c:v>8.4605003540000006</c:v>
                </c:pt>
                <c:pt idx="140">
                  <c:v>6.8581472420000003</c:v>
                </c:pt>
                <c:pt idx="141">
                  <c:v>2.4017840210000001</c:v>
                </c:pt>
                <c:pt idx="142">
                  <c:v>7.5097187840000004</c:v>
                </c:pt>
                <c:pt idx="143">
                  <c:v>9.2006744339999997</c:v>
                </c:pt>
                <c:pt idx="144">
                  <c:v>9.9729040419999998E-2</c:v>
                </c:pt>
                <c:pt idx="145">
                  <c:v>0</c:v>
                </c:pt>
                <c:pt idx="146">
                  <c:v>0</c:v>
                </c:pt>
                <c:pt idx="147">
                  <c:v>2.032299589</c:v>
                </c:pt>
                <c:pt idx="148">
                  <c:v>1.7435094040000001</c:v>
                </c:pt>
                <c:pt idx="149">
                  <c:v>6.8568367060000002</c:v>
                </c:pt>
                <c:pt idx="150">
                  <c:v>7.7647704710000001E-2</c:v>
                </c:pt>
                <c:pt idx="151">
                  <c:v>0</c:v>
                </c:pt>
                <c:pt idx="152">
                  <c:v>2.2251521099999998</c:v>
                </c:pt>
                <c:pt idx="153">
                  <c:v>0</c:v>
                </c:pt>
                <c:pt idx="154">
                  <c:v>1.3510030900000001</c:v>
                </c:pt>
                <c:pt idx="155">
                  <c:v>0.35350950240000001</c:v>
                </c:pt>
                <c:pt idx="156">
                  <c:v>1.82803542</c:v>
                </c:pt>
                <c:pt idx="157">
                  <c:v>4.4067913919999997</c:v>
                </c:pt>
                <c:pt idx="158">
                  <c:v>0</c:v>
                </c:pt>
                <c:pt idx="159">
                  <c:v>0.26333300580000002</c:v>
                </c:pt>
                <c:pt idx="160">
                  <c:v>5.9630662929999998</c:v>
                </c:pt>
                <c:pt idx="161">
                  <c:v>6.4038269269999999</c:v>
                </c:pt>
                <c:pt idx="162">
                  <c:v>11.58468244</c:v>
                </c:pt>
                <c:pt idx="163">
                  <c:v>0</c:v>
                </c:pt>
                <c:pt idx="164">
                  <c:v>1.246551314</c:v>
                </c:pt>
                <c:pt idx="165">
                  <c:v>2.595835594</c:v>
                </c:pt>
                <c:pt idx="166">
                  <c:v>4.8107250580000001</c:v>
                </c:pt>
                <c:pt idx="167">
                  <c:v>9.9286447590000009</c:v>
                </c:pt>
                <c:pt idx="168">
                  <c:v>0</c:v>
                </c:pt>
                <c:pt idx="169">
                  <c:v>14.094087119999999</c:v>
                </c:pt>
                <c:pt idx="170">
                  <c:v>1.8606060870000001</c:v>
                </c:pt>
                <c:pt idx="171">
                  <c:v>1.947370925</c:v>
                </c:pt>
                <c:pt idx="172">
                  <c:v>0</c:v>
                </c:pt>
                <c:pt idx="173">
                  <c:v>1.456433219</c:v>
                </c:pt>
                <c:pt idx="174">
                  <c:v>0</c:v>
                </c:pt>
                <c:pt idx="175">
                  <c:v>0</c:v>
                </c:pt>
                <c:pt idx="176">
                  <c:v>8.9007821739999997</c:v>
                </c:pt>
                <c:pt idx="177">
                  <c:v>0.74793397129999994</c:v>
                </c:pt>
                <c:pt idx="178">
                  <c:v>0.32383483600000001</c:v>
                </c:pt>
                <c:pt idx="179">
                  <c:v>9.2310867739999996</c:v>
                </c:pt>
                <c:pt idx="180">
                  <c:v>4.495253272E-2</c:v>
                </c:pt>
                <c:pt idx="181">
                  <c:v>0</c:v>
                </c:pt>
                <c:pt idx="182">
                  <c:v>4.6961842520000001</c:v>
                </c:pt>
                <c:pt idx="183">
                  <c:v>0</c:v>
                </c:pt>
                <c:pt idx="184">
                  <c:v>1.3685745119999999</c:v>
                </c:pt>
                <c:pt idx="185">
                  <c:v>0</c:v>
                </c:pt>
                <c:pt idx="186">
                  <c:v>19.045150840000002</c:v>
                </c:pt>
                <c:pt idx="187">
                  <c:v>9.5769463619999993</c:v>
                </c:pt>
                <c:pt idx="188">
                  <c:v>1.9313897120000001</c:v>
                </c:pt>
                <c:pt idx="189">
                  <c:v>13.475380380000001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6.5255081849999994E-2</c:v>
                </c:pt>
                <c:pt idx="196">
                  <c:v>0.2249778093</c:v>
                </c:pt>
                <c:pt idx="197">
                  <c:v>8.0643324950000004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5.0086474860000001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0.68295817349999999</c:v>
                </c:pt>
                <c:pt idx="206">
                  <c:v>5.6146357939999998</c:v>
                </c:pt>
                <c:pt idx="207">
                  <c:v>0</c:v>
                </c:pt>
                <c:pt idx="208">
                  <c:v>1.61544782</c:v>
                </c:pt>
                <c:pt idx="209">
                  <c:v>1.175304087</c:v>
                </c:pt>
                <c:pt idx="210">
                  <c:v>0</c:v>
                </c:pt>
                <c:pt idx="211">
                  <c:v>0.56371846260000003</c:v>
                </c:pt>
                <c:pt idx="212">
                  <c:v>0.19871614409999999</c:v>
                </c:pt>
                <c:pt idx="213">
                  <c:v>1.9154885837974702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4B-43CF-8F4E-150036EEA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9976268"/>
        <c:axId val="1710150130"/>
      </c:barChart>
      <c:catAx>
        <c:axId val="269976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Aggregted National population size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0150130"/>
        <c:crosses val="autoZero"/>
        <c:auto val="1"/>
        <c:lblAlgn val="ctr"/>
        <c:lblOffset val="100"/>
        <c:noMultiLvlLbl val="1"/>
      </c:catAx>
      <c:valAx>
        <c:axId val="1710150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Access share percentage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99762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National distribution of access to water per service level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At least Basic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numRef>
              <c:f>'Estimates on the use of water ('!$C$2:$C$1000</c:f>
              <c:numCache>
                <c:formatCode>General</c:formatCode>
                <c:ptCount val="999"/>
                <c:pt idx="0">
                  <c:v>1.3500000240000001</c:v>
                </c:pt>
                <c:pt idx="1">
                  <c:v>1.618000031</c:v>
                </c:pt>
                <c:pt idx="2">
                  <c:v>3.4830000399999999</c:v>
                </c:pt>
                <c:pt idx="3">
                  <c:v>4.9990000720000003</c:v>
                </c:pt>
                <c:pt idx="4">
                  <c:v>5.795000076</c:v>
                </c:pt>
                <c:pt idx="5">
                  <c:v>6.0710000989999999</c:v>
                </c:pt>
                <c:pt idx="6">
                  <c:v>9.8849999999999998</c:v>
                </c:pt>
                <c:pt idx="7">
                  <c:v>10.833999629999999</c:v>
                </c:pt>
                <c:pt idx="8">
                  <c:v>11.24600029</c:v>
                </c:pt>
                <c:pt idx="9">
                  <c:v>11.791999819999999</c:v>
                </c:pt>
                <c:pt idx="10">
                  <c:v>17.56399918</c:v>
                </c:pt>
                <c:pt idx="11">
                  <c:v>18.091999049999998</c:v>
                </c:pt>
                <c:pt idx="12">
                  <c:v>30.23699951</c:v>
                </c:pt>
                <c:pt idx="13">
                  <c:v>33.691001890000003</c:v>
                </c:pt>
                <c:pt idx="14">
                  <c:v>33.937999730000001</c:v>
                </c:pt>
                <c:pt idx="15">
                  <c:v>38.137001040000001</c:v>
                </c:pt>
                <c:pt idx="16">
                  <c:v>38.658999999999999</c:v>
                </c:pt>
                <c:pt idx="17">
                  <c:v>39.243999479999999</c:v>
                </c:pt>
                <c:pt idx="18">
                  <c:v>48.865001679999999</c:v>
                </c:pt>
                <c:pt idx="19">
                  <c:v>55.196998600000001</c:v>
                </c:pt>
                <c:pt idx="20">
                  <c:v>56.771999360000002</c:v>
                </c:pt>
                <c:pt idx="21">
                  <c:v>57.556999210000001</c:v>
                </c:pt>
                <c:pt idx="22">
                  <c:v>59.194000240000001</c:v>
                </c:pt>
                <c:pt idx="23">
                  <c:v>62.272998809999997</c:v>
                </c:pt>
                <c:pt idx="24">
                  <c:v>77.26499939</c:v>
                </c:pt>
                <c:pt idx="25">
                  <c:v>85.031997680000003</c:v>
                </c:pt>
                <c:pt idx="26">
                  <c:v>104.4229965</c:v>
                </c:pt>
                <c:pt idx="27">
                  <c:v>105.6969986</c:v>
                </c:pt>
                <c:pt idx="28">
                  <c:v>119.44599909999999</c:v>
                </c:pt>
                <c:pt idx="29">
                  <c:v>168.78300479999999</c:v>
                </c:pt>
                <c:pt idx="30">
                  <c:v>183.62899780000001</c:v>
                </c:pt>
                <c:pt idx="31">
                  <c:v>198.4100037</c:v>
                </c:pt>
                <c:pt idx="32">
                  <c:v>219.16099550000001</c:v>
                </c:pt>
                <c:pt idx="33">
                  <c:v>272.81298829999997</c:v>
                </c:pt>
                <c:pt idx="34">
                  <c:v>280.90399170000001</c:v>
                </c:pt>
                <c:pt idx="35">
                  <c:v>285.4909973</c:v>
                </c:pt>
                <c:pt idx="36">
                  <c:v>287.37100220000002</c:v>
                </c:pt>
                <c:pt idx="37">
                  <c:v>298.68200680000001</c:v>
                </c:pt>
                <c:pt idx="38">
                  <c:v>307.14999390000003</c:v>
                </c:pt>
                <c:pt idx="39">
                  <c:v>341.25</c:v>
                </c:pt>
                <c:pt idx="40">
                  <c:v>375.26501459999997</c:v>
                </c:pt>
                <c:pt idx="41">
                  <c:v>397.62100220000002</c:v>
                </c:pt>
                <c:pt idx="42">
                  <c:v>400.12701420000002</c:v>
                </c:pt>
                <c:pt idx="43">
                  <c:v>437.48300169999999</c:v>
                </c:pt>
                <c:pt idx="44">
                  <c:v>441.53900149999998</c:v>
                </c:pt>
                <c:pt idx="45">
                  <c:v>540.54199219999998</c:v>
                </c:pt>
                <c:pt idx="46">
                  <c:v>555.98797609999997</c:v>
                </c:pt>
                <c:pt idx="47">
                  <c:v>586.63397220000002</c:v>
                </c:pt>
                <c:pt idx="48">
                  <c:v>625.97601320000001</c:v>
                </c:pt>
                <c:pt idx="49">
                  <c:v>628.06201169999997</c:v>
                </c:pt>
                <c:pt idx="50">
                  <c:v>649.34198000000004</c:v>
                </c:pt>
                <c:pt idx="51">
                  <c:v>686.87799070000005</c:v>
                </c:pt>
                <c:pt idx="52">
                  <c:v>771.61199950000002</c:v>
                </c:pt>
                <c:pt idx="53">
                  <c:v>786.55902100000003</c:v>
                </c:pt>
                <c:pt idx="54">
                  <c:v>895.30798340000001</c:v>
                </c:pt>
                <c:pt idx="55">
                  <c:v>896.44396970000003</c:v>
                </c:pt>
                <c:pt idx="56">
                  <c:v>988.00201419999996</c:v>
                </c:pt>
                <c:pt idx="57">
                  <c:v>1160.1639399999999</c:v>
                </c:pt>
                <c:pt idx="58">
                  <c:v>1207.360962</c:v>
                </c:pt>
                <c:pt idx="59">
                  <c:v>1271.7669679999999</c:v>
                </c:pt>
                <c:pt idx="60">
                  <c:v>1318.4420170000001</c:v>
                </c:pt>
                <c:pt idx="61">
                  <c:v>1326.5389399999999</c:v>
                </c:pt>
                <c:pt idx="62">
                  <c:v>1399.490967</c:v>
                </c:pt>
                <c:pt idx="63">
                  <c:v>1701.5830080000001</c:v>
                </c:pt>
                <c:pt idx="64">
                  <c:v>1886.2020259999999</c:v>
                </c:pt>
                <c:pt idx="65">
                  <c:v>1967.998047</c:v>
                </c:pt>
                <c:pt idx="66">
                  <c:v>2078.931885</c:v>
                </c:pt>
                <c:pt idx="67">
                  <c:v>2083.3798830000001</c:v>
                </c:pt>
                <c:pt idx="68">
                  <c:v>2142.251953</c:v>
                </c:pt>
                <c:pt idx="69">
                  <c:v>2225.7280270000001</c:v>
                </c:pt>
                <c:pt idx="70">
                  <c:v>2351.625</c:v>
                </c:pt>
                <c:pt idx="71">
                  <c:v>2416.6640630000002</c:v>
                </c:pt>
                <c:pt idx="72">
                  <c:v>2540.9160160000001</c:v>
                </c:pt>
                <c:pt idx="73">
                  <c:v>2722.2910160000001</c:v>
                </c:pt>
                <c:pt idx="74">
                  <c:v>2860.8400879999999</c:v>
                </c:pt>
                <c:pt idx="75">
                  <c:v>2877.8000489999999</c:v>
                </c:pt>
                <c:pt idx="76">
                  <c:v>2881.0600589999999</c:v>
                </c:pt>
                <c:pt idx="77">
                  <c:v>2961.1608890000002</c:v>
                </c:pt>
                <c:pt idx="78">
                  <c:v>2963.2338869999999</c:v>
                </c:pt>
                <c:pt idx="79">
                  <c:v>3278.2919919999999</c:v>
                </c:pt>
                <c:pt idx="80">
                  <c:v>3280.8149410000001</c:v>
                </c:pt>
                <c:pt idx="81">
                  <c:v>3473.7270509999998</c:v>
                </c:pt>
                <c:pt idx="82">
                  <c:v>3989.1750489999999</c:v>
                </c:pt>
                <c:pt idx="83">
                  <c:v>4033.9628910000001</c:v>
                </c:pt>
                <c:pt idx="84">
                  <c:v>4105.2680659999996</c:v>
                </c:pt>
                <c:pt idx="85">
                  <c:v>4270.5629879999997</c:v>
                </c:pt>
                <c:pt idx="86">
                  <c:v>4314.7680659999996</c:v>
                </c:pt>
                <c:pt idx="87">
                  <c:v>4649.6601559999999</c:v>
                </c:pt>
                <c:pt idx="88">
                  <c:v>4822.2329099999997</c:v>
                </c:pt>
                <c:pt idx="89">
                  <c:v>4829.7641599999997</c:v>
                </c:pt>
                <c:pt idx="90">
                  <c:v>4937.7958980000003</c:v>
                </c:pt>
                <c:pt idx="91">
                  <c:v>5057.6767579999996</c:v>
                </c:pt>
                <c:pt idx="92">
                  <c:v>5094.1137699999999</c:v>
                </c:pt>
                <c:pt idx="93">
                  <c:v>5101.4160160000001</c:v>
                </c:pt>
                <c:pt idx="94">
                  <c:v>5106.6220700000003</c:v>
                </c:pt>
                <c:pt idx="95">
                  <c:v>5421.2421880000002</c:v>
                </c:pt>
                <c:pt idx="96">
                  <c:v>5459.6430659999996</c:v>
                </c:pt>
                <c:pt idx="97">
                  <c:v>5518.091797</c:v>
                </c:pt>
                <c:pt idx="98">
                  <c:v>5540.7177730000003</c:v>
                </c:pt>
                <c:pt idx="99">
                  <c:v>5792.203125</c:v>
                </c:pt>
                <c:pt idx="100">
                  <c:v>5850.3427730000003</c:v>
                </c:pt>
                <c:pt idx="101">
                  <c:v>6031.1870120000003</c:v>
                </c:pt>
                <c:pt idx="102">
                  <c:v>6486.201172</c:v>
                </c:pt>
                <c:pt idx="103">
                  <c:v>6524.1909180000002</c:v>
                </c:pt>
                <c:pt idx="104">
                  <c:v>6624.5541990000002</c:v>
                </c:pt>
                <c:pt idx="105">
                  <c:v>6825.4418949999999</c:v>
                </c:pt>
                <c:pt idx="106">
                  <c:v>6871.2871089999999</c:v>
                </c:pt>
                <c:pt idx="107">
                  <c:v>6948.4448240000002</c:v>
                </c:pt>
                <c:pt idx="108">
                  <c:v>7132.5297849999997</c:v>
                </c:pt>
                <c:pt idx="109">
                  <c:v>7275.5561520000001</c:v>
                </c:pt>
                <c:pt idx="110">
                  <c:v>7496.9877930000002</c:v>
                </c:pt>
                <c:pt idx="111">
                  <c:v>7976.9848629999997</c:v>
                </c:pt>
                <c:pt idx="112">
                  <c:v>8278.7373050000006</c:v>
                </c:pt>
                <c:pt idx="113">
                  <c:v>8654.6181639999995</c:v>
                </c:pt>
                <c:pt idx="114">
                  <c:v>8655.5410159999992</c:v>
                </c:pt>
                <c:pt idx="115">
                  <c:v>8737.3701170000004</c:v>
                </c:pt>
                <c:pt idx="116">
                  <c:v>8947.0273440000001</c:v>
                </c:pt>
                <c:pt idx="117">
                  <c:v>9006.4003909999992</c:v>
                </c:pt>
                <c:pt idx="118">
                  <c:v>9449.3212889999995</c:v>
                </c:pt>
                <c:pt idx="119">
                  <c:v>9537.6416019999997</c:v>
                </c:pt>
                <c:pt idx="120">
                  <c:v>9660.3496090000008</c:v>
                </c:pt>
                <c:pt idx="121">
                  <c:v>9890.4003909999992</c:v>
                </c:pt>
                <c:pt idx="122">
                  <c:v>9904.6083980000003</c:v>
                </c:pt>
                <c:pt idx="123">
                  <c:v>10099.26953</c:v>
                </c:pt>
                <c:pt idx="124">
                  <c:v>10139.174800000001</c:v>
                </c:pt>
                <c:pt idx="125">
                  <c:v>10196.70703</c:v>
                </c:pt>
                <c:pt idx="126">
                  <c:v>10203.139649999999</c:v>
                </c:pt>
                <c:pt idx="127">
                  <c:v>10423.05566</c:v>
                </c:pt>
                <c:pt idx="128">
                  <c:v>10708.98242</c:v>
                </c:pt>
                <c:pt idx="129">
                  <c:v>10847.9043</c:v>
                </c:pt>
                <c:pt idx="130">
                  <c:v>11193.728520000001</c:v>
                </c:pt>
                <c:pt idx="131">
                  <c:v>11326.61621</c:v>
                </c:pt>
                <c:pt idx="132">
                  <c:v>11402.5332</c:v>
                </c:pt>
                <c:pt idx="133">
                  <c:v>11589.61621</c:v>
                </c:pt>
                <c:pt idx="134">
                  <c:v>11673.0293</c:v>
                </c:pt>
                <c:pt idx="135">
                  <c:v>11818.61816</c:v>
                </c:pt>
                <c:pt idx="136">
                  <c:v>11890.78125</c:v>
                </c:pt>
                <c:pt idx="137">
                  <c:v>12123.19824</c:v>
                </c:pt>
                <c:pt idx="138">
                  <c:v>12952.208979999999</c:v>
                </c:pt>
                <c:pt idx="139">
                  <c:v>13132.79199</c:v>
                </c:pt>
                <c:pt idx="140">
                  <c:v>14862.92676</c:v>
                </c:pt>
                <c:pt idx="141">
                  <c:v>15893.21875</c:v>
                </c:pt>
                <c:pt idx="142">
                  <c:v>16425.859380000002</c:v>
                </c:pt>
                <c:pt idx="143">
                  <c:v>16718.970700000002</c:v>
                </c:pt>
                <c:pt idx="144">
                  <c:v>16743.929690000001</c:v>
                </c:pt>
                <c:pt idx="145">
                  <c:v>17134.873049999998</c:v>
                </c:pt>
                <c:pt idx="146">
                  <c:v>17500.65625</c:v>
                </c:pt>
                <c:pt idx="147">
                  <c:v>17643.060549999998</c:v>
                </c:pt>
                <c:pt idx="148">
                  <c:v>17915.566409999999</c:v>
                </c:pt>
                <c:pt idx="149">
                  <c:v>18383.95508</c:v>
                </c:pt>
                <c:pt idx="150">
                  <c:v>18776.707030000001</c:v>
                </c:pt>
                <c:pt idx="151">
                  <c:v>19116.208979999999</c:v>
                </c:pt>
                <c:pt idx="152">
                  <c:v>19129.95508</c:v>
                </c:pt>
                <c:pt idx="153">
                  <c:v>19237.681639999999</c:v>
                </c:pt>
                <c:pt idx="154">
                  <c:v>20250.833979999999</c:v>
                </c:pt>
                <c:pt idx="155">
                  <c:v>20903.277340000001</c:v>
                </c:pt>
                <c:pt idx="156">
                  <c:v>21413.25</c:v>
                </c:pt>
                <c:pt idx="157">
                  <c:v>24206.636719999999</c:v>
                </c:pt>
                <c:pt idx="158">
                  <c:v>25499.880860000001</c:v>
                </c:pt>
                <c:pt idx="159">
                  <c:v>25778.814450000002</c:v>
                </c:pt>
                <c:pt idx="160">
                  <c:v>26378.275389999999</c:v>
                </c:pt>
                <c:pt idx="161">
                  <c:v>26545.863280000001</c:v>
                </c:pt>
                <c:pt idx="162">
                  <c:v>27691.019530000001</c:v>
                </c:pt>
                <c:pt idx="163">
                  <c:v>28435.943360000001</c:v>
                </c:pt>
                <c:pt idx="164">
                  <c:v>29136.808590000001</c:v>
                </c:pt>
                <c:pt idx="165">
                  <c:v>29825.96875</c:v>
                </c:pt>
                <c:pt idx="166">
                  <c:v>31072.945309999999</c:v>
                </c:pt>
                <c:pt idx="167">
                  <c:v>31255.435549999998</c:v>
                </c:pt>
                <c:pt idx="168">
                  <c:v>32365.998049999998</c:v>
                </c:pt>
                <c:pt idx="169">
                  <c:v>32866.269529999998</c:v>
                </c:pt>
                <c:pt idx="170">
                  <c:v>32971.847659999999</c:v>
                </c:pt>
                <c:pt idx="171">
                  <c:v>33469.199220000002</c:v>
                </c:pt>
                <c:pt idx="172">
                  <c:v>34813.867189999997</c:v>
                </c:pt>
                <c:pt idx="173">
                  <c:v>36910.558590000001</c:v>
                </c:pt>
                <c:pt idx="174">
                  <c:v>37742.15625</c:v>
                </c:pt>
                <c:pt idx="175">
                  <c:v>37846.605470000002</c:v>
                </c:pt>
                <c:pt idx="176">
                  <c:v>38928.339840000001</c:v>
                </c:pt>
                <c:pt idx="177">
                  <c:v>40222.503909999999</c:v>
                </c:pt>
                <c:pt idx="178">
                  <c:v>43733.757810000003</c:v>
                </c:pt>
                <c:pt idx="179">
                  <c:v>43849.269529999998</c:v>
                </c:pt>
                <c:pt idx="180">
                  <c:v>43851.042970000002</c:v>
                </c:pt>
                <c:pt idx="181">
                  <c:v>45195.777340000001</c:v>
                </c:pt>
                <c:pt idx="182">
                  <c:v>45741</c:v>
                </c:pt>
                <c:pt idx="183">
                  <c:v>46754.78125</c:v>
                </c:pt>
                <c:pt idx="184">
                  <c:v>50882.882810000003</c:v>
                </c:pt>
                <c:pt idx="185">
                  <c:v>51269.183590000001</c:v>
                </c:pt>
                <c:pt idx="186">
                  <c:v>53771.300779999998</c:v>
                </c:pt>
                <c:pt idx="187">
                  <c:v>54409.792970000002</c:v>
                </c:pt>
                <c:pt idx="188">
                  <c:v>59308.691409999999</c:v>
                </c:pt>
                <c:pt idx="189">
                  <c:v>59734.214840000001</c:v>
                </c:pt>
                <c:pt idx="190">
                  <c:v>60461.828130000002</c:v>
                </c:pt>
                <c:pt idx="191">
                  <c:v>65273.511720000002</c:v>
                </c:pt>
                <c:pt idx="192">
                  <c:v>67886.007809999996</c:v>
                </c:pt>
                <c:pt idx="193">
                  <c:v>69799.976559999996</c:v>
                </c:pt>
                <c:pt idx="194">
                  <c:v>83783.945309999996</c:v>
                </c:pt>
                <c:pt idx="195">
                  <c:v>83992.953129999994</c:v>
                </c:pt>
                <c:pt idx="196">
                  <c:v>84339.070309999996</c:v>
                </c:pt>
                <c:pt idx="197">
                  <c:v>89561.40625</c:v>
                </c:pt>
                <c:pt idx="198">
                  <c:v>97338.585940000004</c:v>
                </c:pt>
                <c:pt idx="199">
                  <c:v>102334.4063</c:v>
                </c:pt>
                <c:pt idx="200">
                  <c:v>109581.08590000001</c:v>
                </c:pt>
                <c:pt idx="201">
                  <c:v>114963.58590000001</c:v>
                </c:pt>
                <c:pt idx="202">
                  <c:v>126476.46090000001</c:v>
                </c:pt>
                <c:pt idx="203">
                  <c:v>128932.75</c:v>
                </c:pt>
                <c:pt idx="204">
                  <c:v>145934.45310000001</c:v>
                </c:pt>
                <c:pt idx="205">
                  <c:v>164689.39060000001</c:v>
                </c:pt>
                <c:pt idx="206">
                  <c:v>206139.5938</c:v>
                </c:pt>
                <c:pt idx="207">
                  <c:v>212559.4063</c:v>
                </c:pt>
                <c:pt idx="208">
                  <c:v>220892.32810000001</c:v>
                </c:pt>
                <c:pt idx="209">
                  <c:v>273523.625</c:v>
                </c:pt>
                <c:pt idx="210">
                  <c:v>331002.65629999997</c:v>
                </c:pt>
                <c:pt idx="211">
                  <c:v>1380004.375</c:v>
                </c:pt>
                <c:pt idx="212">
                  <c:v>1463140.5</c:v>
                </c:pt>
                <c:pt idx="213">
                  <c:v>7786695.1077512307</c:v>
                </c:pt>
              </c:numCache>
            </c:numRef>
          </c:cat>
          <c:val>
            <c:numRef>
              <c:f>'Estimates on the use of water ('!$E$2:$E$1000</c:f>
              <c:numCache>
                <c:formatCode>General</c:formatCode>
                <c:ptCount val="999"/>
                <c:pt idx="0">
                  <c:v>99.707676649999996</c:v>
                </c:pt>
                <c:pt idx="1">
                  <c:v>97.010876179999997</c:v>
                </c:pt>
                <c:pt idx="2">
                  <c:v>95.308927400000002</c:v>
                </c:pt>
                <c:pt idx="3">
                  <c:v>98.077482619999998</c:v>
                </c:pt>
                <c:pt idx="4">
                  <c:v>91.4</c:v>
                </c:pt>
                <c:pt idx="5">
                  <c:v>99.1</c:v>
                </c:pt>
                <c:pt idx="6">
                  <c:v>100</c:v>
                </c:pt>
                <c:pt idx="7">
                  <c:v>100</c:v>
                </c:pt>
                <c:pt idx="8">
                  <c:v>99.143287360000002</c:v>
                </c:pt>
                <c:pt idx="9">
                  <c:v>100</c:v>
                </c:pt>
                <c:pt idx="10">
                  <c:v>99.971610220000002</c:v>
                </c:pt>
                <c:pt idx="11">
                  <c:v>99.657545499999998</c:v>
                </c:pt>
                <c:pt idx="12">
                  <c:v>99.864383559999993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99.999271390000004</c:v>
                </c:pt>
                <c:pt idx="17">
                  <c:v>100</c:v>
                </c:pt>
                <c:pt idx="18">
                  <c:v>100</c:v>
                </c:pt>
                <c:pt idx="19">
                  <c:v>99.773771659999994</c:v>
                </c:pt>
                <c:pt idx="20">
                  <c:v>100.0000017</c:v>
                </c:pt>
                <c:pt idx="21">
                  <c:v>100</c:v>
                </c:pt>
                <c:pt idx="22">
                  <c:v>88.572046979999996</c:v>
                </c:pt>
                <c:pt idx="23">
                  <c:v>99.903140019999995</c:v>
                </c:pt>
                <c:pt idx="24">
                  <c:v>100.00000369999999</c:v>
                </c:pt>
                <c:pt idx="25">
                  <c:v>99.075000000000003</c:v>
                </c:pt>
                <c:pt idx="26">
                  <c:v>98.71826738</c:v>
                </c:pt>
                <c:pt idx="27">
                  <c:v>98.731080829999996</c:v>
                </c:pt>
                <c:pt idx="28">
                  <c:v>77.970920849999999</c:v>
                </c:pt>
                <c:pt idx="29">
                  <c:v>99.6952</c:v>
                </c:pt>
                <c:pt idx="30">
                  <c:v>96.887844569999999</c:v>
                </c:pt>
                <c:pt idx="31">
                  <c:v>91.837724550000004</c:v>
                </c:pt>
                <c:pt idx="32">
                  <c:v>78.22645516</c:v>
                </c:pt>
                <c:pt idx="33">
                  <c:v>96.371179710000007</c:v>
                </c:pt>
                <c:pt idx="34">
                  <c:v>100</c:v>
                </c:pt>
                <c:pt idx="35">
                  <c:v>99.305320570000006</c:v>
                </c:pt>
                <c:pt idx="36">
                  <c:v>98.514450420000003</c:v>
                </c:pt>
                <c:pt idx="37">
                  <c:v>93.782216349999999</c:v>
                </c:pt>
                <c:pt idx="38">
                  <c:v>91.231190749999996</c:v>
                </c:pt>
                <c:pt idx="39">
                  <c:v>99.999997210000004</c:v>
                </c:pt>
                <c:pt idx="40">
                  <c:v>99.841970779999997</c:v>
                </c:pt>
                <c:pt idx="41">
                  <c:v>98.401954630000006</c:v>
                </c:pt>
                <c:pt idx="42">
                  <c:v>99.803126039999995</c:v>
                </c:pt>
                <c:pt idx="43">
                  <c:v>99.900036799999995</c:v>
                </c:pt>
                <c:pt idx="44">
                  <c:v>100.0000004</c:v>
                </c:pt>
                <c:pt idx="45">
                  <c:v>99.544438600000007</c:v>
                </c:pt>
                <c:pt idx="46">
                  <c:v>88.769606420000002</c:v>
                </c:pt>
                <c:pt idx="47">
                  <c:v>97.989631669999994</c:v>
                </c:pt>
                <c:pt idx="48">
                  <c:v>99.879932539999999</c:v>
                </c:pt>
                <c:pt idx="49">
                  <c:v>98.856916519999999</c:v>
                </c:pt>
                <c:pt idx="50">
                  <c:v>100</c:v>
                </c:pt>
                <c:pt idx="51">
                  <c:v>67.301025539999998</c:v>
                </c:pt>
                <c:pt idx="52">
                  <c:v>97.313222629999999</c:v>
                </c:pt>
                <c:pt idx="53">
                  <c:v>95.554806850000006</c:v>
                </c:pt>
                <c:pt idx="54">
                  <c:v>100</c:v>
                </c:pt>
                <c:pt idx="55">
                  <c:v>94.30106524</c:v>
                </c:pt>
                <c:pt idx="56">
                  <c:v>76.049920209999996</c:v>
                </c:pt>
                <c:pt idx="57">
                  <c:v>70.753070949999994</c:v>
                </c:pt>
                <c:pt idx="58">
                  <c:v>99.765173180000005</c:v>
                </c:pt>
                <c:pt idx="59">
                  <c:v>99.866254699999999</c:v>
                </c:pt>
                <c:pt idx="60">
                  <c:v>85.495601199999996</c:v>
                </c:pt>
                <c:pt idx="61">
                  <c:v>99.59078178</c:v>
                </c:pt>
                <c:pt idx="62">
                  <c:v>98.875170769999997</c:v>
                </c:pt>
                <c:pt idx="63">
                  <c:v>100</c:v>
                </c:pt>
                <c:pt idx="64">
                  <c:v>98.782601150000005</c:v>
                </c:pt>
                <c:pt idx="65">
                  <c:v>59.016912210000001</c:v>
                </c:pt>
                <c:pt idx="66">
                  <c:v>99.5</c:v>
                </c:pt>
                <c:pt idx="67">
                  <c:v>97.742815789999995</c:v>
                </c:pt>
                <c:pt idx="68">
                  <c:v>72.176039270000004</c:v>
                </c:pt>
                <c:pt idx="69">
                  <c:v>85.341930599999998</c:v>
                </c:pt>
                <c:pt idx="70">
                  <c:v>92.213563070000006</c:v>
                </c:pt>
                <c:pt idx="71">
                  <c:v>80.940407140000005</c:v>
                </c:pt>
                <c:pt idx="72">
                  <c:v>84.270036279999999</c:v>
                </c:pt>
                <c:pt idx="73">
                  <c:v>98.013347240000002</c:v>
                </c:pt>
                <c:pt idx="74">
                  <c:v>100</c:v>
                </c:pt>
                <c:pt idx="75">
                  <c:v>95.068038830000006</c:v>
                </c:pt>
                <c:pt idx="76">
                  <c:v>99.568101940000005</c:v>
                </c:pt>
                <c:pt idx="77">
                  <c:v>91.029944499999999</c:v>
                </c:pt>
                <c:pt idx="78">
                  <c:v>99.971180689999997</c:v>
                </c:pt>
                <c:pt idx="79">
                  <c:v>85.495625270000005</c:v>
                </c:pt>
                <c:pt idx="80">
                  <c:v>96.113897620000003</c:v>
                </c:pt>
                <c:pt idx="81">
                  <c:v>99.495757560000001</c:v>
                </c:pt>
                <c:pt idx="82">
                  <c:v>97.348139700000004</c:v>
                </c:pt>
                <c:pt idx="83">
                  <c:v>90.569962239999995</c:v>
                </c:pt>
                <c:pt idx="84">
                  <c:v>0</c:v>
                </c:pt>
                <c:pt idx="85">
                  <c:v>100</c:v>
                </c:pt>
                <c:pt idx="86">
                  <c:v>94.372544360000006</c:v>
                </c:pt>
                <c:pt idx="87">
                  <c:v>71.681049229999999</c:v>
                </c:pt>
                <c:pt idx="88">
                  <c:v>100.00000129999999</c:v>
                </c:pt>
                <c:pt idx="89">
                  <c:v>37.202402050000003</c:v>
                </c:pt>
                <c:pt idx="90">
                  <c:v>97.399706510000001</c:v>
                </c:pt>
                <c:pt idx="91">
                  <c:v>75.261791590000001</c:v>
                </c:pt>
                <c:pt idx="92">
                  <c:v>99.810536929999998</c:v>
                </c:pt>
                <c:pt idx="93">
                  <c:v>97.880397220000006</c:v>
                </c:pt>
                <c:pt idx="94">
                  <c:v>92.168024689999996</c:v>
                </c:pt>
                <c:pt idx="95">
                  <c:v>99.999995499999997</c:v>
                </c:pt>
                <c:pt idx="96">
                  <c:v>99.787698579999997</c:v>
                </c:pt>
                <c:pt idx="97">
                  <c:v>73.78451158</c:v>
                </c:pt>
                <c:pt idx="98">
                  <c:v>100.0000033</c:v>
                </c:pt>
                <c:pt idx="99">
                  <c:v>100.00000110000001</c:v>
                </c:pt>
                <c:pt idx="100">
                  <c:v>100</c:v>
                </c:pt>
                <c:pt idx="101">
                  <c:v>100</c:v>
                </c:pt>
                <c:pt idx="102">
                  <c:v>97.946575409999994</c:v>
                </c:pt>
                <c:pt idx="103">
                  <c:v>91.699305219999999</c:v>
                </c:pt>
                <c:pt idx="104">
                  <c:v>81.708753799999997</c:v>
                </c:pt>
                <c:pt idx="105">
                  <c:v>92.6</c:v>
                </c:pt>
                <c:pt idx="106">
                  <c:v>99.891523800000002</c:v>
                </c:pt>
                <c:pt idx="107">
                  <c:v>99.011416940000004</c:v>
                </c:pt>
                <c:pt idx="108">
                  <c:v>99.593466329999998</c:v>
                </c:pt>
                <c:pt idx="109">
                  <c:v>85.219743179999995</c:v>
                </c:pt>
                <c:pt idx="110">
                  <c:v>100</c:v>
                </c:pt>
                <c:pt idx="111">
                  <c:v>63.766285619999998</c:v>
                </c:pt>
                <c:pt idx="112">
                  <c:v>68.58372009</c:v>
                </c:pt>
                <c:pt idx="113">
                  <c:v>100.0000028</c:v>
                </c:pt>
                <c:pt idx="114">
                  <c:v>100</c:v>
                </c:pt>
                <c:pt idx="115">
                  <c:v>95.29552932</c:v>
                </c:pt>
                <c:pt idx="116">
                  <c:v>45.344017520000001</c:v>
                </c:pt>
                <c:pt idx="117">
                  <c:v>100</c:v>
                </c:pt>
                <c:pt idx="118">
                  <c:v>96.534726079999999</c:v>
                </c:pt>
                <c:pt idx="119">
                  <c:v>81.852415019999995</c:v>
                </c:pt>
                <c:pt idx="120">
                  <c:v>99.999997469999997</c:v>
                </c:pt>
                <c:pt idx="121">
                  <c:v>99.965596000000005</c:v>
                </c:pt>
                <c:pt idx="122">
                  <c:v>95.689221130000007</c:v>
                </c:pt>
                <c:pt idx="123">
                  <c:v>99.826867629999995</c:v>
                </c:pt>
                <c:pt idx="124">
                  <c:v>96.043376129999999</c:v>
                </c:pt>
                <c:pt idx="125">
                  <c:v>99.911993670000001</c:v>
                </c:pt>
                <c:pt idx="126">
                  <c:v>98.940302959999997</c:v>
                </c:pt>
                <c:pt idx="127">
                  <c:v>100.00000230000001</c:v>
                </c:pt>
                <c:pt idx="128">
                  <c:v>99.880591670000001</c:v>
                </c:pt>
                <c:pt idx="129">
                  <c:v>96.686811919999997</c:v>
                </c:pt>
                <c:pt idx="130">
                  <c:v>40.95092717</c:v>
                </c:pt>
                <c:pt idx="131">
                  <c:v>97.002696159999999</c:v>
                </c:pt>
                <c:pt idx="132">
                  <c:v>66.695308400000002</c:v>
                </c:pt>
                <c:pt idx="133">
                  <c:v>99.999996449999998</c:v>
                </c:pt>
                <c:pt idx="134">
                  <c:v>93.390071629999994</c:v>
                </c:pt>
                <c:pt idx="135">
                  <c:v>97.54330899</c:v>
                </c:pt>
                <c:pt idx="136">
                  <c:v>62.207122249999998</c:v>
                </c:pt>
                <c:pt idx="137">
                  <c:v>65.414122989999996</c:v>
                </c:pt>
                <c:pt idx="138">
                  <c:v>60.41450115</c:v>
                </c:pt>
                <c:pt idx="139">
                  <c:v>63.961788740000003</c:v>
                </c:pt>
                <c:pt idx="140">
                  <c:v>62.666457610000002</c:v>
                </c:pt>
                <c:pt idx="141">
                  <c:v>56.476973389999998</c:v>
                </c:pt>
                <c:pt idx="142">
                  <c:v>46.187534790000001</c:v>
                </c:pt>
                <c:pt idx="143">
                  <c:v>71.219884969999995</c:v>
                </c:pt>
                <c:pt idx="144">
                  <c:v>84.905237790000001</c:v>
                </c:pt>
                <c:pt idx="145">
                  <c:v>99.999999290000005</c:v>
                </c:pt>
                <c:pt idx="146">
                  <c:v>93.925857179999994</c:v>
                </c:pt>
                <c:pt idx="147">
                  <c:v>95.359763560000005</c:v>
                </c:pt>
                <c:pt idx="148">
                  <c:v>94.006428270000001</c:v>
                </c:pt>
                <c:pt idx="149">
                  <c:v>65.412383570000003</c:v>
                </c:pt>
                <c:pt idx="150">
                  <c:v>95.434970320000005</c:v>
                </c:pt>
                <c:pt idx="151">
                  <c:v>99.999998719999994</c:v>
                </c:pt>
                <c:pt idx="152">
                  <c:v>70.047728509999999</c:v>
                </c:pt>
                <c:pt idx="153">
                  <c:v>100</c:v>
                </c:pt>
                <c:pt idx="154">
                  <c:v>82.547291029999997</c:v>
                </c:pt>
                <c:pt idx="155">
                  <c:v>47.214854459999998</c:v>
                </c:pt>
                <c:pt idx="156">
                  <c:v>92.227579370000001</c:v>
                </c:pt>
                <c:pt idx="157">
                  <c:v>46.911797470000003</c:v>
                </c:pt>
                <c:pt idx="158">
                  <c:v>99.969811820000004</c:v>
                </c:pt>
                <c:pt idx="159">
                  <c:v>93.843843030000002</c:v>
                </c:pt>
                <c:pt idx="160">
                  <c:v>70.909070389999997</c:v>
                </c:pt>
                <c:pt idx="161">
                  <c:v>65.720418179999996</c:v>
                </c:pt>
                <c:pt idx="162">
                  <c:v>53.385884910000001</c:v>
                </c:pt>
                <c:pt idx="163">
                  <c:v>93.685800709999995</c:v>
                </c:pt>
                <c:pt idx="164">
                  <c:v>90.074541789999998</c:v>
                </c:pt>
                <c:pt idx="165">
                  <c:v>60.663569840000001</c:v>
                </c:pt>
                <c:pt idx="166">
                  <c:v>85.790996649999997</c:v>
                </c:pt>
                <c:pt idx="167">
                  <c:v>63.369425630000002</c:v>
                </c:pt>
                <c:pt idx="168">
                  <c:v>97.09990707</c:v>
                </c:pt>
                <c:pt idx="169">
                  <c:v>57.167737619999997</c:v>
                </c:pt>
                <c:pt idx="170">
                  <c:v>93.139366210000006</c:v>
                </c:pt>
                <c:pt idx="171">
                  <c:v>97.828784850000005</c:v>
                </c:pt>
                <c:pt idx="172">
                  <c:v>100</c:v>
                </c:pt>
                <c:pt idx="173">
                  <c:v>90.402344679999999</c:v>
                </c:pt>
                <c:pt idx="174">
                  <c:v>99.221810660000003</c:v>
                </c:pt>
                <c:pt idx="175">
                  <c:v>99.966591550000004</c:v>
                </c:pt>
                <c:pt idx="176">
                  <c:v>75.091413250000002</c:v>
                </c:pt>
                <c:pt idx="177">
                  <c:v>98.359903250000002</c:v>
                </c:pt>
                <c:pt idx="178">
                  <c:v>93.928281949999999</c:v>
                </c:pt>
                <c:pt idx="179">
                  <c:v>60.448675600000001</c:v>
                </c:pt>
                <c:pt idx="180">
                  <c:v>94.43732996</c:v>
                </c:pt>
                <c:pt idx="181">
                  <c:v>0</c:v>
                </c:pt>
                <c:pt idx="182">
                  <c:v>55.855049209999997</c:v>
                </c:pt>
                <c:pt idx="183">
                  <c:v>99.925612610000002</c:v>
                </c:pt>
                <c:pt idx="184">
                  <c:v>97.491657110000006</c:v>
                </c:pt>
                <c:pt idx="185">
                  <c:v>99.931396649999996</c:v>
                </c:pt>
                <c:pt idx="186">
                  <c:v>61.632891579999999</c:v>
                </c:pt>
                <c:pt idx="187">
                  <c:v>83.718191910000002</c:v>
                </c:pt>
                <c:pt idx="188">
                  <c:v>93.885057439999997</c:v>
                </c:pt>
                <c:pt idx="189">
                  <c:v>60.716797589999999</c:v>
                </c:pt>
                <c:pt idx="190">
                  <c:v>99.91703407</c:v>
                </c:pt>
                <c:pt idx="191">
                  <c:v>99.999998500000004</c:v>
                </c:pt>
                <c:pt idx="192">
                  <c:v>99.999998559999995</c:v>
                </c:pt>
                <c:pt idx="193">
                  <c:v>100</c:v>
                </c:pt>
                <c:pt idx="194">
                  <c:v>100.00000230000001</c:v>
                </c:pt>
                <c:pt idx="195">
                  <c:v>97.482636330000005</c:v>
                </c:pt>
                <c:pt idx="196">
                  <c:v>97.014269159999998</c:v>
                </c:pt>
                <c:pt idx="197">
                  <c:v>45.952126960000001</c:v>
                </c:pt>
                <c:pt idx="198">
                  <c:v>96.884356870000005</c:v>
                </c:pt>
                <c:pt idx="199">
                  <c:v>99.440175960000005</c:v>
                </c:pt>
                <c:pt idx="200">
                  <c:v>94.109034559999998</c:v>
                </c:pt>
                <c:pt idx="201">
                  <c:v>49.615572739999998</c:v>
                </c:pt>
                <c:pt idx="202">
                  <c:v>99.078912450000004</c:v>
                </c:pt>
                <c:pt idx="203">
                  <c:v>99.679568279999998</c:v>
                </c:pt>
                <c:pt idx="204">
                  <c:v>96.992548069999998</c:v>
                </c:pt>
                <c:pt idx="205">
                  <c:v>97.697960249999994</c:v>
                </c:pt>
                <c:pt idx="206">
                  <c:v>77.609053380000006</c:v>
                </c:pt>
                <c:pt idx="207">
                  <c:v>99.320852990000006</c:v>
                </c:pt>
                <c:pt idx="208">
                  <c:v>90.148965079999996</c:v>
                </c:pt>
                <c:pt idx="209">
                  <c:v>92.415349610000007</c:v>
                </c:pt>
                <c:pt idx="210">
                  <c:v>99.883526680000003</c:v>
                </c:pt>
                <c:pt idx="211">
                  <c:v>90.489525029999996</c:v>
                </c:pt>
                <c:pt idx="212">
                  <c:v>94.261110590000001</c:v>
                </c:pt>
                <c:pt idx="213">
                  <c:v>89.864782531469217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2-4EF9-96AC-A1EA7F8AD11C}"/>
            </c:ext>
          </c:extLst>
        </c:ser>
        <c:ser>
          <c:idx val="1"/>
          <c:order val="1"/>
          <c:tx>
            <c:v>Limited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numRef>
              <c:f>'Estimates on the use of water ('!$C$2:$C$1000</c:f>
              <c:numCache>
                <c:formatCode>General</c:formatCode>
                <c:ptCount val="999"/>
                <c:pt idx="0">
                  <c:v>1.3500000240000001</c:v>
                </c:pt>
                <c:pt idx="1">
                  <c:v>1.618000031</c:v>
                </c:pt>
                <c:pt idx="2">
                  <c:v>3.4830000399999999</c:v>
                </c:pt>
                <c:pt idx="3">
                  <c:v>4.9990000720000003</c:v>
                </c:pt>
                <c:pt idx="4">
                  <c:v>5.795000076</c:v>
                </c:pt>
                <c:pt idx="5">
                  <c:v>6.0710000989999999</c:v>
                </c:pt>
                <c:pt idx="6">
                  <c:v>9.8849999999999998</c:v>
                </c:pt>
                <c:pt idx="7">
                  <c:v>10.833999629999999</c:v>
                </c:pt>
                <c:pt idx="8">
                  <c:v>11.24600029</c:v>
                </c:pt>
                <c:pt idx="9">
                  <c:v>11.791999819999999</c:v>
                </c:pt>
                <c:pt idx="10">
                  <c:v>17.56399918</c:v>
                </c:pt>
                <c:pt idx="11">
                  <c:v>18.091999049999998</c:v>
                </c:pt>
                <c:pt idx="12">
                  <c:v>30.23699951</c:v>
                </c:pt>
                <c:pt idx="13">
                  <c:v>33.691001890000003</c:v>
                </c:pt>
                <c:pt idx="14">
                  <c:v>33.937999730000001</c:v>
                </c:pt>
                <c:pt idx="15">
                  <c:v>38.137001040000001</c:v>
                </c:pt>
                <c:pt idx="16">
                  <c:v>38.658999999999999</c:v>
                </c:pt>
                <c:pt idx="17">
                  <c:v>39.243999479999999</c:v>
                </c:pt>
                <c:pt idx="18">
                  <c:v>48.865001679999999</c:v>
                </c:pt>
                <c:pt idx="19">
                  <c:v>55.196998600000001</c:v>
                </c:pt>
                <c:pt idx="20">
                  <c:v>56.771999360000002</c:v>
                </c:pt>
                <c:pt idx="21">
                  <c:v>57.556999210000001</c:v>
                </c:pt>
                <c:pt idx="22">
                  <c:v>59.194000240000001</c:v>
                </c:pt>
                <c:pt idx="23">
                  <c:v>62.272998809999997</c:v>
                </c:pt>
                <c:pt idx="24">
                  <c:v>77.26499939</c:v>
                </c:pt>
                <c:pt idx="25">
                  <c:v>85.031997680000003</c:v>
                </c:pt>
                <c:pt idx="26">
                  <c:v>104.4229965</c:v>
                </c:pt>
                <c:pt idx="27">
                  <c:v>105.6969986</c:v>
                </c:pt>
                <c:pt idx="28">
                  <c:v>119.44599909999999</c:v>
                </c:pt>
                <c:pt idx="29">
                  <c:v>168.78300479999999</c:v>
                </c:pt>
                <c:pt idx="30">
                  <c:v>183.62899780000001</c:v>
                </c:pt>
                <c:pt idx="31">
                  <c:v>198.4100037</c:v>
                </c:pt>
                <c:pt idx="32">
                  <c:v>219.16099550000001</c:v>
                </c:pt>
                <c:pt idx="33">
                  <c:v>272.81298829999997</c:v>
                </c:pt>
                <c:pt idx="34">
                  <c:v>280.90399170000001</c:v>
                </c:pt>
                <c:pt idx="35">
                  <c:v>285.4909973</c:v>
                </c:pt>
                <c:pt idx="36">
                  <c:v>287.37100220000002</c:v>
                </c:pt>
                <c:pt idx="37">
                  <c:v>298.68200680000001</c:v>
                </c:pt>
                <c:pt idx="38">
                  <c:v>307.14999390000003</c:v>
                </c:pt>
                <c:pt idx="39">
                  <c:v>341.25</c:v>
                </c:pt>
                <c:pt idx="40">
                  <c:v>375.26501459999997</c:v>
                </c:pt>
                <c:pt idx="41">
                  <c:v>397.62100220000002</c:v>
                </c:pt>
                <c:pt idx="42">
                  <c:v>400.12701420000002</c:v>
                </c:pt>
                <c:pt idx="43">
                  <c:v>437.48300169999999</c:v>
                </c:pt>
                <c:pt idx="44">
                  <c:v>441.53900149999998</c:v>
                </c:pt>
                <c:pt idx="45">
                  <c:v>540.54199219999998</c:v>
                </c:pt>
                <c:pt idx="46">
                  <c:v>555.98797609999997</c:v>
                </c:pt>
                <c:pt idx="47">
                  <c:v>586.63397220000002</c:v>
                </c:pt>
                <c:pt idx="48">
                  <c:v>625.97601320000001</c:v>
                </c:pt>
                <c:pt idx="49">
                  <c:v>628.06201169999997</c:v>
                </c:pt>
                <c:pt idx="50">
                  <c:v>649.34198000000004</c:v>
                </c:pt>
                <c:pt idx="51">
                  <c:v>686.87799070000005</c:v>
                </c:pt>
                <c:pt idx="52">
                  <c:v>771.61199950000002</c:v>
                </c:pt>
                <c:pt idx="53">
                  <c:v>786.55902100000003</c:v>
                </c:pt>
                <c:pt idx="54">
                  <c:v>895.30798340000001</c:v>
                </c:pt>
                <c:pt idx="55">
                  <c:v>896.44396970000003</c:v>
                </c:pt>
                <c:pt idx="56">
                  <c:v>988.00201419999996</c:v>
                </c:pt>
                <c:pt idx="57">
                  <c:v>1160.1639399999999</c:v>
                </c:pt>
                <c:pt idx="58">
                  <c:v>1207.360962</c:v>
                </c:pt>
                <c:pt idx="59">
                  <c:v>1271.7669679999999</c:v>
                </c:pt>
                <c:pt idx="60">
                  <c:v>1318.4420170000001</c:v>
                </c:pt>
                <c:pt idx="61">
                  <c:v>1326.5389399999999</c:v>
                </c:pt>
                <c:pt idx="62">
                  <c:v>1399.490967</c:v>
                </c:pt>
                <c:pt idx="63">
                  <c:v>1701.5830080000001</c:v>
                </c:pt>
                <c:pt idx="64">
                  <c:v>1886.2020259999999</c:v>
                </c:pt>
                <c:pt idx="65">
                  <c:v>1967.998047</c:v>
                </c:pt>
                <c:pt idx="66">
                  <c:v>2078.931885</c:v>
                </c:pt>
                <c:pt idx="67">
                  <c:v>2083.3798830000001</c:v>
                </c:pt>
                <c:pt idx="68">
                  <c:v>2142.251953</c:v>
                </c:pt>
                <c:pt idx="69">
                  <c:v>2225.7280270000001</c:v>
                </c:pt>
                <c:pt idx="70">
                  <c:v>2351.625</c:v>
                </c:pt>
                <c:pt idx="71">
                  <c:v>2416.6640630000002</c:v>
                </c:pt>
                <c:pt idx="72">
                  <c:v>2540.9160160000001</c:v>
                </c:pt>
                <c:pt idx="73">
                  <c:v>2722.2910160000001</c:v>
                </c:pt>
                <c:pt idx="74">
                  <c:v>2860.8400879999999</c:v>
                </c:pt>
                <c:pt idx="75">
                  <c:v>2877.8000489999999</c:v>
                </c:pt>
                <c:pt idx="76">
                  <c:v>2881.0600589999999</c:v>
                </c:pt>
                <c:pt idx="77">
                  <c:v>2961.1608890000002</c:v>
                </c:pt>
                <c:pt idx="78">
                  <c:v>2963.2338869999999</c:v>
                </c:pt>
                <c:pt idx="79">
                  <c:v>3278.2919919999999</c:v>
                </c:pt>
                <c:pt idx="80">
                  <c:v>3280.8149410000001</c:v>
                </c:pt>
                <c:pt idx="81">
                  <c:v>3473.7270509999998</c:v>
                </c:pt>
                <c:pt idx="82">
                  <c:v>3989.1750489999999</c:v>
                </c:pt>
                <c:pt idx="83">
                  <c:v>4033.9628910000001</c:v>
                </c:pt>
                <c:pt idx="84">
                  <c:v>4105.2680659999996</c:v>
                </c:pt>
                <c:pt idx="85">
                  <c:v>4270.5629879999997</c:v>
                </c:pt>
                <c:pt idx="86">
                  <c:v>4314.7680659999996</c:v>
                </c:pt>
                <c:pt idx="87">
                  <c:v>4649.6601559999999</c:v>
                </c:pt>
                <c:pt idx="88">
                  <c:v>4822.2329099999997</c:v>
                </c:pt>
                <c:pt idx="89">
                  <c:v>4829.7641599999997</c:v>
                </c:pt>
                <c:pt idx="90">
                  <c:v>4937.7958980000003</c:v>
                </c:pt>
                <c:pt idx="91">
                  <c:v>5057.6767579999996</c:v>
                </c:pt>
                <c:pt idx="92">
                  <c:v>5094.1137699999999</c:v>
                </c:pt>
                <c:pt idx="93">
                  <c:v>5101.4160160000001</c:v>
                </c:pt>
                <c:pt idx="94">
                  <c:v>5106.6220700000003</c:v>
                </c:pt>
                <c:pt idx="95">
                  <c:v>5421.2421880000002</c:v>
                </c:pt>
                <c:pt idx="96">
                  <c:v>5459.6430659999996</c:v>
                </c:pt>
                <c:pt idx="97">
                  <c:v>5518.091797</c:v>
                </c:pt>
                <c:pt idx="98">
                  <c:v>5540.7177730000003</c:v>
                </c:pt>
                <c:pt idx="99">
                  <c:v>5792.203125</c:v>
                </c:pt>
                <c:pt idx="100">
                  <c:v>5850.3427730000003</c:v>
                </c:pt>
                <c:pt idx="101">
                  <c:v>6031.1870120000003</c:v>
                </c:pt>
                <c:pt idx="102">
                  <c:v>6486.201172</c:v>
                </c:pt>
                <c:pt idx="103">
                  <c:v>6524.1909180000002</c:v>
                </c:pt>
                <c:pt idx="104">
                  <c:v>6624.5541990000002</c:v>
                </c:pt>
                <c:pt idx="105">
                  <c:v>6825.4418949999999</c:v>
                </c:pt>
                <c:pt idx="106">
                  <c:v>6871.2871089999999</c:v>
                </c:pt>
                <c:pt idx="107">
                  <c:v>6948.4448240000002</c:v>
                </c:pt>
                <c:pt idx="108">
                  <c:v>7132.5297849999997</c:v>
                </c:pt>
                <c:pt idx="109">
                  <c:v>7275.5561520000001</c:v>
                </c:pt>
                <c:pt idx="110">
                  <c:v>7496.9877930000002</c:v>
                </c:pt>
                <c:pt idx="111">
                  <c:v>7976.9848629999997</c:v>
                </c:pt>
                <c:pt idx="112">
                  <c:v>8278.7373050000006</c:v>
                </c:pt>
                <c:pt idx="113">
                  <c:v>8654.6181639999995</c:v>
                </c:pt>
                <c:pt idx="114">
                  <c:v>8655.5410159999992</c:v>
                </c:pt>
                <c:pt idx="115">
                  <c:v>8737.3701170000004</c:v>
                </c:pt>
                <c:pt idx="116">
                  <c:v>8947.0273440000001</c:v>
                </c:pt>
                <c:pt idx="117">
                  <c:v>9006.4003909999992</c:v>
                </c:pt>
                <c:pt idx="118">
                  <c:v>9449.3212889999995</c:v>
                </c:pt>
                <c:pt idx="119">
                  <c:v>9537.6416019999997</c:v>
                </c:pt>
                <c:pt idx="120">
                  <c:v>9660.3496090000008</c:v>
                </c:pt>
                <c:pt idx="121">
                  <c:v>9890.4003909999992</c:v>
                </c:pt>
                <c:pt idx="122">
                  <c:v>9904.6083980000003</c:v>
                </c:pt>
                <c:pt idx="123">
                  <c:v>10099.26953</c:v>
                </c:pt>
                <c:pt idx="124">
                  <c:v>10139.174800000001</c:v>
                </c:pt>
                <c:pt idx="125">
                  <c:v>10196.70703</c:v>
                </c:pt>
                <c:pt idx="126">
                  <c:v>10203.139649999999</c:v>
                </c:pt>
                <c:pt idx="127">
                  <c:v>10423.05566</c:v>
                </c:pt>
                <c:pt idx="128">
                  <c:v>10708.98242</c:v>
                </c:pt>
                <c:pt idx="129">
                  <c:v>10847.9043</c:v>
                </c:pt>
                <c:pt idx="130">
                  <c:v>11193.728520000001</c:v>
                </c:pt>
                <c:pt idx="131">
                  <c:v>11326.61621</c:v>
                </c:pt>
                <c:pt idx="132">
                  <c:v>11402.5332</c:v>
                </c:pt>
                <c:pt idx="133">
                  <c:v>11589.61621</c:v>
                </c:pt>
                <c:pt idx="134">
                  <c:v>11673.0293</c:v>
                </c:pt>
                <c:pt idx="135">
                  <c:v>11818.61816</c:v>
                </c:pt>
                <c:pt idx="136">
                  <c:v>11890.78125</c:v>
                </c:pt>
                <c:pt idx="137">
                  <c:v>12123.19824</c:v>
                </c:pt>
                <c:pt idx="138">
                  <c:v>12952.208979999999</c:v>
                </c:pt>
                <c:pt idx="139">
                  <c:v>13132.79199</c:v>
                </c:pt>
                <c:pt idx="140">
                  <c:v>14862.92676</c:v>
                </c:pt>
                <c:pt idx="141">
                  <c:v>15893.21875</c:v>
                </c:pt>
                <c:pt idx="142">
                  <c:v>16425.859380000002</c:v>
                </c:pt>
                <c:pt idx="143">
                  <c:v>16718.970700000002</c:v>
                </c:pt>
                <c:pt idx="144">
                  <c:v>16743.929690000001</c:v>
                </c:pt>
                <c:pt idx="145">
                  <c:v>17134.873049999998</c:v>
                </c:pt>
                <c:pt idx="146">
                  <c:v>17500.65625</c:v>
                </c:pt>
                <c:pt idx="147">
                  <c:v>17643.060549999998</c:v>
                </c:pt>
                <c:pt idx="148">
                  <c:v>17915.566409999999</c:v>
                </c:pt>
                <c:pt idx="149">
                  <c:v>18383.95508</c:v>
                </c:pt>
                <c:pt idx="150">
                  <c:v>18776.707030000001</c:v>
                </c:pt>
                <c:pt idx="151">
                  <c:v>19116.208979999999</c:v>
                </c:pt>
                <c:pt idx="152">
                  <c:v>19129.95508</c:v>
                </c:pt>
                <c:pt idx="153">
                  <c:v>19237.681639999999</c:v>
                </c:pt>
                <c:pt idx="154">
                  <c:v>20250.833979999999</c:v>
                </c:pt>
                <c:pt idx="155">
                  <c:v>20903.277340000001</c:v>
                </c:pt>
                <c:pt idx="156">
                  <c:v>21413.25</c:v>
                </c:pt>
                <c:pt idx="157">
                  <c:v>24206.636719999999</c:v>
                </c:pt>
                <c:pt idx="158">
                  <c:v>25499.880860000001</c:v>
                </c:pt>
                <c:pt idx="159">
                  <c:v>25778.814450000002</c:v>
                </c:pt>
                <c:pt idx="160">
                  <c:v>26378.275389999999</c:v>
                </c:pt>
                <c:pt idx="161">
                  <c:v>26545.863280000001</c:v>
                </c:pt>
                <c:pt idx="162">
                  <c:v>27691.019530000001</c:v>
                </c:pt>
                <c:pt idx="163">
                  <c:v>28435.943360000001</c:v>
                </c:pt>
                <c:pt idx="164">
                  <c:v>29136.808590000001</c:v>
                </c:pt>
                <c:pt idx="165">
                  <c:v>29825.96875</c:v>
                </c:pt>
                <c:pt idx="166">
                  <c:v>31072.945309999999</c:v>
                </c:pt>
                <c:pt idx="167">
                  <c:v>31255.435549999998</c:v>
                </c:pt>
                <c:pt idx="168">
                  <c:v>32365.998049999998</c:v>
                </c:pt>
                <c:pt idx="169">
                  <c:v>32866.269529999998</c:v>
                </c:pt>
                <c:pt idx="170">
                  <c:v>32971.847659999999</c:v>
                </c:pt>
                <c:pt idx="171">
                  <c:v>33469.199220000002</c:v>
                </c:pt>
                <c:pt idx="172">
                  <c:v>34813.867189999997</c:v>
                </c:pt>
                <c:pt idx="173">
                  <c:v>36910.558590000001</c:v>
                </c:pt>
                <c:pt idx="174">
                  <c:v>37742.15625</c:v>
                </c:pt>
                <c:pt idx="175">
                  <c:v>37846.605470000002</c:v>
                </c:pt>
                <c:pt idx="176">
                  <c:v>38928.339840000001</c:v>
                </c:pt>
                <c:pt idx="177">
                  <c:v>40222.503909999999</c:v>
                </c:pt>
                <c:pt idx="178">
                  <c:v>43733.757810000003</c:v>
                </c:pt>
                <c:pt idx="179">
                  <c:v>43849.269529999998</c:v>
                </c:pt>
                <c:pt idx="180">
                  <c:v>43851.042970000002</c:v>
                </c:pt>
                <c:pt idx="181">
                  <c:v>45195.777340000001</c:v>
                </c:pt>
                <c:pt idx="182">
                  <c:v>45741</c:v>
                </c:pt>
                <c:pt idx="183">
                  <c:v>46754.78125</c:v>
                </c:pt>
                <c:pt idx="184">
                  <c:v>50882.882810000003</c:v>
                </c:pt>
                <c:pt idx="185">
                  <c:v>51269.183590000001</c:v>
                </c:pt>
                <c:pt idx="186">
                  <c:v>53771.300779999998</c:v>
                </c:pt>
                <c:pt idx="187">
                  <c:v>54409.792970000002</c:v>
                </c:pt>
                <c:pt idx="188">
                  <c:v>59308.691409999999</c:v>
                </c:pt>
                <c:pt idx="189">
                  <c:v>59734.214840000001</c:v>
                </c:pt>
                <c:pt idx="190">
                  <c:v>60461.828130000002</c:v>
                </c:pt>
                <c:pt idx="191">
                  <c:v>65273.511720000002</c:v>
                </c:pt>
                <c:pt idx="192">
                  <c:v>67886.007809999996</c:v>
                </c:pt>
                <c:pt idx="193">
                  <c:v>69799.976559999996</c:v>
                </c:pt>
                <c:pt idx="194">
                  <c:v>83783.945309999996</c:v>
                </c:pt>
                <c:pt idx="195">
                  <c:v>83992.953129999994</c:v>
                </c:pt>
                <c:pt idx="196">
                  <c:v>84339.070309999996</c:v>
                </c:pt>
                <c:pt idx="197">
                  <c:v>89561.40625</c:v>
                </c:pt>
                <c:pt idx="198">
                  <c:v>97338.585940000004</c:v>
                </c:pt>
                <c:pt idx="199">
                  <c:v>102334.4063</c:v>
                </c:pt>
                <c:pt idx="200">
                  <c:v>109581.08590000001</c:v>
                </c:pt>
                <c:pt idx="201">
                  <c:v>114963.58590000001</c:v>
                </c:pt>
                <c:pt idx="202">
                  <c:v>126476.46090000001</c:v>
                </c:pt>
                <c:pt idx="203">
                  <c:v>128932.75</c:v>
                </c:pt>
                <c:pt idx="204">
                  <c:v>145934.45310000001</c:v>
                </c:pt>
                <c:pt idx="205">
                  <c:v>164689.39060000001</c:v>
                </c:pt>
                <c:pt idx="206">
                  <c:v>206139.5938</c:v>
                </c:pt>
                <c:pt idx="207">
                  <c:v>212559.4063</c:v>
                </c:pt>
                <c:pt idx="208">
                  <c:v>220892.32810000001</c:v>
                </c:pt>
                <c:pt idx="209">
                  <c:v>273523.625</c:v>
                </c:pt>
                <c:pt idx="210">
                  <c:v>331002.65629999997</c:v>
                </c:pt>
                <c:pt idx="211">
                  <c:v>1380004.375</c:v>
                </c:pt>
                <c:pt idx="212">
                  <c:v>1463140.5</c:v>
                </c:pt>
                <c:pt idx="213">
                  <c:v>7786695.1077512307</c:v>
                </c:pt>
              </c:numCache>
            </c:numRef>
          </c:cat>
          <c:val>
            <c:numRef>
              <c:f>'Estimates on the use of water ('!$F$2:$F$1000</c:f>
              <c:numCache>
                <c:formatCode>General</c:formatCode>
                <c:ptCount val="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11.387979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0.88149729619999995</c:v>
                </c:pt>
                <c:pt idx="28">
                  <c:v>4.0768996250000002</c:v>
                </c:pt>
                <c:pt idx="29">
                  <c:v>0</c:v>
                </c:pt>
                <c:pt idx="30">
                  <c:v>1.815652166</c:v>
                </c:pt>
                <c:pt idx="31">
                  <c:v>6.5208999519999997</c:v>
                </c:pt>
                <c:pt idx="32">
                  <c:v>20.237982980000002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0.26760057609999999</c:v>
                </c:pt>
                <c:pt idx="37">
                  <c:v>0</c:v>
                </c:pt>
                <c:pt idx="38">
                  <c:v>1.0623850500000001</c:v>
                </c:pt>
                <c:pt idx="39">
                  <c:v>0</c:v>
                </c:pt>
                <c:pt idx="40">
                  <c:v>0</c:v>
                </c:pt>
                <c:pt idx="41">
                  <c:v>1.249110629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4.8050691299999997E-2</c:v>
                </c:pt>
                <c:pt idx="46">
                  <c:v>7.9041508460000003</c:v>
                </c:pt>
                <c:pt idx="47">
                  <c:v>1.0672469410000001</c:v>
                </c:pt>
                <c:pt idx="48">
                  <c:v>0</c:v>
                </c:pt>
                <c:pt idx="49">
                  <c:v>0.54547882039999995</c:v>
                </c:pt>
                <c:pt idx="50">
                  <c:v>0</c:v>
                </c:pt>
                <c:pt idx="51">
                  <c:v>5.79547831</c:v>
                </c:pt>
                <c:pt idx="52">
                  <c:v>2.4607126070000001</c:v>
                </c:pt>
                <c:pt idx="53">
                  <c:v>1.205244408</c:v>
                </c:pt>
                <c:pt idx="54">
                  <c:v>0</c:v>
                </c:pt>
                <c:pt idx="55">
                  <c:v>0</c:v>
                </c:pt>
                <c:pt idx="56">
                  <c:v>14.7574817</c:v>
                </c:pt>
                <c:pt idx="57">
                  <c:v>9.5070671630000003</c:v>
                </c:pt>
                <c:pt idx="58">
                  <c:v>0</c:v>
                </c:pt>
                <c:pt idx="59">
                  <c:v>0</c:v>
                </c:pt>
                <c:pt idx="60">
                  <c:v>1.88586597</c:v>
                </c:pt>
                <c:pt idx="61">
                  <c:v>0</c:v>
                </c:pt>
                <c:pt idx="62">
                  <c:v>1.1248292310000001</c:v>
                </c:pt>
                <c:pt idx="63">
                  <c:v>0</c:v>
                </c:pt>
                <c:pt idx="64">
                  <c:v>0.68230074240000005</c:v>
                </c:pt>
                <c:pt idx="65">
                  <c:v>14.03457137</c:v>
                </c:pt>
                <c:pt idx="66">
                  <c:v>0</c:v>
                </c:pt>
                <c:pt idx="67">
                  <c:v>1.6349941400000001</c:v>
                </c:pt>
                <c:pt idx="68">
                  <c:v>10.40592597</c:v>
                </c:pt>
                <c:pt idx="69">
                  <c:v>7.7352631030000003</c:v>
                </c:pt>
                <c:pt idx="70">
                  <c:v>4.7230389700000002</c:v>
                </c:pt>
                <c:pt idx="71">
                  <c:v>8.5973913910000004</c:v>
                </c:pt>
                <c:pt idx="72">
                  <c:v>7.0876275099999999</c:v>
                </c:pt>
                <c:pt idx="73">
                  <c:v>0</c:v>
                </c:pt>
                <c:pt idx="74">
                  <c:v>0</c:v>
                </c:pt>
                <c:pt idx="75">
                  <c:v>1.8846560919999999</c:v>
                </c:pt>
                <c:pt idx="76">
                  <c:v>0</c:v>
                </c:pt>
                <c:pt idx="77">
                  <c:v>5.3675709139999999</c:v>
                </c:pt>
                <c:pt idx="78">
                  <c:v>0</c:v>
                </c:pt>
                <c:pt idx="79">
                  <c:v>2.1464289299999999</c:v>
                </c:pt>
                <c:pt idx="80">
                  <c:v>3.8236639380000002</c:v>
                </c:pt>
                <c:pt idx="81">
                  <c:v>0.50424244119999995</c:v>
                </c:pt>
                <c:pt idx="82">
                  <c:v>0</c:v>
                </c:pt>
                <c:pt idx="83">
                  <c:v>1.519776762</c:v>
                </c:pt>
                <c:pt idx="84">
                  <c:v>0</c:v>
                </c:pt>
                <c:pt idx="85">
                  <c:v>0</c:v>
                </c:pt>
                <c:pt idx="86">
                  <c:v>1.8734805919999999</c:v>
                </c:pt>
                <c:pt idx="87">
                  <c:v>13.476891930000001</c:v>
                </c:pt>
                <c:pt idx="88">
                  <c:v>0</c:v>
                </c:pt>
                <c:pt idx="89">
                  <c:v>25.682373479999999</c:v>
                </c:pt>
                <c:pt idx="90">
                  <c:v>0</c:v>
                </c:pt>
                <c:pt idx="91">
                  <c:v>8.7006574749999999</c:v>
                </c:pt>
                <c:pt idx="92">
                  <c:v>0.18945947460000001</c:v>
                </c:pt>
                <c:pt idx="93">
                  <c:v>1.029979486</c:v>
                </c:pt>
                <c:pt idx="94">
                  <c:v>7.5414198929999996</c:v>
                </c:pt>
                <c:pt idx="95">
                  <c:v>0</c:v>
                </c:pt>
                <c:pt idx="96">
                  <c:v>0.2123014241</c:v>
                </c:pt>
                <c:pt idx="97">
                  <c:v>10.46117203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0.20726323190000001</c:v>
                </c:pt>
                <c:pt idx="103">
                  <c:v>1.900734111</c:v>
                </c:pt>
                <c:pt idx="104">
                  <c:v>1.506645682</c:v>
                </c:pt>
                <c:pt idx="105">
                  <c:v>7.4</c:v>
                </c:pt>
                <c:pt idx="106">
                  <c:v>0</c:v>
                </c:pt>
                <c:pt idx="107">
                  <c:v>0</c:v>
                </c:pt>
                <c:pt idx="108">
                  <c:v>0.40653024389999998</c:v>
                </c:pt>
                <c:pt idx="109">
                  <c:v>3.566857739</c:v>
                </c:pt>
                <c:pt idx="110">
                  <c:v>0</c:v>
                </c:pt>
                <c:pt idx="111">
                  <c:v>9.0233163570000006</c:v>
                </c:pt>
                <c:pt idx="112">
                  <c:v>6.065434765</c:v>
                </c:pt>
                <c:pt idx="113">
                  <c:v>0</c:v>
                </c:pt>
                <c:pt idx="114">
                  <c:v>0</c:v>
                </c:pt>
                <c:pt idx="115">
                  <c:v>4.244199279</c:v>
                </c:pt>
                <c:pt idx="116">
                  <c:v>2.128564452</c:v>
                </c:pt>
                <c:pt idx="117">
                  <c:v>0</c:v>
                </c:pt>
                <c:pt idx="118">
                  <c:v>3.3721195499999999</c:v>
                </c:pt>
                <c:pt idx="119">
                  <c:v>2.5683639349999998</c:v>
                </c:pt>
                <c:pt idx="120">
                  <c:v>0</c:v>
                </c:pt>
                <c:pt idx="121">
                  <c:v>0</c:v>
                </c:pt>
                <c:pt idx="122">
                  <c:v>0.4256206085</c:v>
                </c:pt>
                <c:pt idx="123">
                  <c:v>0</c:v>
                </c:pt>
                <c:pt idx="124">
                  <c:v>1.04278118</c:v>
                </c:pt>
                <c:pt idx="125">
                  <c:v>0</c:v>
                </c:pt>
                <c:pt idx="126">
                  <c:v>0.1462147369</c:v>
                </c:pt>
                <c:pt idx="127">
                  <c:v>0</c:v>
                </c:pt>
                <c:pt idx="128">
                  <c:v>0</c:v>
                </c:pt>
                <c:pt idx="129">
                  <c:v>0.46703865039999998</c:v>
                </c:pt>
                <c:pt idx="130">
                  <c:v>37.426962869999997</c:v>
                </c:pt>
                <c:pt idx="131">
                  <c:v>1.471384542</c:v>
                </c:pt>
                <c:pt idx="132">
                  <c:v>9.8145436519999993</c:v>
                </c:pt>
                <c:pt idx="133">
                  <c:v>0</c:v>
                </c:pt>
                <c:pt idx="134">
                  <c:v>0.13659052960000001</c:v>
                </c:pt>
                <c:pt idx="135">
                  <c:v>1.63135067</c:v>
                </c:pt>
                <c:pt idx="136">
                  <c:v>19.439693139999999</c:v>
                </c:pt>
                <c:pt idx="137">
                  <c:v>9.317535586</c:v>
                </c:pt>
                <c:pt idx="138">
                  <c:v>22.3207193</c:v>
                </c:pt>
                <c:pt idx="139">
                  <c:v>21.281591500000001</c:v>
                </c:pt>
                <c:pt idx="140">
                  <c:v>14.1975397</c:v>
                </c:pt>
                <c:pt idx="141">
                  <c:v>27.704199559999999</c:v>
                </c:pt>
                <c:pt idx="142">
                  <c:v>14.74028929</c:v>
                </c:pt>
                <c:pt idx="143">
                  <c:v>13.90222204</c:v>
                </c:pt>
                <c:pt idx="144">
                  <c:v>2.3872175090000001</c:v>
                </c:pt>
                <c:pt idx="145">
                  <c:v>0</c:v>
                </c:pt>
                <c:pt idx="146">
                  <c:v>5.8737307679999997</c:v>
                </c:pt>
                <c:pt idx="147">
                  <c:v>3.451463449E-3</c:v>
                </c:pt>
                <c:pt idx="148">
                  <c:v>1.034150511</c:v>
                </c:pt>
                <c:pt idx="149">
                  <c:v>6.1539390200000001</c:v>
                </c:pt>
                <c:pt idx="150">
                  <c:v>1.9414250390000001</c:v>
                </c:pt>
                <c:pt idx="151">
                  <c:v>0</c:v>
                </c:pt>
                <c:pt idx="152">
                  <c:v>21.95081497</c:v>
                </c:pt>
                <c:pt idx="153">
                  <c:v>0</c:v>
                </c:pt>
                <c:pt idx="154">
                  <c:v>3.8547345270000002</c:v>
                </c:pt>
                <c:pt idx="155">
                  <c:v>31.2730034</c:v>
                </c:pt>
                <c:pt idx="156">
                  <c:v>0.59545814949999998</c:v>
                </c:pt>
                <c:pt idx="157">
                  <c:v>21.653898699999999</c:v>
                </c:pt>
                <c:pt idx="158">
                  <c:v>0</c:v>
                </c:pt>
                <c:pt idx="159">
                  <c:v>0.68313118719999999</c:v>
                </c:pt>
                <c:pt idx="160">
                  <c:v>8.9354217019999993</c:v>
                </c:pt>
                <c:pt idx="161">
                  <c:v>12.874748629999999</c:v>
                </c:pt>
                <c:pt idx="162">
                  <c:v>2.7179729799999999</c:v>
                </c:pt>
                <c:pt idx="163">
                  <c:v>0.4707829181</c:v>
                </c:pt>
                <c:pt idx="164">
                  <c:v>3.979825725</c:v>
                </c:pt>
                <c:pt idx="165">
                  <c:v>28.9627418</c:v>
                </c:pt>
                <c:pt idx="166">
                  <c:v>6.5860621129999997</c:v>
                </c:pt>
                <c:pt idx="167">
                  <c:v>9.9757845070000002</c:v>
                </c:pt>
                <c:pt idx="168">
                  <c:v>0.35453968650000001</c:v>
                </c:pt>
                <c:pt idx="169">
                  <c:v>9.2873499190000004</c:v>
                </c:pt>
                <c:pt idx="170">
                  <c:v>0.84955935110000003</c:v>
                </c:pt>
                <c:pt idx="171">
                  <c:v>0</c:v>
                </c:pt>
                <c:pt idx="172">
                  <c:v>0</c:v>
                </c:pt>
                <c:pt idx="173">
                  <c:v>5.2635496010000002</c:v>
                </c:pt>
                <c:pt idx="174">
                  <c:v>0</c:v>
                </c:pt>
                <c:pt idx="175">
                  <c:v>0</c:v>
                </c:pt>
                <c:pt idx="176">
                  <c:v>1.447541688</c:v>
                </c:pt>
                <c:pt idx="177">
                  <c:v>0.89216034950000001</c:v>
                </c:pt>
                <c:pt idx="178">
                  <c:v>5.671978717</c:v>
                </c:pt>
                <c:pt idx="179">
                  <c:v>26.670019750000002</c:v>
                </c:pt>
                <c:pt idx="180">
                  <c:v>4.9858808420000003</c:v>
                </c:pt>
                <c:pt idx="181">
                  <c:v>0</c:v>
                </c:pt>
                <c:pt idx="182">
                  <c:v>27.282859999999999</c:v>
                </c:pt>
                <c:pt idx="183">
                  <c:v>0</c:v>
                </c:pt>
                <c:pt idx="184">
                  <c:v>0.18615215909999999</c:v>
                </c:pt>
                <c:pt idx="185">
                  <c:v>0</c:v>
                </c:pt>
                <c:pt idx="186">
                  <c:v>9.54187005</c:v>
                </c:pt>
                <c:pt idx="187">
                  <c:v>1.595436949</c:v>
                </c:pt>
                <c:pt idx="188">
                  <c:v>2.7727361859999999</c:v>
                </c:pt>
                <c:pt idx="189">
                  <c:v>11.29007067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1.938311229</c:v>
                </c:pt>
                <c:pt idx="196">
                  <c:v>2.0230780749999999</c:v>
                </c:pt>
                <c:pt idx="197">
                  <c:v>13.44122447</c:v>
                </c:pt>
                <c:pt idx="198">
                  <c:v>0</c:v>
                </c:pt>
                <c:pt idx="199">
                  <c:v>0.23760910860000001</c:v>
                </c:pt>
                <c:pt idx="200">
                  <c:v>2.8564861370000001</c:v>
                </c:pt>
                <c:pt idx="201">
                  <c:v>26.740719639999998</c:v>
                </c:pt>
                <c:pt idx="202">
                  <c:v>0</c:v>
                </c:pt>
                <c:pt idx="203">
                  <c:v>0</c:v>
                </c:pt>
                <c:pt idx="204">
                  <c:v>0.62199637659999996</c:v>
                </c:pt>
                <c:pt idx="205">
                  <c:v>1.1564258780000001</c:v>
                </c:pt>
                <c:pt idx="206">
                  <c:v>4.9793993429999999</c:v>
                </c:pt>
                <c:pt idx="207">
                  <c:v>0.12654900390000001</c:v>
                </c:pt>
                <c:pt idx="208">
                  <c:v>3.8222795249999999</c:v>
                </c:pt>
                <c:pt idx="209">
                  <c:v>0.85547463349999997</c:v>
                </c:pt>
                <c:pt idx="210">
                  <c:v>0</c:v>
                </c:pt>
                <c:pt idx="211">
                  <c:v>4.9836025619999997</c:v>
                </c:pt>
                <c:pt idx="212">
                  <c:v>0.8147213297</c:v>
                </c:pt>
                <c:pt idx="213">
                  <c:v>3.8652653448826966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B2-4EF9-96AC-A1EA7F8AD11C}"/>
            </c:ext>
          </c:extLst>
        </c:ser>
        <c:ser>
          <c:idx val="2"/>
          <c:order val="2"/>
          <c:tx>
            <c:v>Unimproved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numRef>
              <c:f>'Estimates on the use of water ('!$C$2:$C$1000</c:f>
              <c:numCache>
                <c:formatCode>General</c:formatCode>
                <c:ptCount val="999"/>
                <c:pt idx="0">
                  <c:v>1.3500000240000001</c:v>
                </c:pt>
                <c:pt idx="1">
                  <c:v>1.618000031</c:v>
                </c:pt>
                <c:pt idx="2">
                  <c:v>3.4830000399999999</c:v>
                </c:pt>
                <c:pt idx="3">
                  <c:v>4.9990000720000003</c:v>
                </c:pt>
                <c:pt idx="4">
                  <c:v>5.795000076</c:v>
                </c:pt>
                <c:pt idx="5">
                  <c:v>6.0710000989999999</c:v>
                </c:pt>
                <c:pt idx="6">
                  <c:v>9.8849999999999998</c:v>
                </c:pt>
                <c:pt idx="7">
                  <c:v>10.833999629999999</c:v>
                </c:pt>
                <c:pt idx="8">
                  <c:v>11.24600029</c:v>
                </c:pt>
                <c:pt idx="9">
                  <c:v>11.791999819999999</c:v>
                </c:pt>
                <c:pt idx="10">
                  <c:v>17.56399918</c:v>
                </c:pt>
                <c:pt idx="11">
                  <c:v>18.091999049999998</c:v>
                </c:pt>
                <c:pt idx="12">
                  <c:v>30.23699951</c:v>
                </c:pt>
                <c:pt idx="13">
                  <c:v>33.691001890000003</c:v>
                </c:pt>
                <c:pt idx="14">
                  <c:v>33.937999730000001</c:v>
                </c:pt>
                <c:pt idx="15">
                  <c:v>38.137001040000001</c:v>
                </c:pt>
                <c:pt idx="16">
                  <c:v>38.658999999999999</c:v>
                </c:pt>
                <c:pt idx="17">
                  <c:v>39.243999479999999</c:v>
                </c:pt>
                <c:pt idx="18">
                  <c:v>48.865001679999999</c:v>
                </c:pt>
                <c:pt idx="19">
                  <c:v>55.196998600000001</c:v>
                </c:pt>
                <c:pt idx="20">
                  <c:v>56.771999360000002</c:v>
                </c:pt>
                <c:pt idx="21">
                  <c:v>57.556999210000001</c:v>
                </c:pt>
                <c:pt idx="22">
                  <c:v>59.194000240000001</c:v>
                </c:pt>
                <c:pt idx="23">
                  <c:v>62.272998809999997</c:v>
                </c:pt>
                <c:pt idx="24">
                  <c:v>77.26499939</c:v>
                </c:pt>
                <c:pt idx="25">
                  <c:v>85.031997680000003</c:v>
                </c:pt>
                <c:pt idx="26">
                  <c:v>104.4229965</c:v>
                </c:pt>
                <c:pt idx="27">
                  <c:v>105.6969986</c:v>
                </c:pt>
                <c:pt idx="28">
                  <c:v>119.44599909999999</c:v>
                </c:pt>
                <c:pt idx="29">
                  <c:v>168.78300479999999</c:v>
                </c:pt>
                <c:pt idx="30">
                  <c:v>183.62899780000001</c:v>
                </c:pt>
                <c:pt idx="31">
                  <c:v>198.4100037</c:v>
                </c:pt>
                <c:pt idx="32">
                  <c:v>219.16099550000001</c:v>
                </c:pt>
                <c:pt idx="33">
                  <c:v>272.81298829999997</c:v>
                </c:pt>
                <c:pt idx="34">
                  <c:v>280.90399170000001</c:v>
                </c:pt>
                <c:pt idx="35">
                  <c:v>285.4909973</c:v>
                </c:pt>
                <c:pt idx="36">
                  <c:v>287.37100220000002</c:v>
                </c:pt>
                <c:pt idx="37">
                  <c:v>298.68200680000001</c:v>
                </c:pt>
                <c:pt idx="38">
                  <c:v>307.14999390000003</c:v>
                </c:pt>
                <c:pt idx="39">
                  <c:v>341.25</c:v>
                </c:pt>
                <c:pt idx="40">
                  <c:v>375.26501459999997</c:v>
                </c:pt>
                <c:pt idx="41">
                  <c:v>397.62100220000002</c:v>
                </c:pt>
                <c:pt idx="42">
                  <c:v>400.12701420000002</c:v>
                </c:pt>
                <c:pt idx="43">
                  <c:v>437.48300169999999</c:v>
                </c:pt>
                <c:pt idx="44">
                  <c:v>441.53900149999998</c:v>
                </c:pt>
                <c:pt idx="45">
                  <c:v>540.54199219999998</c:v>
                </c:pt>
                <c:pt idx="46">
                  <c:v>555.98797609999997</c:v>
                </c:pt>
                <c:pt idx="47">
                  <c:v>586.63397220000002</c:v>
                </c:pt>
                <c:pt idx="48">
                  <c:v>625.97601320000001</c:v>
                </c:pt>
                <c:pt idx="49">
                  <c:v>628.06201169999997</c:v>
                </c:pt>
                <c:pt idx="50">
                  <c:v>649.34198000000004</c:v>
                </c:pt>
                <c:pt idx="51">
                  <c:v>686.87799070000005</c:v>
                </c:pt>
                <c:pt idx="52">
                  <c:v>771.61199950000002</c:v>
                </c:pt>
                <c:pt idx="53">
                  <c:v>786.55902100000003</c:v>
                </c:pt>
                <c:pt idx="54">
                  <c:v>895.30798340000001</c:v>
                </c:pt>
                <c:pt idx="55">
                  <c:v>896.44396970000003</c:v>
                </c:pt>
                <c:pt idx="56">
                  <c:v>988.00201419999996</c:v>
                </c:pt>
                <c:pt idx="57">
                  <c:v>1160.1639399999999</c:v>
                </c:pt>
                <c:pt idx="58">
                  <c:v>1207.360962</c:v>
                </c:pt>
                <c:pt idx="59">
                  <c:v>1271.7669679999999</c:v>
                </c:pt>
                <c:pt idx="60">
                  <c:v>1318.4420170000001</c:v>
                </c:pt>
                <c:pt idx="61">
                  <c:v>1326.5389399999999</c:v>
                </c:pt>
                <c:pt idx="62">
                  <c:v>1399.490967</c:v>
                </c:pt>
                <c:pt idx="63">
                  <c:v>1701.5830080000001</c:v>
                </c:pt>
                <c:pt idx="64">
                  <c:v>1886.2020259999999</c:v>
                </c:pt>
                <c:pt idx="65">
                  <c:v>1967.998047</c:v>
                </c:pt>
                <c:pt idx="66">
                  <c:v>2078.931885</c:v>
                </c:pt>
                <c:pt idx="67">
                  <c:v>2083.3798830000001</c:v>
                </c:pt>
                <c:pt idx="68">
                  <c:v>2142.251953</c:v>
                </c:pt>
                <c:pt idx="69">
                  <c:v>2225.7280270000001</c:v>
                </c:pt>
                <c:pt idx="70">
                  <c:v>2351.625</c:v>
                </c:pt>
                <c:pt idx="71">
                  <c:v>2416.6640630000002</c:v>
                </c:pt>
                <c:pt idx="72">
                  <c:v>2540.9160160000001</c:v>
                </c:pt>
                <c:pt idx="73">
                  <c:v>2722.2910160000001</c:v>
                </c:pt>
                <c:pt idx="74">
                  <c:v>2860.8400879999999</c:v>
                </c:pt>
                <c:pt idx="75">
                  <c:v>2877.8000489999999</c:v>
                </c:pt>
                <c:pt idx="76">
                  <c:v>2881.0600589999999</c:v>
                </c:pt>
                <c:pt idx="77">
                  <c:v>2961.1608890000002</c:v>
                </c:pt>
                <c:pt idx="78">
                  <c:v>2963.2338869999999</c:v>
                </c:pt>
                <c:pt idx="79">
                  <c:v>3278.2919919999999</c:v>
                </c:pt>
                <c:pt idx="80">
                  <c:v>3280.8149410000001</c:v>
                </c:pt>
                <c:pt idx="81">
                  <c:v>3473.7270509999998</c:v>
                </c:pt>
                <c:pt idx="82">
                  <c:v>3989.1750489999999</c:v>
                </c:pt>
                <c:pt idx="83">
                  <c:v>4033.9628910000001</c:v>
                </c:pt>
                <c:pt idx="84">
                  <c:v>4105.2680659999996</c:v>
                </c:pt>
                <c:pt idx="85">
                  <c:v>4270.5629879999997</c:v>
                </c:pt>
                <c:pt idx="86">
                  <c:v>4314.7680659999996</c:v>
                </c:pt>
                <c:pt idx="87">
                  <c:v>4649.6601559999999</c:v>
                </c:pt>
                <c:pt idx="88">
                  <c:v>4822.2329099999997</c:v>
                </c:pt>
                <c:pt idx="89">
                  <c:v>4829.7641599999997</c:v>
                </c:pt>
                <c:pt idx="90">
                  <c:v>4937.7958980000003</c:v>
                </c:pt>
                <c:pt idx="91">
                  <c:v>5057.6767579999996</c:v>
                </c:pt>
                <c:pt idx="92">
                  <c:v>5094.1137699999999</c:v>
                </c:pt>
                <c:pt idx="93">
                  <c:v>5101.4160160000001</c:v>
                </c:pt>
                <c:pt idx="94">
                  <c:v>5106.6220700000003</c:v>
                </c:pt>
                <c:pt idx="95">
                  <c:v>5421.2421880000002</c:v>
                </c:pt>
                <c:pt idx="96">
                  <c:v>5459.6430659999996</c:v>
                </c:pt>
                <c:pt idx="97">
                  <c:v>5518.091797</c:v>
                </c:pt>
                <c:pt idx="98">
                  <c:v>5540.7177730000003</c:v>
                </c:pt>
                <c:pt idx="99">
                  <c:v>5792.203125</c:v>
                </c:pt>
                <c:pt idx="100">
                  <c:v>5850.3427730000003</c:v>
                </c:pt>
                <c:pt idx="101">
                  <c:v>6031.1870120000003</c:v>
                </c:pt>
                <c:pt idx="102">
                  <c:v>6486.201172</c:v>
                </c:pt>
                <c:pt idx="103">
                  <c:v>6524.1909180000002</c:v>
                </c:pt>
                <c:pt idx="104">
                  <c:v>6624.5541990000002</c:v>
                </c:pt>
                <c:pt idx="105">
                  <c:v>6825.4418949999999</c:v>
                </c:pt>
                <c:pt idx="106">
                  <c:v>6871.2871089999999</c:v>
                </c:pt>
                <c:pt idx="107">
                  <c:v>6948.4448240000002</c:v>
                </c:pt>
                <c:pt idx="108">
                  <c:v>7132.5297849999997</c:v>
                </c:pt>
                <c:pt idx="109">
                  <c:v>7275.5561520000001</c:v>
                </c:pt>
                <c:pt idx="110">
                  <c:v>7496.9877930000002</c:v>
                </c:pt>
                <c:pt idx="111">
                  <c:v>7976.9848629999997</c:v>
                </c:pt>
                <c:pt idx="112">
                  <c:v>8278.7373050000006</c:v>
                </c:pt>
                <c:pt idx="113">
                  <c:v>8654.6181639999995</c:v>
                </c:pt>
                <c:pt idx="114">
                  <c:v>8655.5410159999992</c:v>
                </c:pt>
                <c:pt idx="115">
                  <c:v>8737.3701170000004</c:v>
                </c:pt>
                <c:pt idx="116">
                  <c:v>8947.0273440000001</c:v>
                </c:pt>
                <c:pt idx="117">
                  <c:v>9006.4003909999992</c:v>
                </c:pt>
                <c:pt idx="118">
                  <c:v>9449.3212889999995</c:v>
                </c:pt>
                <c:pt idx="119">
                  <c:v>9537.6416019999997</c:v>
                </c:pt>
                <c:pt idx="120">
                  <c:v>9660.3496090000008</c:v>
                </c:pt>
                <c:pt idx="121">
                  <c:v>9890.4003909999992</c:v>
                </c:pt>
                <c:pt idx="122">
                  <c:v>9904.6083980000003</c:v>
                </c:pt>
                <c:pt idx="123">
                  <c:v>10099.26953</c:v>
                </c:pt>
                <c:pt idx="124">
                  <c:v>10139.174800000001</c:v>
                </c:pt>
                <c:pt idx="125">
                  <c:v>10196.70703</c:v>
                </c:pt>
                <c:pt idx="126">
                  <c:v>10203.139649999999</c:v>
                </c:pt>
                <c:pt idx="127">
                  <c:v>10423.05566</c:v>
                </c:pt>
                <c:pt idx="128">
                  <c:v>10708.98242</c:v>
                </c:pt>
                <c:pt idx="129">
                  <c:v>10847.9043</c:v>
                </c:pt>
                <c:pt idx="130">
                  <c:v>11193.728520000001</c:v>
                </c:pt>
                <c:pt idx="131">
                  <c:v>11326.61621</c:v>
                </c:pt>
                <c:pt idx="132">
                  <c:v>11402.5332</c:v>
                </c:pt>
                <c:pt idx="133">
                  <c:v>11589.61621</c:v>
                </c:pt>
                <c:pt idx="134">
                  <c:v>11673.0293</c:v>
                </c:pt>
                <c:pt idx="135">
                  <c:v>11818.61816</c:v>
                </c:pt>
                <c:pt idx="136">
                  <c:v>11890.78125</c:v>
                </c:pt>
                <c:pt idx="137">
                  <c:v>12123.19824</c:v>
                </c:pt>
                <c:pt idx="138">
                  <c:v>12952.208979999999</c:v>
                </c:pt>
                <c:pt idx="139">
                  <c:v>13132.79199</c:v>
                </c:pt>
                <c:pt idx="140">
                  <c:v>14862.92676</c:v>
                </c:pt>
                <c:pt idx="141">
                  <c:v>15893.21875</c:v>
                </c:pt>
                <c:pt idx="142">
                  <c:v>16425.859380000002</c:v>
                </c:pt>
                <c:pt idx="143">
                  <c:v>16718.970700000002</c:v>
                </c:pt>
                <c:pt idx="144">
                  <c:v>16743.929690000001</c:v>
                </c:pt>
                <c:pt idx="145">
                  <c:v>17134.873049999998</c:v>
                </c:pt>
                <c:pt idx="146">
                  <c:v>17500.65625</c:v>
                </c:pt>
                <c:pt idx="147">
                  <c:v>17643.060549999998</c:v>
                </c:pt>
                <c:pt idx="148">
                  <c:v>17915.566409999999</c:v>
                </c:pt>
                <c:pt idx="149">
                  <c:v>18383.95508</c:v>
                </c:pt>
                <c:pt idx="150">
                  <c:v>18776.707030000001</c:v>
                </c:pt>
                <c:pt idx="151">
                  <c:v>19116.208979999999</c:v>
                </c:pt>
                <c:pt idx="152">
                  <c:v>19129.95508</c:v>
                </c:pt>
                <c:pt idx="153">
                  <c:v>19237.681639999999</c:v>
                </c:pt>
                <c:pt idx="154">
                  <c:v>20250.833979999999</c:v>
                </c:pt>
                <c:pt idx="155">
                  <c:v>20903.277340000001</c:v>
                </c:pt>
                <c:pt idx="156">
                  <c:v>21413.25</c:v>
                </c:pt>
                <c:pt idx="157">
                  <c:v>24206.636719999999</c:v>
                </c:pt>
                <c:pt idx="158">
                  <c:v>25499.880860000001</c:v>
                </c:pt>
                <c:pt idx="159">
                  <c:v>25778.814450000002</c:v>
                </c:pt>
                <c:pt idx="160">
                  <c:v>26378.275389999999</c:v>
                </c:pt>
                <c:pt idx="161">
                  <c:v>26545.863280000001</c:v>
                </c:pt>
                <c:pt idx="162">
                  <c:v>27691.019530000001</c:v>
                </c:pt>
                <c:pt idx="163">
                  <c:v>28435.943360000001</c:v>
                </c:pt>
                <c:pt idx="164">
                  <c:v>29136.808590000001</c:v>
                </c:pt>
                <c:pt idx="165">
                  <c:v>29825.96875</c:v>
                </c:pt>
                <c:pt idx="166">
                  <c:v>31072.945309999999</c:v>
                </c:pt>
                <c:pt idx="167">
                  <c:v>31255.435549999998</c:v>
                </c:pt>
                <c:pt idx="168">
                  <c:v>32365.998049999998</c:v>
                </c:pt>
                <c:pt idx="169">
                  <c:v>32866.269529999998</c:v>
                </c:pt>
                <c:pt idx="170">
                  <c:v>32971.847659999999</c:v>
                </c:pt>
                <c:pt idx="171">
                  <c:v>33469.199220000002</c:v>
                </c:pt>
                <c:pt idx="172">
                  <c:v>34813.867189999997</c:v>
                </c:pt>
                <c:pt idx="173">
                  <c:v>36910.558590000001</c:v>
                </c:pt>
                <c:pt idx="174">
                  <c:v>37742.15625</c:v>
                </c:pt>
                <c:pt idx="175">
                  <c:v>37846.605470000002</c:v>
                </c:pt>
                <c:pt idx="176">
                  <c:v>38928.339840000001</c:v>
                </c:pt>
                <c:pt idx="177">
                  <c:v>40222.503909999999</c:v>
                </c:pt>
                <c:pt idx="178">
                  <c:v>43733.757810000003</c:v>
                </c:pt>
                <c:pt idx="179">
                  <c:v>43849.269529999998</c:v>
                </c:pt>
                <c:pt idx="180">
                  <c:v>43851.042970000002</c:v>
                </c:pt>
                <c:pt idx="181">
                  <c:v>45195.777340000001</c:v>
                </c:pt>
                <c:pt idx="182">
                  <c:v>45741</c:v>
                </c:pt>
                <c:pt idx="183">
                  <c:v>46754.78125</c:v>
                </c:pt>
                <c:pt idx="184">
                  <c:v>50882.882810000003</c:v>
                </c:pt>
                <c:pt idx="185">
                  <c:v>51269.183590000001</c:v>
                </c:pt>
                <c:pt idx="186">
                  <c:v>53771.300779999998</c:v>
                </c:pt>
                <c:pt idx="187">
                  <c:v>54409.792970000002</c:v>
                </c:pt>
                <c:pt idx="188">
                  <c:v>59308.691409999999</c:v>
                </c:pt>
                <c:pt idx="189">
                  <c:v>59734.214840000001</c:v>
                </c:pt>
                <c:pt idx="190">
                  <c:v>60461.828130000002</c:v>
                </c:pt>
                <c:pt idx="191">
                  <c:v>65273.511720000002</c:v>
                </c:pt>
                <c:pt idx="192">
                  <c:v>67886.007809999996</c:v>
                </c:pt>
                <c:pt idx="193">
                  <c:v>69799.976559999996</c:v>
                </c:pt>
                <c:pt idx="194">
                  <c:v>83783.945309999996</c:v>
                </c:pt>
                <c:pt idx="195">
                  <c:v>83992.953129999994</c:v>
                </c:pt>
                <c:pt idx="196">
                  <c:v>84339.070309999996</c:v>
                </c:pt>
                <c:pt idx="197">
                  <c:v>89561.40625</c:v>
                </c:pt>
                <c:pt idx="198">
                  <c:v>97338.585940000004</c:v>
                </c:pt>
                <c:pt idx="199">
                  <c:v>102334.4063</c:v>
                </c:pt>
                <c:pt idx="200">
                  <c:v>109581.08590000001</c:v>
                </c:pt>
                <c:pt idx="201">
                  <c:v>114963.58590000001</c:v>
                </c:pt>
                <c:pt idx="202">
                  <c:v>126476.46090000001</c:v>
                </c:pt>
                <c:pt idx="203">
                  <c:v>128932.75</c:v>
                </c:pt>
                <c:pt idx="204">
                  <c:v>145934.45310000001</c:v>
                </c:pt>
                <c:pt idx="205">
                  <c:v>164689.39060000001</c:v>
                </c:pt>
                <c:pt idx="206">
                  <c:v>206139.5938</c:v>
                </c:pt>
                <c:pt idx="207">
                  <c:v>212559.4063</c:v>
                </c:pt>
                <c:pt idx="208">
                  <c:v>220892.32810000001</c:v>
                </c:pt>
                <c:pt idx="209">
                  <c:v>273523.625</c:v>
                </c:pt>
                <c:pt idx="210">
                  <c:v>331002.65629999997</c:v>
                </c:pt>
                <c:pt idx="211">
                  <c:v>1380004.375</c:v>
                </c:pt>
                <c:pt idx="212">
                  <c:v>1463140.5</c:v>
                </c:pt>
                <c:pt idx="213">
                  <c:v>7786695.1077512307</c:v>
                </c:pt>
              </c:numCache>
            </c:numRef>
          </c:cat>
          <c:val>
            <c:numRef>
              <c:f>'Estimates on the use of water ('!$G$2:$G$1000</c:f>
              <c:numCache>
                <c:formatCode>General</c:formatCode>
                <c:ptCount val="999"/>
                <c:pt idx="0">
                  <c:v>0.29232334589999998</c:v>
                </c:pt>
                <c:pt idx="1">
                  <c:v>2.9891238219999998</c:v>
                </c:pt>
                <c:pt idx="2">
                  <c:v>4.6910725959999997</c:v>
                </c:pt>
                <c:pt idx="3">
                  <c:v>1.922517378</c:v>
                </c:pt>
                <c:pt idx="4">
                  <c:v>8.6</c:v>
                </c:pt>
                <c:pt idx="5">
                  <c:v>0.9</c:v>
                </c:pt>
                <c:pt idx="6">
                  <c:v>0</c:v>
                </c:pt>
                <c:pt idx="7">
                  <c:v>0</c:v>
                </c:pt>
                <c:pt idx="8">
                  <c:v>0.85671263900000005</c:v>
                </c:pt>
                <c:pt idx="9">
                  <c:v>0</c:v>
                </c:pt>
                <c:pt idx="10">
                  <c:v>2.8389782700000001E-2</c:v>
                </c:pt>
                <c:pt idx="11">
                  <c:v>0.34245449839999997</c:v>
                </c:pt>
                <c:pt idx="12">
                  <c:v>0.13561643840000001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7.2861055070000001E-4</c:v>
                </c:pt>
                <c:pt idx="17">
                  <c:v>0</c:v>
                </c:pt>
                <c:pt idx="18">
                  <c:v>0</c:v>
                </c:pt>
                <c:pt idx="19">
                  <c:v>0.22622834150000001</c:v>
                </c:pt>
                <c:pt idx="20">
                  <c:v>0</c:v>
                </c:pt>
                <c:pt idx="21">
                  <c:v>0</c:v>
                </c:pt>
                <c:pt idx="22">
                  <c:v>3.9974025849999997E-2</c:v>
                </c:pt>
                <c:pt idx="23">
                  <c:v>9.6859982940000006E-2</c:v>
                </c:pt>
                <c:pt idx="24">
                  <c:v>0</c:v>
                </c:pt>
                <c:pt idx="25">
                  <c:v>0.92500000000000004</c:v>
                </c:pt>
                <c:pt idx="26">
                  <c:v>1.281732624</c:v>
                </c:pt>
                <c:pt idx="27">
                  <c:v>0.38742187769999997</c:v>
                </c:pt>
                <c:pt idx="28">
                  <c:v>17.952179529999999</c:v>
                </c:pt>
                <c:pt idx="29">
                  <c:v>0.30480000000000002</c:v>
                </c:pt>
                <c:pt idx="30">
                  <c:v>1.296503269</c:v>
                </c:pt>
                <c:pt idx="31">
                  <c:v>1.4186234280000001</c:v>
                </c:pt>
                <c:pt idx="32">
                  <c:v>0.44351992839999999</c:v>
                </c:pt>
                <c:pt idx="33">
                  <c:v>3.6288202950000001</c:v>
                </c:pt>
                <c:pt idx="34">
                  <c:v>0</c:v>
                </c:pt>
                <c:pt idx="35">
                  <c:v>0.69467942780000003</c:v>
                </c:pt>
                <c:pt idx="36">
                  <c:v>1.2179490049999999</c:v>
                </c:pt>
                <c:pt idx="37">
                  <c:v>6.2177836519999996</c:v>
                </c:pt>
                <c:pt idx="38">
                  <c:v>0</c:v>
                </c:pt>
                <c:pt idx="39">
                  <c:v>2.7946500150000002E-6</c:v>
                </c:pt>
                <c:pt idx="40">
                  <c:v>0.15802921580000001</c:v>
                </c:pt>
                <c:pt idx="41">
                  <c:v>0.3489347411</c:v>
                </c:pt>
                <c:pt idx="42">
                  <c:v>0.19687396130000001</c:v>
                </c:pt>
                <c:pt idx="43">
                  <c:v>9.9963200360000004E-2</c:v>
                </c:pt>
                <c:pt idx="44">
                  <c:v>0</c:v>
                </c:pt>
                <c:pt idx="45">
                  <c:v>0.40751070499999997</c:v>
                </c:pt>
                <c:pt idx="46">
                  <c:v>3.2091477159999999</c:v>
                </c:pt>
                <c:pt idx="47">
                  <c:v>0.37933650730000001</c:v>
                </c:pt>
                <c:pt idx="48">
                  <c:v>0.1200674649</c:v>
                </c:pt>
                <c:pt idx="49">
                  <c:v>0.59231201099999997</c:v>
                </c:pt>
                <c:pt idx="50">
                  <c:v>0</c:v>
                </c:pt>
                <c:pt idx="51">
                  <c:v>21.267843129999999</c:v>
                </c:pt>
                <c:pt idx="52">
                  <c:v>0.17642421829999999</c:v>
                </c:pt>
                <c:pt idx="53">
                  <c:v>1.143069849</c:v>
                </c:pt>
                <c:pt idx="54">
                  <c:v>0</c:v>
                </c:pt>
                <c:pt idx="55">
                  <c:v>3.3186027660000001</c:v>
                </c:pt>
                <c:pt idx="56">
                  <c:v>7.0158760510000002</c:v>
                </c:pt>
                <c:pt idx="57">
                  <c:v>9.8355679309999999</c:v>
                </c:pt>
                <c:pt idx="58">
                  <c:v>0.2348268167</c:v>
                </c:pt>
                <c:pt idx="59">
                  <c:v>0.13374530139999999</c:v>
                </c:pt>
                <c:pt idx="60">
                  <c:v>8.3600293969999999</c:v>
                </c:pt>
                <c:pt idx="61">
                  <c:v>0.40921822320000001</c:v>
                </c:pt>
                <c:pt idx="62">
                  <c:v>0</c:v>
                </c:pt>
                <c:pt idx="63">
                  <c:v>0</c:v>
                </c:pt>
                <c:pt idx="64">
                  <c:v>0.53509810369999999</c:v>
                </c:pt>
                <c:pt idx="65">
                  <c:v>26.6263769</c:v>
                </c:pt>
                <c:pt idx="66">
                  <c:v>0.5</c:v>
                </c:pt>
                <c:pt idx="67">
                  <c:v>0.57422847619999995</c:v>
                </c:pt>
                <c:pt idx="68">
                  <c:v>12.21725464</c:v>
                </c:pt>
                <c:pt idx="69">
                  <c:v>6.9228083570000001</c:v>
                </c:pt>
                <c:pt idx="70">
                  <c:v>1.7325264760000001</c:v>
                </c:pt>
                <c:pt idx="71">
                  <c:v>10.352852070000001</c:v>
                </c:pt>
                <c:pt idx="72">
                  <c:v>3.740143722</c:v>
                </c:pt>
                <c:pt idx="73">
                  <c:v>1.9866527599999999</c:v>
                </c:pt>
                <c:pt idx="74">
                  <c:v>0</c:v>
                </c:pt>
                <c:pt idx="75">
                  <c:v>3.0473050810000002</c:v>
                </c:pt>
                <c:pt idx="76">
                  <c:v>0.4318980637</c:v>
                </c:pt>
                <c:pt idx="77">
                  <c:v>1.8640102030000001</c:v>
                </c:pt>
                <c:pt idx="78">
                  <c:v>2.8819308009999999E-2</c:v>
                </c:pt>
                <c:pt idx="79">
                  <c:v>6.6333667140000001</c:v>
                </c:pt>
                <c:pt idx="80">
                  <c:v>6.2438437520000001E-2</c:v>
                </c:pt>
                <c:pt idx="81">
                  <c:v>0</c:v>
                </c:pt>
                <c:pt idx="82">
                  <c:v>2.6327613790000002</c:v>
                </c:pt>
                <c:pt idx="83">
                  <c:v>7.910260997</c:v>
                </c:pt>
                <c:pt idx="84">
                  <c:v>0</c:v>
                </c:pt>
                <c:pt idx="85">
                  <c:v>0</c:v>
                </c:pt>
                <c:pt idx="86">
                  <c:v>2.2623042469999999</c:v>
                </c:pt>
                <c:pt idx="87">
                  <c:v>14.820326809999999</c:v>
                </c:pt>
                <c:pt idx="88">
                  <c:v>0</c:v>
                </c:pt>
                <c:pt idx="89">
                  <c:v>33.53911377</c:v>
                </c:pt>
                <c:pt idx="90">
                  <c:v>2.6002934849999999</c:v>
                </c:pt>
                <c:pt idx="91">
                  <c:v>3.488080869</c:v>
                </c:pt>
                <c:pt idx="92">
                  <c:v>3.5944518969999999E-6</c:v>
                </c:pt>
                <c:pt idx="93">
                  <c:v>1.089623295</c:v>
                </c:pt>
                <c:pt idx="94">
                  <c:v>0.26040520360000002</c:v>
                </c:pt>
                <c:pt idx="95">
                  <c:v>4.5034074529999998E-6</c:v>
                </c:pt>
                <c:pt idx="96">
                  <c:v>0</c:v>
                </c:pt>
                <c:pt idx="97">
                  <c:v>9.5591807220000007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0.31517399689999998</c:v>
                </c:pt>
                <c:pt idx="103">
                  <c:v>1.8656486999999999</c:v>
                </c:pt>
                <c:pt idx="104">
                  <c:v>13.530531140000001</c:v>
                </c:pt>
                <c:pt idx="105">
                  <c:v>0</c:v>
                </c:pt>
                <c:pt idx="106">
                  <c:v>0.1084762012</c:v>
                </c:pt>
                <c:pt idx="107">
                  <c:v>0.98858306070000002</c:v>
                </c:pt>
                <c:pt idx="108">
                  <c:v>3.4229177000000001E-6</c:v>
                </c:pt>
                <c:pt idx="109">
                  <c:v>10.62886799</c:v>
                </c:pt>
                <c:pt idx="110">
                  <c:v>0</c:v>
                </c:pt>
                <c:pt idx="111">
                  <c:v>15.5639457</c:v>
                </c:pt>
                <c:pt idx="112">
                  <c:v>14.16432245</c:v>
                </c:pt>
                <c:pt idx="113">
                  <c:v>0</c:v>
                </c:pt>
                <c:pt idx="114">
                  <c:v>0</c:v>
                </c:pt>
                <c:pt idx="115">
                  <c:v>0.44372047780000001</c:v>
                </c:pt>
                <c:pt idx="116">
                  <c:v>22.157624949999999</c:v>
                </c:pt>
                <c:pt idx="117">
                  <c:v>0</c:v>
                </c:pt>
                <c:pt idx="118">
                  <c:v>9.3154368370000004E-2</c:v>
                </c:pt>
                <c:pt idx="119">
                  <c:v>3.4218570050000001</c:v>
                </c:pt>
                <c:pt idx="120">
                  <c:v>2.5272441919999999E-6</c:v>
                </c:pt>
                <c:pt idx="121">
                  <c:v>3.4403999999999997E-2</c:v>
                </c:pt>
                <c:pt idx="122">
                  <c:v>3.8851582640000002</c:v>
                </c:pt>
                <c:pt idx="123">
                  <c:v>0.17313237349999999</c:v>
                </c:pt>
                <c:pt idx="124">
                  <c:v>2.9138426879999999</c:v>
                </c:pt>
                <c:pt idx="125">
                  <c:v>8.8006333689999994E-2</c:v>
                </c:pt>
                <c:pt idx="126">
                  <c:v>0.8536474704</c:v>
                </c:pt>
                <c:pt idx="127">
                  <c:v>0</c:v>
                </c:pt>
                <c:pt idx="128">
                  <c:v>0.11940833250000001</c:v>
                </c:pt>
                <c:pt idx="129">
                  <c:v>1.2694287829999999</c:v>
                </c:pt>
                <c:pt idx="130">
                  <c:v>13.537555190000001</c:v>
                </c:pt>
                <c:pt idx="131">
                  <c:v>1.252811506</c:v>
                </c:pt>
                <c:pt idx="132">
                  <c:v>23.490147950000001</c:v>
                </c:pt>
                <c:pt idx="133">
                  <c:v>3.5547967910000002E-6</c:v>
                </c:pt>
                <c:pt idx="134">
                  <c:v>1.575010843</c:v>
                </c:pt>
                <c:pt idx="135">
                  <c:v>0.82534033780000005</c:v>
                </c:pt>
                <c:pt idx="136">
                  <c:v>14.758259689999999</c:v>
                </c:pt>
                <c:pt idx="137">
                  <c:v>21.97254088</c:v>
                </c:pt>
                <c:pt idx="138">
                  <c:v>13.15480415</c:v>
                </c:pt>
                <c:pt idx="139">
                  <c:v>6.2961194059999999</c:v>
                </c:pt>
                <c:pt idx="140">
                  <c:v>16.277855450000001</c:v>
                </c:pt>
                <c:pt idx="141">
                  <c:v>13.41704303</c:v>
                </c:pt>
                <c:pt idx="142">
                  <c:v>31.562457139999999</c:v>
                </c:pt>
                <c:pt idx="143">
                  <c:v>5.6772185579999999</c:v>
                </c:pt>
                <c:pt idx="144">
                  <c:v>12.60781566</c:v>
                </c:pt>
                <c:pt idx="145">
                  <c:v>7.1240862099999999E-7</c:v>
                </c:pt>
                <c:pt idx="146">
                  <c:v>0.20041205419999999</c:v>
                </c:pt>
                <c:pt idx="147">
                  <c:v>2.6044853890000002</c:v>
                </c:pt>
                <c:pt idx="148">
                  <c:v>3.2159118150000001</c:v>
                </c:pt>
                <c:pt idx="149">
                  <c:v>21.576840709999999</c:v>
                </c:pt>
                <c:pt idx="150">
                  <c:v>2.5459569339999999</c:v>
                </c:pt>
                <c:pt idx="151">
                  <c:v>1.2771393330000001E-6</c:v>
                </c:pt>
                <c:pt idx="152">
                  <c:v>5.7763044069999996</c:v>
                </c:pt>
                <c:pt idx="153">
                  <c:v>0</c:v>
                </c:pt>
                <c:pt idx="154">
                  <c:v>12.246971350000001</c:v>
                </c:pt>
                <c:pt idx="155">
                  <c:v>21.15863263</c:v>
                </c:pt>
                <c:pt idx="156">
                  <c:v>5.3489270639999997</c:v>
                </c:pt>
                <c:pt idx="157">
                  <c:v>27.027512439999999</c:v>
                </c:pt>
                <c:pt idx="158">
                  <c:v>3.0188178730000001E-2</c:v>
                </c:pt>
                <c:pt idx="159">
                  <c:v>5.2096927800000001</c:v>
                </c:pt>
                <c:pt idx="160">
                  <c:v>14.192441609999999</c:v>
                </c:pt>
                <c:pt idx="161">
                  <c:v>15.00100626</c:v>
                </c:pt>
                <c:pt idx="162">
                  <c:v>32.311459669999998</c:v>
                </c:pt>
                <c:pt idx="163">
                  <c:v>5.8434163730000002</c:v>
                </c:pt>
                <c:pt idx="164">
                  <c:v>4.699081176</c:v>
                </c:pt>
                <c:pt idx="165">
                  <c:v>7.77785276</c:v>
                </c:pt>
                <c:pt idx="166">
                  <c:v>2.8122161760000002</c:v>
                </c:pt>
                <c:pt idx="167">
                  <c:v>16.726145110000001</c:v>
                </c:pt>
                <c:pt idx="168">
                  <c:v>2.5455532409999999</c:v>
                </c:pt>
                <c:pt idx="169">
                  <c:v>19.450825340000002</c:v>
                </c:pt>
                <c:pt idx="170">
                  <c:v>4.1504683489999996</c:v>
                </c:pt>
                <c:pt idx="171">
                  <c:v>0.22384422000000001</c:v>
                </c:pt>
                <c:pt idx="172">
                  <c:v>0</c:v>
                </c:pt>
                <c:pt idx="173">
                  <c:v>2.8776725000000001</c:v>
                </c:pt>
                <c:pt idx="174">
                  <c:v>0.77818933690000003</c:v>
                </c:pt>
                <c:pt idx="175">
                  <c:v>3.3408445289999998E-2</c:v>
                </c:pt>
                <c:pt idx="176">
                  <c:v>14.56026288</c:v>
                </c:pt>
                <c:pt idx="177">
                  <c:v>2.427900808E-6</c:v>
                </c:pt>
                <c:pt idx="178">
                  <c:v>7.5904501289999995E-2</c:v>
                </c:pt>
                <c:pt idx="179">
                  <c:v>3.6502178750000001</c:v>
                </c:pt>
                <c:pt idx="180">
                  <c:v>0.53183666380000005</c:v>
                </c:pt>
                <c:pt idx="181">
                  <c:v>0</c:v>
                </c:pt>
                <c:pt idx="182">
                  <c:v>12.16590654</c:v>
                </c:pt>
                <c:pt idx="183">
                  <c:v>7.4387391420000004E-2</c:v>
                </c:pt>
                <c:pt idx="184">
                  <c:v>0.95361622280000002</c:v>
                </c:pt>
                <c:pt idx="185">
                  <c:v>6.8603352960000002E-2</c:v>
                </c:pt>
                <c:pt idx="186">
                  <c:v>9.7800875240000007</c:v>
                </c:pt>
                <c:pt idx="187">
                  <c:v>5.1094247800000003</c:v>
                </c:pt>
                <c:pt idx="188">
                  <c:v>1.410816657</c:v>
                </c:pt>
                <c:pt idx="189">
                  <c:v>14.51775136</c:v>
                </c:pt>
                <c:pt idx="190">
                  <c:v>8.2965925910000002E-2</c:v>
                </c:pt>
                <c:pt idx="191">
                  <c:v>1.49610841E-6</c:v>
                </c:pt>
                <c:pt idx="192">
                  <c:v>1.4385328199999999E-6</c:v>
                </c:pt>
                <c:pt idx="193">
                  <c:v>0</c:v>
                </c:pt>
                <c:pt idx="194">
                  <c:v>0</c:v>
                </c:pt>
                <c:pt idx="195">
                  <c:v>0.51379736310000002</c:v>
                </c:pt>
                <c:pt idx="196">
                  <c:v>0.73767495449999998</c:v>
                </c:pt>
                <c:pt idx="197">
                  <c:v>32.542316069999998</c:v>
                </c:pt>
                <c:pt idx="198">
                  <c:v>3.1156431260000002</c:v>
                </c:pt>
                <c:pt idx="199">
                  <c:v>0.3222149265</c:v>
                </c:pt>
                <c:pt idx="200">
                  <c:v>3.0344793069999998</c:v>
                </c:pt>
                <c:pt idx="201">
                  <c:v>18.635060129999999</c:v>
                </c:pt>
                <c:pt idx="202">
                  <c:v>0.92108754670000004</c:v>
                </c:pt>
                <c:pt idx="203">
                  <c:v>0.3204317169</c:v>
                </c:pt>
                <c:pt idx="204">
                  <c:v>2.3854555500000001</c:v>
                </c:pt>
                <c:pt idx="205">
                  <c:v>0.46265570020000002</c:v>
                </c:pt>
                <c:pt idx="206">
                  <c:v>11.79691148</c:v>
                </c:pt>
                <c:pt idx="207">
                  <c:v>0.55259800989999996</c:v>
                </c:pt>
                <c:pt idx="208">
                  <c:v>4.4133075740000001</c:v>
                </c:pt>
                <c:pt idx="209">
                  <c:v>5.553871666</c:v>
                </c:pt>
                <c:pt idx="210">
                  <c:v>0.1164733182</c:v>
                </c:pt>
                <c:pt idx="211">
                  <c:v>3.9631539450000002</c:v>
                </c:pt>
                <c:pt idx="212">
                  <c:v>4.725451938</c:v>
                </c:pt>
                <c:pt idx="213">
                  <c:v>4.4180106537201356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B2-4EF9-96AC-A1EA7F8AD11C}"/>
            </c:ext>
          </c:extLst>
        </c:ser>
        <c:ser>
          <c:idx val="3"/>
          <c:order val="3"/>
          <c:tx>
            <c:v>Surface water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numRef>
              <c:f>'Estimates on the use of water ('!$C$2:$C$1000</c:f>
              <c:numCache>
                <c:formatCode>General</c:formatCode>
                <c:ptCount val="999"/>
                <c:pt idx="0">
                  <c:v>1.3500000240000001</c:v>
                </c:pt>
                <c:pt idx="1">
                  <c:v>1.618000031</c:v>
                </c:pt>
                <c:pt idx="2">
                  <c:v>3.4830000399999999</c:v>
                </c:pt>
                <c:pt idx="3">
                  <c:v>4.9990000720000003</c:v>
                </c:pt>
                <c:pt idx="4">
                  <c:v>5.795000076</c:v>
                </c:pt>
                <c:pt idx="5">
                  <c:v>6.0710000989999999</c:v>
                </c:pt>
                <c:pt idx="6">
                  <c:v>9.8849999999999998</c:v>
                </c:pt>
                <c:pt idx="7">
                  <c:v>10.833999629999999</c:v>
                </c:pt>
                <c:pt idx="8">
                  <c:v>11.24600029</c:v>
                </c:pt>
                <c:pt idx="9">
                  <c:v>11.791999819999999</c:v>
                </c:pt>
                <c:pt idx="10">
                  <c:v>17.56399918</c:v>
                </c:pt>
                <c:pt idx="11">
                  <c:v>18.091999049999998</c:v>
                </c:pt>
                <c:pt idx="12">
                  <c:v>30.23699951</c:v>
                </c:pt>
                <c:pt idx="13">
                  <c:v>33.691001890000003</c:v>
                </c:pt>
                <c:pt idx="14">
                  <c:v>33.937999730000001</c:v>
                </c:pt>
                <c:pt idx="15">
                  <c:v>38.137001040000001</c:v>
                </c:pt>
                <c:pt idx="16">
                  <c:v>38.658999999999999</c:v>
                </c:pt>
                <c:pt idx="17">
                  <c:v>39.243999479999999</c:v>
                </c:pt>
                <c:pt idx="18">
                  <c:v>48.865001679999999</c:v>
                </c:pt>
                <c:pt idx="19">
                  <c:v>55.196998600000001</c:v>
                </c:pt>
                <c:pt idx="20">
                  <c:v>56.771999360000002</c:v>
                </c:pt>
                <c:pt idx="21">
                  <c:v>57.556999210000001</c:v>
                </c:pt>
                <c:pt idx="22">
                  <c:v>59.194000240000001</c:v>
                </c:pt>
                <c:pt idx="23">
                  <c:v>62.272998809999997</c:v>
                </c:pt>
                <c:pt idx="24">
                  <c:v>77.26499939</c:v>
                </c:pt>
                <c:pt idx="25">
                  <c:v>85.031997680000003</c:v>
                </c:pt>
                <c:pt idx="26">
                  <c:v>104.4229965</c:v>
                </c:pt>
                <c:pt idx="27">
                  <c:v>105.6969986</c:v>
                </c:pt>
                <c:pt idx="28">
                  <c:v>119.44599909999999</c:v>
                </c:pt>
                <c:pt idx="29">
                  <c:v>168.78300479999999</c:v>
                </c:pt>
                <c:pt idx="30">
                  <c:v>183.62899780000001</c:v>
                </c:pt>
                <c:pt idx="31">
                  <c:v>198.4100037</c:v>
                </c:pt>
                <c:pt idx="32">
                  <c:v>219.16099550000001</c:v>
                </c:pt>
                <c:pt idx="33">
                  <c:v>272.81298829999997</c:v>
                </c:pt>
                <c:pt idx="34">
                  <c:v>280.90399170000001</c:v>
                </c:pt>
                <c:pt idx="35">
                  <c:v>285.4909973</c:v>
                </c:pt>
                <c:pt idx="36">
                  <c:v>287.37100220000002</c:v>
                </c:pt>
                <c:pt idx="37">
                  <c:v>298.68200680000001</c:v>
                </c:pt>
                <c:pt idx="38">
                  <c:v>307.14999390000003</c:v>
                </c:pt>
                <c:pt idx="39">
                  <c:v>341.25</c:v>
                </c:pt>
                <c:pt idx="40">
                  <c:v>375.26501459999997</c:v>
                </c:pt>
                <c:pt idx="41">
                  <c:v>397.62100220000002</c:v>
                </c:pt>
                <c:pt idx="42">
                  <c:v>400.12701420000002</c:v>
                </c:pt>
                <c:pt idx="43">
                  <c:v>437.48300169999999</c:v>
                </c:pt>
                <c:pt idx="44">
                  <c:v>441.53900149999998</c:v>
                </c:pt>
                <c:pt idx="45">
                  <c:v>540.54199219999998</c:v>
                </c:pt>
                <c:pt idx="46">
                  <c:v>555.98797609999997</c:v>
                </c:pt>
                <c:pt idx="47">
                  <c:v>586.63397220000002</c:v>
                </c:pt>
                <c:pt idx="48">
                  <c:v>625.97601320000001</c:v>
                </c:pt>
                <c:pt idx="49">
                  <c:v>628.06201169999997</c:v>
                </c:pt>
                <c:pt idx="50">
                  <c:v>649.34198000000004</c:v>
                </c:pt>
                <c:pt idx="51">
                  <c:v>686.87799070000005</c:v>
                </c:pt>
                <c:pt idx="52">
                  <c:v>771.61199950000002</c:v>
                </c:pt>
                <c:pt idx="53">
                  <c:v>786.55902100000003</c:v>
                </c:pt>
                <c:pt idx="54">
                  <c:v>895.30798340000001</c:v>
                </c:pt>
                <c:pt idx="55">
                  <c:v>896.44396970000003</c:v>
                </c:pt>
                <c:pt idx="56">
                  <c:v>988.00201419999996</c:v>
                </c:pt>
                <c:pt idx="57">
                  <c:v>1160.1639399999999</c:v>
                </c:pt>
                <c:pt idx="58">
                  <c:v>1207.360962</c:v>
                </c:pt>
                <c:pt idx="59">
                  <c:v>1271.7669679999999</c:v>
                </c:pt>
                <c:pt idx="60">
                  <c:v>1318.4420170000001</c:v>
                </c:pt>
                <c:pt idx="61">
                  <c:v>1326.5389399999999</c:v>
                </c:pt>
                <c:pt idx="62">
                  <c:v>1399.490967</c:v>
                </c:pt>
                <c:pt idx="63">
                  <c:v>1701.5830080000001</c:v>
                </c:pt>
                <c:pt idx="64">
                  <c:v>1886.2020259999999</c:v>
                </c:pt>
                <c:pt idx="65">
                  <c:v>1967.998047</c:v>
                </c:pt>
                <c:pt idx="66">
                  <c:v>2078.931885</c:v>
                </c:pt>
                <c:pt idx="67">
                  <c:v>2083.3798830000001</c:v>
                </c:pt>
                <c:pt idx="68">
                  <c:v>2142.251953</c:v>
                </c:pt>
                <c:pt idx="69">
                  <c:v>2225.7280270000001</c:v>
                </c:pt>
                <c:pt idx="70">
                  <c:v>2351.625</c:v>
                </c:pt>
                <c:pt idx="71">
                  <c:v>2416.6640630000002</c:v>
                </c:pt>
                <c:pt idx="72">
                  <c:v>2540.9160160000001</c:v>
                </c:pt>
                <c:pt idx="73">
                  <c:v>2722.2910160000001</c:v>
                </c:pt>
                <c:pt idx="74">
                  <c:v>2860.8400879999999</c:v>
                </c:pt>
                <c:pt idx="75">
                  <c:v>2877.8000489999999</c:v>
                </c:pt>
                <c:pt idx="76">
                  <c:v>2881.0600589999999</c:v>
                </c:pt>
                <c:pt idx="77">
                  <c:v>2961.1608890000002</c:v>
                </c:pt>
                <c:pt idx="78">
                  <c:v>2963.2338869999999</c:v>
                </c:pt>
                <c:pt idx="79">
                  <c:v>3278.2919919999999</c:v>
                </c:pt>
                <c:pt idx="80">
                  <c:v>3280.8149410000001</c:v>
                </c:pt>
                <c:pt idx="81">
                  <c:v>3473.7270509999998</c:v>
                </c:pt>
                <c:pt idx="82">
                  <c:v>3989.1750489999999</c:v>
                </c:pt>
                <c:pt idx="83">
                  <c:v>4033.9628910000001</c:v>
                </c:pt>
                <c:pt idx="84">
                  <c:v>4105.2680659999996</c:v>
                </c:pt>
                <c:pt idx="85">
                  <c:v>4270.5629879999997</c:v>
                </c:pt>
                <c:pt idx="86">
                  <c:v>4314.7680659999996</c:v>
                </c:pt>
                <c:pt idx="87">
                  <c:v>4649.6601559999999</c:v>
                </c:pt>
                <c:pt idx="88">
                  <c:v>4822.2329099999997</c:v>
                </c:pt>
                <c:pt idx="89">
                  <c:v>4829.7641599999997</c:v>
                </c:pt>
                <c:pt idx="90">
                  <c:v>4937.7958980000003</c:v>
                </c:pt>
                <c:pt idx="91">
                  <c:v>5057.6767579999996</c:v>
                </c:pt>
                <c:pt idx="92">
                  <c:v>5094.1137699999999</c:v>
                </c:pt>
                <c:pt idx="93">
                  <c:v>5101.4160160000001</c:v>
                </c:pt>
                <c:pt idx="94">
                  <c:v>5106.6220700000003</c:v>
                </c:pt>
                <c:pt idx="95">
                  <c:v>5421.2421880000002</c:v>
                </c:pt>
                <c:pt idx="96">
                  <c:v>5459.6430659999996</c:v>
                </c:pt>
                <c:pt idx="97">
                  <c:v>5518.091797</c:v>
                </c:pt>
                <c:pt idx="98">
                  <c:v>5540.7177730000003</c:v>
                </c:pt>
                <c:pt idx="99">
                  <c:v>5792.203125</c:v>
                </c:pt>
                <c:pt idx="100">
                  <c:v>5850.3427730000003</c:v>
                </c:pt>
                <c:pt idx="101">
                  <c:v>6031.1870120000003</c:v>
                </c:pt>
                <c:pt idx="102">
                  <c:v>6486.201172</c:v>
                </c:pt>
                <c:pt idx="103">
                  <c:v>6524.1909180000002</c:v>
                </c:pt>
                <c:pt idx="104">
                  <c:v>6624.5541990000002</c:v>
                </c:pt>
                <c:pt idx="105">
                  <c:v>6825.4418949999999</c:v>
                </c:pt>
                <c:pt idx="106">
                  <c:v>6871.2871089999999</c:v>
                </c:pt>
                <c:pt idx="107">
                  <c:v>6948.4448240000002</c:v>
                </c:pt>
                <c:pt idx="108">
                  <c:v>7132.5297849999997</c:v>
                </c:pt>
                <c:pt idx="109">
                  <c:v>7275.5561520000001</c:v>
                </c:pt>
                <c:pt idx="110">
                  <c:v>7496.9877930000002</c:v>
                </c:pt>
                <c:pt idx="111">
                  <c:v>7976.9848629999997</c:v>
                </c:pt>
                <c:pt idx="112">
                  <c:v>8278.7373050000006</c:v>
                </c:pt>
                <c:pt idx="113">
                  <c:v>8654.6181639999995</c:v>
                </c:pt>
                <c:pt idx="114">
                  <c:v>8655.5410159999992</c:v>
                </c:pt>
                <c:pt idx="115">
                  <c:v>8737.3701170000004</c:v>
                </c:pt>
                <c:pt idx="116">
                  <c:v>8947.0273440000001</c:v>
                </c:pt>
                <c:pt idx="117">
                  <c:v>9006.4003909999992</c:v>
                </c:pt>
                <c:pt idx="118">
                  <c:v>9449.3212889999995</c:v>
                </c:pt>
                <c:pt idx="119">
                  <c:v>9537.6416019999997</c:v>
                </c:pt>
                <c:pt idx="120">
                  <c:v>9660.3496090000008</c:v>
                </c:pt>
                <c:pt idx="121">
                  <c:v>9890.4003909999992</c:v>
                </c:pt>
                <c:pt idx="122">
                  <c:v>9904.6083980000003</c:v>
                </c:pt>
                <c:pt idx="123">
                  <c:v>10099.26953</c:v>
                </c:pt>
                <c:pt idx="124">
                  <c:v>10139.174800000001</c:v>
                </c:pt>
                <c:pt idx="125">
                  <c:v>10196.70703</c:v>
                </c:pt>
                <c:pt idx="126">
                  <c:v>10203.139649999999</c:v>
                </c:pt>
                <c:pt idx="127">
                  <c:v>10423.05566</c:v>
                </c:pt>
                <c:pt idx="128">
                  <c:v>10708.98242</c:v>
                </c:pt>
                <c:pt idx="129">
                  <c:v>10847.9043</c:v>
                </c:pt>
                <c:pt idx="130">
                  <c:v>11193.728520000001</c:v>
                </c:pt>
                <c:pt idx="131">
                  <c:v>11326.61621</c:v>
                </c:pt>
                <c:pt idx="132">
                  <c:v>11402.5332</c:v>
                </c:pt>
                <c:pt idx="133">
                  <c:v>11589.61621</c:v>
                </c:pt>
                <c:pt idx="134">
                  <c:v>11673.0293</c:v>
                </c:pt>
                <c:pt idx="135">
                  <c:v>11818.61816</c:v>
                </c:pt>
                <c:pt idx="136">
                  <c:v>11890.78125</c:v>
                </c:pt>
                <c:pt idx="137">
                  <c:v>12123.19824</c:v>
                </c:pt>
                <c:pt idx="138">
                  <c:v>12952.208979999999</c:v>
                </c:pt>
                <c:pt idx="139">
                  <c:v>13132.79199</c:v>
                </c:pt>
                <c:pt idx="140">
                  <c:v>14862.92676</c:v>
                </c:pt>
                <c:pt idx="141">
                  <c:v>15893.21875</c:v>
                </c:pt>
                <c:pt idx="142">
                  <c:v>16425.859380000002</c:v>
                </c:pt>
                <c:pt idx="143">
                  <c:v>16718.970700000002</c:v>
                </c:pt>
                <c:pt idx="144">
                  <c:v>16743.929690000001</c:v>
                </c:pt>
                <c:pt idx="145">
                  <c:v>17134.873049999998</c:v>
                </c:pt>
                <c:pt idx="146">
                  <c:v>17500.65625</c:v>
                </c:pt>
                <c:pt idx="147">
                  <c:v>17643.060549999998</c:v>
                </c:pt>
                <c:pt idx="148">
                  <c:v>17915.566409999999</c:v>
                </c:pt>
                <c:pt idx="149">
                  <c:v>18383.95508</c:v>
                </c:pt>
                <c:pt idx="150">
                  <c:v>18776.707030000001</c:v>
                </c:pt>
                <c:pt idx="151">
                  <c:v>19116.208979999999</c:v>
                </c:pt>
                <c:pt idx="152">
                  <c:v>19129.95508</c:v>
                </c:pt>
                <c:pt idx="153">
                  <c:v>19237.681639999999</c:v>
                </c:pt>
                <c:pt idx="154">
                  <c:v>20250.833979999999</c:v>
                </c:pt>
                <c:pt idx="155">
                  <c:v>20903.277340000001</c:v>
                </c:pt>
                <c:pt idx="156">
                  <c:v>21413.25</c:v>
                </c:pt>
                <c:pt idx="157">
                  <c:v>24206.636719999999</c:v>
                </c:pt>
                <c:pt idx="158">
                  <c:v>25499.880860000001</c:v>
                </c:pt>
                <c:pt idx="159">
                  <c:v>25778.814450000002</c:v>
                </c:pt>
                <c:pt idx="160">
                  <c:v>26378.275389999999</c:v>
                </c:pt>
                <c:pt idx="161">
                  <c:v>26545.863280000001</c:v>
                </c:pt>
                <c:pt idx="162">
                  <c:v>27691.019530000001</c:v>
                </c:pt>
                <c:pt idx="163">
                  <c:v>28435.943360000001</c:v>
                </c:pt>
                <c:pt idx="164">
                  <c:v>29136.808590000001</c:v>
                </c:pt>
                <c:pt idx="165">
                  <c:v>29825.96875</c:v>
                </c:pt>
                <c:pt idx="166">
                  <c:v>31072.945309999999</c:v>
                </c:pt>
                <c:pt idx="167">
                  <c:v>31255.435549999998</c:v>
                </c:pt>
                <c:pt idx="168">
                  <c:v>32365.998049999998</c:v>
                </c:pt>
                <c:pt idx="169">
                  <c:v>32866.269529999998</c:v>
                </c:pt>
                <c:pt idx="170">
                  <c:v>32971.847659999999</c:v>
                </c:pt>
                <c:pt idx="171">
                  <c:v>33469.199220000002</c:v>
                </c:pt>
                <c:pt idx="172">
                  <c:v>34813.867189999997</c:v>
                </c:pt>
                <c:pt idx="173">
                  <c:v>36910.558590000001</c:v>
                </c:pt>
                <c:pt idx="174">
                  <c:v>37742.15625</c:v>
                </c:pt>
                <c:pt idx="175">
                  <c:v>37846.605470000002</c:v>
                </c:pt>
                <c:pt idx="176">
                  <c:v>38928.339840000001</c:v>
                </c:pt>
                <c:pt idx="177">
                  <c:v>40222.503909999999</c:v>
                </c:pt>
                <c:pt idx="178">
                  <c:v>43733.757810000003</c:v>
                </c:pt>
                <c:pt idx="179">
                  <c:v>43849.269529999998</c:v>
                </c:pt>
                <c:pt idx="180">
                  <c:v>43851.042970000002</c:v>
                </c:pt>
                <c:pt idx="181">
                  <c:v>45195.777340000001</c:v>
                </c:pt>
                <c:pt idx="182">
                  <c:v>45741</c:v>
                </c:pt>
                <c:pt idx="183">
                  <c:v>46754.78125</c:v>
                </c:pt>
                <c:pt idx="184">
                  <c:v>50882.882810000003</c:v>
                </c:pt>
                <c:pt idx="185">
                  <c:v>51269.183590000001</c:v>
                </c:pt>
                <c:pt idx="186">
                  <c:v>53771.300779999998</c:v>
                </c:pt>
                <c:pt idx="187">
                  <c:v>54409.792970000002</c:v>
                </c:pt>
                <c:pt idx="188">
                  <c:v>59308.691409999999</c:v>
                </c:pt>
                <c:pt idx="189">
                  <c:v>59734.214840000001</c:v>
                </c:pt>
                <c:pt idx="190">
                  <c:v>60461.828130000002</c:v>
                </c:pt>
                <c:pt idx="191">
                  <c:v>65273.511720000002</c:v>
                </c:pt>
                <c:pt idx="192">
                  <c:v>67886.007809999996</c:v>
                </c:pt>
                <c:pt idx="193">
                  <c:v>69799.976559999996</c:v>
                </c:pt>
                <c:pt idx="194">
                  <c:v>83783.945309999996</c:v>
                </c:pt>
                <c:pt idx="195">
                  <c:v>83992.953129999994</c:v>
                </c:pt>
                <c:pt idx="196">
                  <c:v>84339.070309999996</c:v>
                </c:pt>
                <c:pt idx="197">
                  <c:v>89561.40625</c:v>
                </c:pt>
                <c:pt idx="198">
                  <c:v>97338.585940000004</c:v>
                </c:pt>
                <c:pt idx="199">
                  <c:v>102334.4063</c:v>
                </c:pt>
                <c:pt idx="200">
                  <c:v>109581.08590000001</c:v>
                </c:pt>
                <c:pt idx="201">
                  <c:v>114963.58590000001</c:v>
                </c:pt>
                <c:pt idx="202">
                  <c:v>126476.46090000001</c:v>
                </c:pt>
                <c:pt idx="203">
                  <c:v>128932.75</c:v>
                </c:pt>
                <c:pt idx="204">
                  <c:v>145934.45310000001</c:v>
                </c:pt>
                <c:pt idx="205">
                  <c:v>164689.39060000001</c:v>
                </c:pt>
                <c:pt idx="206">
                  <c:v>206139.5938</c:v>
                </c:pt>
                <c:pt idx="207">
                  <c:v>212559.4063</c:v>
                </c:pt>
                <c:pt idx="208">
                  <c:v>220892.32810000001</c:v>
                </c:pt>
                <c:pt idx="209">
                  <c:v>273523.625</c:v>
                </c:pt>
                <c:pt idx="210">
                  <c:v>331002.65629999997</c:v>
                </c:pt>
                <c:pt idx="211">
                  <c:v>1380004.375</c:v>
                </c:pt>
                <c:pt idx="212">
                  <c:v>1463140.5</c:v>
                </c:pt>
                <c:pt idx="213">
                  <c:v>7786695.1077512307</c:v>
                </c:pt>
              </c:numCache>
            </c:numRef>
          </c:cat>
          <c:val>
            <c:numRef>
              <c:f>'Estimates on the use of water ('!$H$2:$H$1000</c:f>
              <c:numCache>
                <c:formatCode>General</c:formatCode>
                <c:ptCount val="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0.22275206789999999</c:v>
                </c:pt>
                <c:pt idx="32">
                  <c:v>1.0920419299999999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7.706424202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0.1170950144</c:v>
                </c:pt>
                <c:pt idx="47">
                  <c:v>0.56378488400000004</c:v>
                </c:pt>
                <c:pt idx="48">
                  <c:v>0</c:v>
                </c:pt>
                <c:pt idx="49">
                  <c:v>5.2926508940000002E-3</c:v>
                </c:pt>
                <c:pt idx="50">
                  <c:v>0</c:v>
                </c:pt>
                <c:pt idx="51">
                  <c:v>5.6356530249999999</c:v>
                </c:pt>
                <c:pt idx="52">
                  <c:v>4.9640541420000003E-2</c:v>
                </c:pt>
                <c:pt idx="53">
                  <c:v>2.0968788969999999</c:v>
                </c:pt>
                <c:pt idx="54">
                  <c:v>0</c:v>
                </c:pt>
                <c:pt idx="55">
                  <c:v>2.380331999</c:v>
                </c:pt>
                <c:pt idx="56">
                  <c:v>2.1767220379999999</c:v>
                </c:pt>
                <c:pt idx="57">
                  <c:v>9.9042939590000003</c:v>
                </c:pt>
                <c:pt idx="58">
                  <c:v>0</c:v>
                </c:pt>
                <c:pt idx="59">
                  <c:v>0</c:v>
                </c:pt>
                <c:pt idx="60">
                  <c:v>4.2585034329999996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0.3221395192</c:v>
                </c:pt>
                <c:pt idx="66">
                  <c:v>0</c:v>
                </c:pt>
                <c:pt idx="67">
                  <c:v>4.796159706E-2</c:v>
                </c:pt>
                <c:pt idx="68">
                  <c:v>5.2007801159999998</c:v>
                </c:pt>
                <c:pt idx="69">
                  <c:v>0</c:v>
                </c:pt>
                <c:pt idx="70">
                  <c:v>1.330871481</c:v>
                </c:pt>
                <c:pt idx="71">
                  <c:v>0.10934939270000001</c:v>
                </c:pt>
                <c:pt idx="72">
                  <c:v>4.9021924849999996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1.7384743789999999</c:v>
                </c:pt>
                <c:pt idx="78">
                  <c:v>0</c:v>
                </c:pt>
                <c:pt idx="79">
                  <c:v>5.7245790809999999</c:v>
                </c:pt>
                <c:pt idx="80">
                  <c:v>0</c:v>
                </c:pt>
                <c:pt idx="81">
                  <c:v>0</c:v>
                </c:pt>
                <c:pt idx="82">
                  <c:v>1.9098923269999998E-2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1.491670799</c:v>
                </c:pt>
                <c:pt idx="87">
                  <c:v>2.173203433E-2</c:v>
                </c:pt>
                <c:pt idx="88">
                  <c:v>0</c:v>
                </c:pt>
                <c:pt idx="89">
                  <c:v>3.5761107079999999</c:v>
                </c:pt>
                <c:pt idx="90">
                  <c:v>0</c:v>
                </c:pt>
                <c:pt idx="91">
                  <c:v>12.549470060000001</c:v>
                </c:pt>
                <c:pt idx="92">
                  <c:v>0</c:v>
                </c:pt>
                <c:pt idx="93">
                  <c:v>0</c:v>
                </c:pt>
                <c:pt idx="94">
                  <c:v>3.0150217449999999E-2</c:v>
                </c:pt>
                <c:pt idx="95">
                  <c:v>0</c:v>
                </c:pt>
                <c:pt idx="96">
                  <c:v>0</c:v>
                </c:pt>
                <c:pt idx="97">
                  <c:v>6.1951356640000004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1.530987366</c:v>
                </c:pt>
                <c:pt idx="103">
                  <c:v>4.5343119649999997</c:v>
                </c:pt>
                <c:pt idx="104">
                  <c:v>3.2540693780000001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0.58453109380000001</c:v>
                </c:pt>
                <c:pt idx="110">
                  <c:v>0</c:v>
                </c:pt>
                <c:pt idx="111">
                  <c:v>11.646452330000001</c:v>
                </c:pt>
                <c:pt idx="112">
                  <c:v>11.18652269</c:v>
                </c:pt>
                <c:pt idx="113">
                  <c:v>0</c:v>
                </c:pt>
                <c:pt idx="114">
                  <c:v>0</c:v>
                </c:pt>
                <c:pt idx="115">
                  <c:v>1.6550926470000001E-2</c:v>
                </c:pt>
                <c:pt idx="116">
                  <c:v>30.369793080000001</c:v>
                </c:pt>
                <c:pt idx="117">
                  <c:v>0</c:v>
                </c:pt>
                <c:pt idx="118">
                  <c:v>0</c:v>
                </c:pt>
                <c:pt idx="119">
                  <c:v>12.157364039999999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5.9834831790000001E-2</c:v>
                </c:pt>
                <c:pt idx="127">
                  <c:v>0</c:v>
                </c:pt>
                <c:pt idx="128">
                  <c:v>0</c:v>
                </c:pt>
                <c:pt idx="129">
                  <c:v>1.5767206439999999</c:v>
                </c:pt>
                <c:pt idx="130">
                  <c:v>8.0845547619999998</c:v>
                </c:pt>
                <c:pt idx="131">
                  <c:v>0.27310779629999998</c:v>
                </c:pt>
                <c:pt idx="132">
                  <c:v>0</c:v>
                </c:pt>
                <c:pt idx="133">
                  <c:v>0</c:v>
                </c:pt>
                <c:pt idx="134">
                  <c:v>4.8983269969999998</c:v>
                </c:pt>
                <c:pt idx="135">
                  <c:v>0</c:v>
                </c:pt>
                <c:pt idx="136">
                  <c:v>3.5949249129999998</c:v>
                </c:pt>
                <c:pt idx="137">
                  <c:v>3.2958005469999998</c:v>
                </c:pt>
                <c:pt idx="138">
                  <c:v>4.1099754009999998</c:v>
                </c:pt>
                <c:pt idx="139">
                  <c:v>8.4605003540000006</c:v>
                </c:pt>
                <c:pt idx="140">
                  <c:v>6.8581472420000003</c:v>
                </c:pt>
                <c:pt idx="141">
                  <c:v>2.4017840210000001</c:v>
                </c:pt>
                <c:pt idx="142">
                  <c:v>7.5097187840000004</c:v>
                </c:pt>
                <c:pt idx="143">
                  <c:v>9.2006744339999997</c:v>
                </c:pt>
                <c:pt idx="144">
                  <c:v>9.9729040419999998E-2</c:v>
                </c:pt>
                <c:pt idx="145">
                  <c:v>0</c:v>
                </c:pt>
                <c:pt idx="146">
                  <c:v>0</c:v>
                </c:pt>
                <c:pt idx="147">
                  <c:v>2.032299589</c:v>
                </c:pt>
                <c:pt idx="148">
                  <c:v>1.7435094040000001</c:v>
                </c:pt>
                <c:pt idx="149">
                  <c:v>6.8568367060000002</c:v>
                </c:pt>
                <c:pt idx="150">
                  <c:v>7.7647704710000001E-2</c:v>
                </c:pt>
                <c:pt idx="151">
                  <c:v>0</c:v>
                </c:pt>
                <c:pt idx="152">
                  <c:v>2.2251521099999998</c:v>
                </c:pt>
                <c:pt idx="153">
                  <c:v>0</c:v>
                </c:pt>
                <c:pt idx="154">
                  <c:v>1.3510030900000001</c:v>
                </c:pt>
                <c:pt idx="155">
                  <c:v>0.35350950240000001</c:v>
                </c:pt>
                <c:pt idx="156">
                  <c:v>1.82803542</c:v>
                </c:pt>
                <c:pt idx="157">
                  <c:v>4.4067913919999997</c:v>
                </c:pt>
                <c:pt idx="158">
                  <c:v>0</c:v>
                </c:pt>
                <c:pt idx="159">
                  <c:v>0.26333300580000002</c:v>
                </c:pt>
                <c:pt idx="160">
                  <c:v>5.9630662929999998</c:v>
                </c:pt>
                <c:pt idx="161">
                  <c:v>6.4038269269999999</c:v>
                </c:pt>
                <c:pt idx="162">
                  <c:v>11.58468244</c:v>
                </c:pt>
                <c:pt idx="163">
                  <c:v>0</c:v>
                </c:pt>
                <c:pt idx="164">
                  <c:v>1.246551314</c:v>
                </c:pt>
                <c:pt idx="165">
                  <c:v>2.595835594</c:v>
                </c:pt>
                <c:pt idx="166">
                  <c:v>4.8107250580000001</c:v>
                </c:pt>
                <c:pt idx="167">
                  <c:v>9.9286447590000009</c:v>
                </c:pt>
                <c:pt idx="168">
                  <c:v>0</c:v>
                </c:pt>
                <c:pt idx="169">
                  <c:v>14.094087119999999</c:v>
                </c:pt>
                <c:pt idx="170">
                  <c:v>1.8606060870000001</c:v>
                </c:pt>
                <c:pt idx="171">
                  <c:v>1.947370925</c:v>
                </c:pt>
                <c:pt idx="172">
                  <c:v>0</c:v>
                </c:pt>
                <c:pt idx="173">
                  <c:v>1.456433219</c:v>
                </c:pt>
                <c:pt idx="174">
                  <c:v>0</c:v>
                </c:pt>
                <c:pt idx="175">
                  <c:v>0</c:v>
                </c:pt>
                <c:pt idx="176">
                  <c:v>8.9007821739999997</c:v>
                </c:pt>
                <c:pt idx="177">
                  <c:v>0.74793397129999994</c:v>
                </c:pt>
                <c:pt idx="178">
                  <c:v>0.32383483600000001</c:v>
                </c:pt>
                <c:pt idx="179">
                  <c:v>9.2310867739999996</c:v>
                </c:pt>
                <c:pt idx="180">
                  <c:v>4.495253272E-2</c:v>
                </c:pt>
                <c:pt idx="181">
                  <c:v>0</c:v>
                </c:pt>
                <c:pt idx="182">
                  <c:v>4.6961842520000001</c:v>
                </c:pt>
                <c:pt idx="183">
                  <c:v>0</c:v>
                </c:pt>
                <c:pt idx="184">
                  <c:v>1.3685745119999999</c:v>
                </c:pt>
                <c:pt idx="185">
                  <c:v>0</c:v>
                </c:pt>
                <c:pt idx="186">
                  <c:v>19.045150840000002</c:v>
                </c:pt>
                <c:pt idx="187">
                  <c:v>9.5769463619999993</c:v>
                </c:pt>
                <c:pt idx="188">
                  <c:v>1.9313897120000001</c:v>
                </c:pt>
                <c:pt idx="189">
                  <c:v>13.475380380000001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6.5255081849999994E-2</c:v>
                </c:pt>
                <c:pt idx="196">
                  <c:v>0.2249778093</c:v>
                </c:pt>
                <c:pt idx="197">
                  <c:v>8.0643324950000004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5.0086474860000001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0.68295817349999999</c:v>
                </c:pt>
                <c:pt idx="206">
                  <c:v>5.6146357939999998</c:v>
                </c:pt>
                <c:pt idx="207">
                  <c:v>0</c:v>
                </c:pt>
                <c:pt idx="208">
                  <c:v>1.61544782</c:v>
                </c:pt>
                <c:pt idx="209">
                  <c:v>1.175304087</c:v>
                </c:pt>
                <c:pt idx="210">
                  <c:v>0</c:v>
                </c:pt>
                <c:pt idx="211">
                  <c:v>0.56371846260000003</c:v>
                </c:pt>
                <c:pt idx="212">
                  <c:v>0.19871614409999999</c:v>
                </c:pt>
                <c:pt idx="213">
                  <c:v>1.9154885837974702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B2-4EF9-96AC-A1EA7F8AD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9931"/>
        <c:axId val="264207216"/>
      </c:barChart>
      <c:catAx>
        <c:axId val="7689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National population size (thousands)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4207216"/>
        <c:crosses val="autoZero"/>
        <c:auto val="1"/>
        <c:lblAlgn val="ctr"/>
        <c:lblOffset val="100"/>
        <c:noMultiLvlLbl val="1"/>
      </c:catAx>
      <c:valAx>
        <c:axId val="264207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Access share percentage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899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National population versus rural and urban share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Urban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'Estimates on the use of water ('!$C$2:$C$1000</c:f>
              <c:numCache>
                <c:formatCode>General</c:formatCode>
                <c:ptCount val="999"/>
                <c:pt idx="0">
                  <c:v>1.3500000240000001</c:v>
                </c:pt>
                <c:pt idx="1">
                  <c:v>1.618000031</c:v>
                </c:pt>
                <c:pt idx="2">
                  <c:v>3.4830000399999999</c:v>
                </c:pt>
                <c:pt idx="3">
                  <c:v>4.9990000720000003</c:v>
                </c:pt>
                <c:pt idx="4">
                  <c:v>5.795000076</c:v>
                </c:pt>
                <c:pt idx="5">
                  <c:v>6.0710000989999999</c:v>
                </c:pt>
                <c:pt idx="6">
                  <c:v>9.8849999999999998</c:v>
                </c:pt>
                <c:pt idx="7">
                  <c:v>10.833999629999999</c:v>
                </c:pt>
                <c:pt idx="8">
                  <c:v>11.24600029</c:v>
                </c:pt>
                <c:pt idx="9">
                  <c:v>11.791999819999999</c:v>
                </c:pt>
                <c:pt idx="10">
                  <c:v>17.56399918</c:v>
                </c:pt>
                <c:pt idx="11">
                  <c:v>18.091999049999998</c:v>
                </c:pt>
                <c:pt idx="12">
                  <c:v>30.23699951</c:v>
                </c:pt>
                <c:pt idx="13">
                  <c:v>33.691001890000003</c:v>
                </c:pt>
                <c:pt idx="14">
                  <c:v>33.937999730000001</c:v>
                </c:pt>
                <c:pt idx="15">
                  <c:v>38.137001040000001</c:v>
                </c:pt>
                <c:pt idx="16">
                  <c:v>38.658999999999999</c:v>
                </c:pt>
                <c:pt idx="17">
                  <c:v>39.243999479999999</c:v>
                </c:pt>
                <c:pt idx="18">
                  <c:v>48.865001679999999</c:v>
                </c:pt>
                <c:pt idx="19">
                  <c:v>55.196998600000001</c:v>
                </c:pt>
                <c:pt idx="20">
                  <c:v>56.771999360000002</c:v>
                </c:pt>
                <c:pt idx="21">
                  <c:v>57.556999210000001</c:v>
                </c:pt>
                <c:pt idx="22">
                  <c:v>59.194000240000001</c:v>
                </c:pt>
                <c:pt idx="23">
                  <c:v>62.272998809999997</c:v>
                </c:pt>
                <c:pt idx="24">
                  <c:v>77.26499939</c:v>
                </c:pt>
                <c:pt idx="25">
                  <c:v>85.031997680000003</c:v>
                </c:pt>
                <c:pt idx="26">
                  <c:v>104.4229965</c:v>
                </c:pt>
                <c:pt idx="27">
                  <c:v>105.6969986</c:v>
                </c:pt>
                <c:pt idx="28">
                  <c:v>119.44599909999999</c:v>
                </c:pt>
                <c:pt idx="29">
                  <c:v>168.78300479999999</c:v>
                </c:pt>
                <c:pt idx="30">
                  <c:v>183.62899780000001</c:v>
                </c:pt>
                <c:pt idx="31">
                  <c:v>198.4100037</c:v>
                </c:pt>
                <c:pt idx="32">
                  <c:v>219.16099550000001</c:v>
                </c:pt>
                <c:pt idx="33">
                  <c:v>272.81298829999997</c:v>
                </c:pt>
                <c:pt idx="34">
                  <c:v>280.90399170000001</c:v>
                </c:pt>
                <c:pt idx="35">
                  <c:v>285.4909973</c:v>
                </c:pt>
                <c:pt idx="36">
                  <c:v>287.37100220000002</c:v>
                </c:pt>
                <c:pt idx="37">
                  <c:v>298.68200680000001</c:v>
                </c:pt>
                <c:pt idx="38">
                  <c:v>307.14999390000003</c:v>
                </c:pt>
                <c:pt idx="39">
                  <c:v>341.25</c:v>
                </c:pt>
                <c:pt idx="40">
                  <c:v>375.26501459999997</c:v>
                </c:pt>
                <c:pt idx="41">
                  <c:v>397.62100220000002</c:v>
                </c:pt>
                <c:pt idx="42">
                  <c:v>400.12701420000002</c:v>
                </c:pt>
                <c:pt idx="43">
                  <c:v>437.48300169999999</c:v>
                </c:pt>
                <c:pt idx="44">
                  <c:v>441.53900149999998</c:v>
                </c:pt>
                <c:pt idx="45">
                  <c:v>540.54199219999998</c:v>
                </c:pt>
                <c:pt idx="46">
                  <c:v>555.98797609999997</c:v>
                </c:pt>
                <c:pt idx="47">
                  <c:v>586.63397220000002</c:v>
                </c:pt>
                <c:pt idx="48">
                  <c:v>625.97601320000001</c:v>
                </c:pt>
                <c:pt idx="49">
                  <c:v>628.06201169999997</c:v>
                </c:pt>
                <c:pt idx="50">
                  <c:v>649.34198000000004</c:v>
                </c:pt>
                <c:pt idx="51">
                  <c:v>686.87799070000005</c:v>
                </c:pt>
                <c:pt idx="52">
                  <c:v>771.61199950000002</c:v>
                </c:pt>
                <c:pt idx="53">
                  <c:v>786.55902100000003</c:v>
                </c:pt>
                <c:pt idx="54">
                  <c:v>895.30798340000001</c:v>
                </c:pt>
                <c:pt idx="55">
                  <c:v>896.44396970000003</c:v>
                </c:pt>
                <c:pt idx="56">
                  <c:v>988.00201419999996</c:v>
                </c:pt>
                <c:pt idx="57">
                  <c:v>1160.1639399999999</c:v>
                </c:pt>
                <c:pt idx="58">
                  <c:v>1207.360962</c:v>
                </c:pt>
                <c:pt idx="59">
                  <c:v>1271.7669679999999</c:v>
                </c:pt>
                <c:pt idx="60">
                  <c:v>1318.4420170000001</c:v>
                </c:pt>
                <c:pt idx="61">
                  <c:v>1326.5389399999999</c:v>
                </c:pt>
                <c:pt idx="62">
                  <c:v>1399.490967</c:v>
                </c:pt>
                <c:pt idx="63">
                  <c:v>1701.5830080000001</c:v>
                </c:pt>
                <c:pt idx="64">
                  <c:v>1886.2020259999999</c:v>
                </c:pt>
                <c:pt idx="65">
                  <c:v>1967.998047</c:v>
                </c:pt>
                <c:pt idx="66">
                  <c:v>2078.931885</c:v>
                </c:pt>
                <c:pt idx="67">
                  <c:v>2083.3798830000001</c:v>
                </c:pt>
                <c:pt idx="68">
                  <c:v>2142.251953</c:v>
                </c:pt>
                <c:pt idx="69">
                  <c:v>2225.7280270000001</c:v>
                </c:pt>
                <c:pt idx="70">
                  <c:v>2351.625</c:v>
                </c:pt>
                <c:pt idx="71">
                  <c:v>2416.6640630000002</c:v>
                </c:pt>
                <c:pt idx="72">
                  <c:v>2540.9160160000001</c:v>
                </c:pt>
                <c:pt idx="73">
                  <c:v>2722.2910160000001</c:v>
                </c:pt>
                <c:pt idx="74">
                  <c:v>2860.8400879999999</c:v>
                </c:pt>
                <c:pt idx="75">
                  <c:v>2877.8000489999999</c:v>
                </c:pt>
                <c:pt idx="76">
                  <c:v>2881.0600589999999</c:v>
                </c:pt>
                <c:pt idx="77">
                  <c:v>2961.1608890000002</c:v>
                </c:pt>
                <c:pt idx="78">
                  <c:v>2963.2338869999999</c:v>
                </c:pt>
                <c:pt idx="79">
                  <c:v>3278.2919919999999</c:v>
                </c:pt>
                <c:pt idx="80">
                  <c:v>3280.8149410000001</c:v>
                </c:pt>
                <c:pt idx="81">
                  <c:v>3473.7270509999998</c:v>
                </c:pt>
                <c:pt idx="82">
                  <c:v>3989.1750489999999</c:v>
                </c:pt>
                <c:pt idx="83">
                  <c:v>4033.9628910000001</c:v>
                </c:pt>
                <c:pt idx="84">
                  <c:v>4105.2680659999996</c:v>
                </c:pt>
                <c:pt idx="85">
                  <c:v>4270.5629879999997</c:v>
                </c:pt>
                <c:pt idx="86">
                  <c:v>4314.7680659999996</c:v>
                </c:pt>
                <c:pt idx="87">
                  <c:v>4649.6601559999999</c:v>
                </c:pt>
                <c:pt idx="88">
                  <c:v>4822.2329099999997</c:v>
                </c:pt>
                <c:pt idx="89">
                  <c:v>4829.7641599999997</c:v>
                </c:pt>
                <c:pt idx="90">
                  <c:v>4937.7958980000003</c:v>
                </c:pt>
                <c:pt idx="91">
                  <c:v>5057.6767579999996</c:v>
                </c:pt>
                <c:pt idx="92">
                  <c:v>5094.1137699999999</c:v>
                </c:pt>
                <c:pt idx="93">
                  <c:v>5101.4160160000001</c:v>
                </c:pt>
                <c:pt idx="94">
                  <c:v>5106.6220700000003</c:v>
                </c:pt>
                <c:pt idx="95">
                  <c:v>5421.2421880000002</c:v>
                </c:pt>
                <c:pt idx="96">
                  <c:v>5459.6430659999996</c:v>
                </c:pt>
                <c:pt idx="97">
                  <c:v>5518.091797</c:v>
                </c:pt>
                <c:pt idx="98">
                  <c:v>5540.7177730000003</c:v>
                </c:pt>
                <c:pt idx="99">
                  <c:v>5792.203125</c:v>
                </c:pt>
                <c:pt idx="100">
                  <c:v>5850.3427730000003</c:v>
                </c:pt>
                <c:pt idx="101">
                  <c:v>6031.1870120000003</c:v>
                </c:pt>
                <c:pt idx="102">
                  <c:v>6486.201172</c:v>
                </c:pt>
                <c:pt idx="103">
                  <c:v>6524.1909180000002</c:v>
                </c:pt>
                <c:pt idx="104">
                  <c:v>6624.5541990000002</c:v>
                </c:pt>
                <c:pt idx="105">
                  <c:v>6825.4418949999999</c:v>
                </c:pt>
                <c:pt idx="106">
                  <c:v>6871.2871089999999</c:v>
                </c:pt>
                <c:pt idx="107">
                  <c:v>6948.4448240000002</c:v>
                </c:pt>
                <c:pt idx="108">
                  <c:v>7132.5297849999997</c:v>
                </c:pt>
                <c:pt idx="109">
                  <c:v>7275.5561520000001</c:v>
                </c:pt>
                <c:pt idx="110">
                  <c:v>7496.9877930000002</c:v>
                </c:pt>
                <c:pt idx="111">
                  <c:v>7976.9848629999997</c:v>
                </c:pt>
                <c:pt idx="112">
                  <c:v>8278.7373050000006</c:v>
                </c:pt>
                <c:pt idx="113">
                  <c:v>8654.6181639999995</c:v>
                </c:pt>
                <c:pt idx="114">
                  <c:v>8655.5410159999992</c:v>
                </c:pt>
                <c:pt idx="115">
                  <c:v>8737.3701170000004</c:v>
                </c:pt>
                <c:pt idx="116">
                  <c:v>8947.0273440000001</c:v>
                </c:pt>
                <c:pt idx="117">
                  <c:v>9006.4003909999992</c:v>
                </c:pt>
                <c:pt idx="118">
                  <c:v>9449.3212889999995</c:v>
                </c:pt>
                <c:pt idx="119">
                  <c:v>9537.6416019999997</c:v>
                </c:pt>
                <c:pt idx="120">
                  <c:v>9660.3496090000008</c:v>
                </c:pt>
                <c:pt idx="121">
                  <c:v>9890.4003909999992</c:v>
                </c:pt>
                <c:pt idx="122">
                  <c:v>9904.6083980000003</c:v>
                </c:pt>
                <c:pt idx="123">
                  <c:v>10099.26953</c:v>
                </c:pt>
                <c:pt idx="124">
                  <c:v>10139.174800000001</c:v>
                </c:pt>
                <c:pt idx="125">
                  <c:v>10196.70703</c:v>
                </c:pt>
                <c:pt idx="126">
                  <c:v>10203.139649999999</c:v>
                </c:pt>
                <c:pt idx="127">
                  <c:v>10423.05566</c:v>
                </c:pt>
                <c:pt idx="128">
                  <c:v>10708.98242</c:v>
                </c:pt>
                <c:pt idx="129">
                  <c:v>10847.9043</c:v>
                </c:pt>
                <c:pt idx="130">
                  <c:v>11193.728520000001</c:v>
                </c:pt>
                <c:pt idx="131">
                  <c:v>11326.61621</c:v>
                </c:pt>
                <c:pt idx="132">
                  <c:v>11402.5332</c:v>
                </c:pt>
                <c:pt idx="133">
                  <c:v>11589.61621</c:v>
                </c:pt>
                <c:pt idx="134">
                  <c:v>11673.0293</c:v>
                </c:pt>
                <c:pt idx="135">
                  <c:v>11818.61816</c:v>
                </c:pt>
                <c:pt idx="136">
                  <c:v>11890.78125</c:v>
                </c:pt>
                <c:pt idx="137">
                  <c:v>12123.19824</c:v>
                </c:pt>
                <c:pt idx="138">
                  <c:v>12952.208979999999</c:v>
                </c:pt>
                <c:pt idx="139">
                  <c:v>13132.79199</c:v>
                </c:pt>
                <c:pt idx="140">
                  <c:v>14862.92676</c:v>
                </c:pt>
                <c:pt idx="141">
                  <c:v>15893.21875</c:v>
                </c:pt>
                <c:pt idx="142">
                  <c:v>16425.859380000002</c:v>
                </c:pt>
                <c:pt idx="143">
                  <c:v>16718.970700000002</c:v>
                </c:pt>
                <c:pt idx="144">
                  <c:v>16743.929690000001</c:v>
                </c:pt>
                <c:pt idx="145">
                  <c:v>17134.873049999998</c:v>
                </c:pt>
                <c:pt idx="146">
                  <c:v>17500.65625</c:v>
                </c:pt>
                <c:pt idx="147">
                  <c:v>17643.060549999998</c:v>
                </c:pt>
                <c:pt idx="148">
                  <c:v>17915.566409999999</c:v>
                </c:pt>
                <c:pt idx="149">
                  <c:v>18383.95508</c:v>
                </c:pt>
                <c:pt idx="150">
                  <c:v>18776.707030000001</c:v>
                </c:pt>
                <c:pt idx="151">
                  <c:v>19116.208979999999</c:v>
                </c:pt>
                <c:pt idx="152">
                  <c:v>19129.95508</c:v>
                </c:pt>
                <c:pt idx="153">
                  <c:v>19237.681639999999</c:v>
                </c:pt>
                <c:pt idx="154">
                  <c:v>20250.833979999999</c:v>
                </c:pt>
                <c:pt idx="155">
                  <c:v>20903.277340000001</c:v>
                </c:pt>
                <c:pt idx="156">
                  <c:v>21413.25</c:v>
                </c:pt>
                <c:pt idx="157">
                  <c:v>24206.636719999999</c:v>
                </c:pt>
                <c:pt idx="158">
                  <c:v>25499.880860000001</c:v>
                </c:pt>
                <c:pt idx="159">
                  <c:v>25778.814450000002</c:v>
                </c:pt>
                <c:pt idx="160">
                  <c:v>26378.275389999999</c:v>
                </c:pt>
                <c:pt idx="161">
                  <c:v>26545.863280000001</c:v>
                </c:pt>
                <c:pt idx="162">
                  <c:v>27691.019530000001</c:v>
                </c:pt>
                <c:pt idx="163">
                  <c:v>28435.943360000001</c:v>
                </c:pt>
                <c:pt idx="164">
                  <c:v>29136.808590000001</c:v>
                </c:pt>
                <c:pt idx="165">
                  <c:v>29825.96875</c:v>
                </c:pt>
                <c:pt idx="166">
                  <c:v>31072.945309999999</c:v>
                </c:pt>
                <c:pt idx="167">
                  <c:v>31255.435549999998</c:v>
                </c:pt>
                <c:pt idx="168">
                  <c:v>32365.998049999998</c:v>
                </c:pt>
                <c:pt idx="169">
                  <c:v>32866.269529999998</c:v>
                </c:pt>
                <c:pt idx="170">
                  <c:v>32971.847659999999</c:v>
                </c:pt>
                <c:pt idx="171">
                  <c:v>33469.199220000002</c:v>
                </c:pt>
                <c:pt idx="172">
                  <c:v>34813.867189999997</c:v>
                </c:pt>
                <c:pt idx="173">
                  <c:v>36910.558590000001</c:v>
                </c:pt>
                <c:pt idx="174">
                  <c:v>37742.15625</c:v>
                </c:pt>
                <c:pt idx="175">
                  <c:v>37846.605470000002</c:v>
                </c:pt>
                <c:pt idx="176">
                  <c:v>38928.339840000001</c:v>
                </c:pt>
                <c:pt idx="177">
                  <c:v>40222.503909999999</c:v>
                </c:pt>
                <c:pt idx="178">
                  <c:v>43733.757810000003</c:v>
                </c:pt>
                <c:pt idx="179">
                  <c:v>43849.269529999998</c:v>
                </c:pt>
                <c:pt idx="180">
                  <c:v>43851.042970000002</c:v>
                </c:pt>
                <c:pt idx="181">
                  <c:v>45195.777340000001</c:v>
                </c:pt>
                <c:pt idx="182">
                  <c:v>45741</c:v>
                </c:pt>
                <c:pt idx="183">
                  <c:v>46754.78125</c:v>
                </c:pt>
                <c:pt idx="184">
                  <c:v>50882.882810000003</c:v>
                </c:pt>
                <c:pt idx="185">
                  <c:v>51269.183590000001</c:v>
                </c:pt>
                <c:pt idx="186">
                  <c:v>53771.300779999998</c:v>
                </c:pt>
                <c:pt idx="187">
                  <c:v>54409.792970000002</c:v>
                </c:pt>
                <c:pt idx="188">
                  <c:v>59308.691409999999</c:v>
                </c:pt>
                <c:pt idx="189">
                  <c:v>59734.214840000001</c:v>
                </c:pt>
                <c:pt idx="190">
                  <c:v>60461.828130000002</c:v>
                </c:pt>
                <c:pt idx="191">
                  <c:v>65273.511720000002</c:v>
                </c:pt>
                <c:pt idx="192">
                  <c:v>67886.007809999996</c:v>
                </c:pt>
                <c:pt idx="193">
                  <c:v>69799.976559999996</c:v>
                </c:pt>
                <c:pt idx="194">
                  <c:v>83783.945309999996</c:v>
                </c:pt>
                <c:pt idx="195">
                  <c:v>83992.953129999994</c:v>
                </c:pt>
                <c:pt idx="196">
                  <c:v>84339.070309999996</c:v>
                </c:pt>
                <c:pt idx="197">
                  <c:v>89561.40625</c:v>
                </c:pt>
                <c:pt idx="198">
                  <c:v>97338.585940000004</c:v>
                </c:pt>
                <c:pt idx="199">
                  <c:v>102334.4063</c:v>
                </c:pt>
                <c:pt idx="200">
                  <c:v>109581.08590000001</c:v>
                </c:pt>
                <c:pt idx="201">
                  <c:v>114963.58590000001</c:v>
                </c:pt>
                <c:pt idx="202">
                  <c:v>126476.46090000001</c:v>
                </c:pt>
                <c:pt idx="203">
                  <c:v>128932.75</c:v>
                </c:pt>
                <c:pt idx="204">
                  <c:v>145934.45310000001</c:v>
                </c:pt>
                <c:pt idx="205">
                  <c:v>164689.39060000001</c:v>
                </c:pt>
                <c:pt idx="206">
                  <c:v>206139.5938</c:v>
                </c:pt>
                <c:pt idx="207">
                  <c:v>212559.4063</c:v>
                </c:pt>
                <c:pt idx="208">
                  <c:v>220892.32810000001</c:v>
                </c:pt>
                <c:pt idx="209">
                  <c:v>273523.625</c:v>
                </c:pt>
                <c:pt idx="210">
                  <c:v>331002.65629999997</c:v>
                </c:pt>
                <c:pt idx="211">
                  <c:v>1380004.375</c:v>
                </c:pt>
                <c:pt idx="212">
                  <c:v>1463140.5</c:v>
                </c:pt>
                <c:pt idx="213">
                  <c:v>7786695.1077512307</c:v>
                </c:pt>
              </c:numCache>
            </c:numRef>
          </c:cat>
          <c:val>
            <c:numRef>
              <c:f>'Estimates on the use of water ('!$D$2:$D$1000</c:f>
              <c:numCache>
                <c:formatCode>General</c:formatCode>
                <c:ptCount val="999"/>
                <c:pt idx="0">
                  <c:v>0</c:v>
                </c:pt>
                <c:pt idx="1">
                  <c:v>46.202003480000002</c:v>
                </c:pt>
                <c:pt idx="2">
                  <c:v>78.507995609999995</c:v>
                </c:pt>
                <c:pt idx="3">
                  <c:v>9.1149997710000008</c:v>
                </c:pt>
                <c:pt idx="4">
                  <c:v>89.96199799</c:v>
                </c:pt>
                <c:pt idx="5">
                  <c:v>40.082000729999997</c:v>
                </c:pt>
                <c:pt idx="6">
                  <c:v>100</c:v>
                </c:pt>
                <c:pt idx="7">
                  <c:v>100</c:v>
                </c:pt>
                <c:pt idx="8">
                  <c:v>0</c:v>
                </c:pt>
                <c:pt idx="9">
                  <c:v>64.013999940000005</c:v>
                </c:pt>
                <c:pt idx="10">
                  <c:v>75.495002749999998</c:v>
                </c:pt>
                <c:pt idx="11">
                  <c:v>80.987998959999999</c:v>
                </c:pt>
                <c:pt idx="12">
                  <c:v>48.51499939</c:v>
                </c:pt>
                <c:pt idx="13">
                  <c:v>100</c:v>
                </c:pt>
                <c:pt idx="14">
                  <c:v>97.499000550000005</c:v>
                </c:pt>
                <c:pt idx="15">
                  <c:v>14.416000370000001</c:v>
                </c:pt>
                <c:pt idx="16">
                  <c:v>100</c:v>
                </c:pt>
                <c:pt idx="17">
                  <c:v>100</c:v>
                </c:pt>
                <c:pt idx="18">
                  <c:v>42.397998809999997</c:v>
                </c:pt>
                <c:pt idx="19">
                  <c:v>87.152999879999996</c:v>
                </c:pt>
                <c:pt idx="20">
                  <c:v>87.282005310000002</c:v>
                </c:pt>
                <c:pt idx="21">
                  <c:v>91.797996519999998</c:v>
                </c:pt>
                <c:pt idx="22">
                  <c:v>77.793991090000006</c:v>
                </c:pt>
                <c:pt idx="23">
                  <c:v>100</c:v>
                </c:pt>
                <c:pt idx="24">
                  <c:v>87.916000370000006</c:v>
                </c:pt>
                <c:pt idx="25">
                  <c:v>52.89800262</c:v>
                </c:pt>
                <c:pt idx="26">
                  <c:v>95.939002990000006</c:v>
                </c:pt>
                <c:pt idx="27">
                  <c:v>23.098999020000001</c:v>
                </c:pt>
                <c:pt idx="28">
                  <c:v>55.593997960000003</c:v>
                </c:pt>
                <c:pt idx="29">
                  <c:v>94.938003539999997</c:v>
                </c:pt>
                <c:pt idx="30">
                  <c:v>18.8409996</c:v>
                </c:pt>
                <c:pt idx="31">
                  <c:v>17.888999940000001</c:v>
                </c:pt>
                <c:pt idx="32">
                  <c:v>74.354003910000003</c:v>
                </c:pt>
                <c:pt idx="33">
                  <c:v>45.750999450000002</c:v>
                </c:pt>
                <c:pt idx="34">
                  <c:v>61.975002289999999</c:v>
                </c:pt>
                <c:pt idx="35">
                  <c:v>71.517997739999998</c:v>
                </c:pt>
                <c:pt idx="36">
                  <c:v>31.190999980000001</c:v>
                </c:pt>
                <c:pt idx="37">
                  <c:v>85.819999690000003</c:v>
                </c:pt>
                <c:pt idx="38">
                  <c:v>25.525001530000001</c:v>
                </c:pt>
                <c:pt idx="39">
                  <c:v>93.897994999999995</c:v>
                </c:pt>
                <c:pt idx="40">
                  <c:v>89.13999939</c:v>
                </c:pt>
                <c:pt idx="41">
                  <c:v>46.025001529999997</c:v>
                </c:pt>
                <c:pt idx="42">
                  <c:v>98.498992920000006</c:v>
                </c:pt>
                <c:pt idx="43">
                  <c:v>78.250007629999999</c:v>
                </c:pt>
                <c:pt idx="44">
                  <c:v>94.744003300000003</c:v>
                </c:pt>
                <c:pt idx="45">
                  <c:v>40.668998719999998</c:v>
                </c:pt>
                <c:pt idx="46">
                  <c:v>66.652000430000001</c:v>
                </c:pt>
                <c:pt idx="47">
                  <c:v>66.149002080000002</c:v>
                </c:pt>
                <c:pt idx="48">
                  <c:v>91.452995299999998</c:v>
                </c:pt>
                <c:pt idx="49">
                  <c:v>67.488006589999998</c:v>
                </c:pt>
                <c:pt idx="50">
                  <c:v>100</c:v>
                </c:pt>
                <c:pt idx="51">
                  <c:v>24.670000080000001</c:v>
                </c:pt>
                <c:pt idx="52">
                  <c:v>42.31599808</c:v>
                </c:pt>
                <c:pt idx="53">
                  <c:v>26.7859993</c:v>
                </c:pt>
                <c:pt idx="54">
                  <c:v>99.659004210000006</c:v>
                </c:pt>
                <c:pt idx="55">
                  <c:v>57.247005459999997</c:v>
                </c:pt>
                <c:pt idx="56">
                  <c:v>78.061996460000003</c:v>
                </c:pt>
                <c:pt idx="57">
                  <c:v>24.17100143</c:v>
                </c:pt>
                <c:pt idx="58">
                  <c:v>66.820999150000006</c:v>
                </c:pt>
                <c:pt idx="59">
                  <c:v>40.759998320000001</c:v>
                </c:pt>
                <c:pt idx="60">
                  <c:v>31.31999969</c:v>
                </c:pt>
                <c:pt idx="61">
                  <c:v>69.229003910000003</c:v>
                </c:pt>
                <c:pt idx="62">
                  <c:v>53.2140007</c:v>
                </c:pt>
                <c:pt idx="63">
                  <c:v>89.506004329999996</c:v>
                </c:pt>
                <c:pt idx="64">
                  <c:v>68.315002440000001</c:v>
                </c:pt>
                <c:pt idx="65">
                  <c:v>44.195999149999999</c:v>
                </c:pt>
                <c:pt idx="66">
                  <c:v>55.118003850000001</c:v>
                </c:pt>
                <c:pt idx="67">
                  <c:v>58.481998439999998</c:v>
                </c:pt>
                <c:pt idx="68">
                  <c:v>29.027999879999999</c:v>
                </c:pt>
                <c:pt idx="69">
                  <c:v>90.092002870000002</c:v>
                </c:pt>
                <c:pt idx="70">
                  <c:v>70.876998900000004</c:v>
                </c:pt>
                <c:pt idx="71">
                  <c:v>62.581996920000002</c:v>
                </c:pt>
                <c:pt idx="72">
                  <c:v>52.033000950000002</c:v>
                </c:pt>
                <c:pt idx="73">
                  <c:v>68.045997619999994</c:v>
                </c:pt>
                <c:pt idx="74">
                  <c:v>93.581001279999995</c:v>
                </c:pt>
                <c:pt idx="75">
                  <c:v>62.111999509999997</c:v>
                </c:pt>
                <c:pt idx="76">
                  <c:v>99.23500061</c:v>
                </c:pt>
                <c:pt idx="77">
                  <c:v>56.311000819999997</c:v>
                </c:pt>
                <c:pt idx="78">
                  <c:v>63.312999730000001</c:v>
                </c:pt>
                <c:pt idx="79">
                  <c:v>68.656997680000003</c:v>
                </c:pt>
                <c:pt idx="80">
                  <c:v>49.020000459999999</c:v>
                </c:pt>
                <c:pt idx="81">
                  <c:v>95.51499939</c:v>
                </c:pt>
                <c:pt idx="82">
                  <c:v>59.452995299999998</c:v>
                </c:pt>
                <c:pt idx="83">
                  <c:v>42.849002839999997</c:v>
                </c:pt>
                <c:pt idx="84">
                  <c:v>57.552997589999997</c:v>
                </c:pt>
                <c:pt idx="85">
                  <c:v>100</c:v>
                </c:pt>
                <c:pt idx="86">
                  <c:v>68.414001459999994</c:v>
                </c:pt>
                <c:pt idx="87">
                  <c:v>55.326995850000003</c:v>
                </c:pt>
                <c:pt idx="88">
                  <c:v>86.698997500000004</c:v>
                </c:pt>
                <c:pt idx="89">
                  <c:v>42.197998050000002</c:v>
                </c:pt>
                <c:pt idx="90">
                  <c:v>63.652999880000003</c:v>
                </c:pt>
                <c:pt idx="91">
                  <c:v>52.088996889999997</c:v>
                </c:pt>
                <c:pt idx="92">
                  <c:v>80.770996089999997</c:v>
                </c:pt>
                <c:pt idx="93">
                  <c:v>76.718994140000007</c:v>
                </c:pt>
                <c:pt idx="94">
                  <c:v>86.275993349999993</c:v>
                </c:pt>
                <c:pt idx="95">
                  <c:v>82.973991389999995</c:v>
                </c:pt>
                <c:pt idx="96">
                  <c:v>53.759998320000001</c:v>
                </c:pt>
                <c:pt idx="97">
                  <c:v>67.829002380000006</c:v>
                </c:pt>
                <c:pt idx="98">
                  <c:v>85.517005920000003</c:v>
                </c:pt>
                <c:pt idx="99">
                  <c:v>88.116004939999996</c:v>
                </c:pt>
                <c:pt idx="100">
                  <c:v>100</c:v>
                </c:pt>
                <c:pt idx="101">
                  <c:v>52.516002659999998</c:v>
                </c:pt>
                <c:pt idx="102">
                  <c:v>73.444000239999994</c:v>
                </c:pt>
                <c:pt idx="103">
                  <c:v>36.855998990000003</c:v>
                </c:pt>
                <c:pt idx="104">
                  <c:v>59.012001040000001</c:v>
                </c:pt>
                <c:pt idx="105">
                  <c:v>88.924995420000002</c:v>
                </c:pt>
                <c:pt idx="106">
                  <c:v>80.691001889999995</c:v>
                </c:pt>
                <c:pt idx="107">
                  <c:v>75.685997009999994</c:v>
                </c:pt>
                <c:pt idx="108">
                  <c:v>62.182994839999999</c:v>
                </c:pt>
                <c:pt idx="109">
                  <c:v>36.290000919999997</c:v>
                </c:pt>
                <c:pt idx="110">
                  <c:v>100</c:v>
                </c:pt>
                <c:pt idx="111">
                  <c:v>42.923000340000002</c:v>
                </c:pt>
                <c:pt idx="112">
                  <c:v>42.799999239999998</c:v>
                </c:pt>
                <c:pt idx="113">
                  <c:v>73.915000919999997</c:v>
                </c:pt>
                <c:pt idx="114">
                  <c:v>92.58699799</c:v>
                </c:pt>
                <c:pt idx="115">
                  <c:v>56.445999149999999</c:v>
                </c:pt>
                <c:pt idx="116">
                  <c:v>13.34500027</c:v>
                </c:pt>
                <c:pt idx="117">
                  <c:v>58.748001100000003</c:v>
                </c:pt>
                <c:pt idx="118">
                  <c:v>79.483001709999996</c:v>
                </c:pt>
                <c:pt idx="119">
                  <c:v>27.505998609999999</c:v>
                </c:pt>
                <c:pt idx="120">
                  <c:v>71.942001340000004</c:v>
                </c:pt>
                <c:pt idx="121">
                  <c:v>87.047996519999998</c:v>
                </c:pt>
                <c:pt idx="122">
                  <c:v>58.358997340000002</c:v>
                </c:pt>
                <c:pt idx="123">
                  <c:v>87.97699738</c:v>
                </c:pt>
                <c:pt idx="124">
                  <c:v>56.397003169999998</c:v>
                </c:pt>
                <c:pt idx="125">
                  <c:v>66.309997559999999</c:v>
                </c:pt>
                <c:pt idx="126">
                  <c:v>91.417999269999996</c:v>
                </c:pt>
                <c:pt idx="127">
                  <c:v>79.715003969999998</c:v>
                </c:pt>
                <c:pt idx="128">
                  <c:v>74.061004639999993</c:v>
                </c:pt>
                <c:pt idx="129">
                  <c:v>82.540000919999997</c:v>
                </c:pt>
                <c:pt idx="130">
                  <c:v>20.198999400000002</c:v>
                </c:pt>
                <c:pt idx="131">
                  <c:v>77.194000239999994</c:v>
                </c:pt>
                <c:pt idx="132">
                  <c:v>57.087997440000002</c:v>
                </c:pt>
                <c:pt idx="133">
                  <c:v>98.078994750000007</c:v>
                </c:pt>
                <c:pt idx="134">
                  <c:v>70.123001099999996</c:v>
                </c:pt>
                <c:pt idx="135">
                  <c:v>69.568000789999999</c:v>
                </c:pt>
                <c:pt idx="136">
                  <c:v>13.708000180000001</c:v>
                </c:pt>
                <c:pt idx="137">
                  <c:v>48.414997100000001</c:v>
                </c:pt>
                <c:pt idx="138">
                  <c:v>17.432001110000002</c:v>
                </c:pt>
                <c:pt idx="139">
                  <c:v>36.875</c:v>
                </c:pt>
                <c:pt idx="140">
                  <c:v>32.242000580000003</c:v>
                </c:pt>
                <c:pt idx="141">
                  <c:v>46.140998840000002</c:v>
                </c:pt>
                <c:pt idx="142">
                  <c:v>23.520000459999999</c:v>
                </c:pt>
                <c:pt idx="143">
                  <c:v>24.23200035</c:v>
                </c:pt>
                <c:pt idx="144">
                  <c:v>48.122001650000001</c:v>
                </c:pt>
                <c:pt idx="145">
                  <c:v>92.236000059999995</c:v>
                </c:pt>
                <c:pt idx="146">
                  <c:v>55.475002289999999</c:v>
                </c:pt>
                <c:pt idx="147">
                  <c:v>64.166000370000006</c:v>
                </c:pt>
                <c:pt idx="148">
                  <c:v>51.835998539999999</c:v>
                </c:pt>
                <c:pt idx="149">
                  <c:v>44.6289978</c:v>
                </c:pt>
                <c:pt idx="150">
                  <c:v>57.671001429999997</c:v>
                </c:pt>
                <c:pt idx="151">
                  <c:v>87.72699738</c:v>
                </c:pt>
                <c:pt idx="152">
                  <c:v>17.42700005</c:v>
                </c:pt>
                <c:pt idx="153">
                  <c:v>54.194000240000001</c:v>
                </c:pt>
                <c:pt idx="154">
                  <c:v>43.909004209999999</c:v>
                </c:pt>
                <c:pt idx="155">
                  <c:v>30.60700035</c:v>
                </c:pt>
                <c:pt idx="156">
                  <c:v>18.71299934</c:v>
                </c:pt>
                <c:pt idx="157">
                  <c:v>16.625999449999998</c:v>
                </c:pt>
                <c:pt idx="158">
                  <c:v>86.240997309999997</c:v>
                </c:pt>
                <c:pt idx="159">
                  <c:v>62.381000520000001</c:v>
                </c:pt>
                <c:pt idx="160">
                  <c:v>51.70599747</c:v>
                </c:pt>
                <c:pt idx="161">
                  <c:v>57.560005189999998</c:v>
                </c:pt>
                <c:pt idx="162">
                  <c:v>38.534000399999996</c:v>
                </c:pt>
                <c:pt idx="163">
                  <c:v>88.278999330000005</c:v>
                </c:pt>
                <c:pt idx="164">
                  <c:v>20.57600021</c:v>
                </c:pt>
                <c:pt idx="165">
                  <c:v>37.907997129999998</c:v>
                </c:pt>
                <c:pt idx="166">
                  <c:v>57.348999020000001</c:v>
                </c:pt>
                <c:pt idx="167">
                  <c:v>37.073997499999997</c:v>
                </c:pt>
                <c:pt idx="168">
                  <c:v>77.159996030000002</c:v>
                </c:pt>
                <c:pt idx="169">
                  <c:v>66.824996949999999</c:v>
                </c:pt>
                <c:pt idx="170">
                  <c:v>78.297004700000002</c:v>
                </c:pt>
                <c:pt idx="171">
                  <c:v>50.415996550000003</c:v>
                </c:pt>
                <c:pt idx="172">
                  <c:v>84.287002560000005</c:v>
                </c:pt>
                <c:pt idx="173">
                  <c:v>63.531997680000003</c:v>
                </c:pt>
                <c:pt idx="174">
                  <c:v>81.562004090000002</c:v>
                </c:pt>
                <c:pt idx="175">
                  <c:v>60.043003079999998</c:v>
                </c:pt>
                <c:pt idx="176">
                  <c:v>26.025999070000001</c:v>
                </c:pt>
                <c:pt idx="177">
                  <c:v>70.892997739999998</c:v>
                </c:pt>
                <c:pt idx="178">
                  <c:v>69.608001709999996</c:v>
                </c:pt>
                <c:pt idx="179">
                  <c:v>35.252998349999999</c:v>
                </c:pt>
                <c:pt idx="180">
                  <c:v>73.733001709999996</c:v>
                </c:pt>
                <c:pt idx="181">
                  <c:v>92.111000059999995</c:v>
                </c:pt>
                <c:pt idx="182">
                  <c:v>24.95400047</c:v>
                </c:pt>
                <c:pt idx="183">
                  <c:v>80.809997559999999</c:v>
                </c:pt>
                <c:pt idx="184">
                  <c:v>81.424995420000002</c:v>
                </c:pt>
                <c:pt idx="185">
                  <c:v>81.414001459999994</c:v>
                </c:pt>
                <c:pt idx="186">
                  <c:v>27.994998930000001</c:v>
                </c:pt>
                <c:pt idx="187">
                  <c:v>31.14100075</c:v>
                </c:pt>
                <c:pt idx="188">
                  <c:v>67.354003910000003</c:v>
                </c:pt>
                <c:pt idx="189">
                  <c:v>35.227001190000003</c:v>
                </c:pt>
                <c:pt idx="190">
                  <c:v>71.038993840000003</c:v>
                </c:pt>
                <c:pt idx="191">
                  <c:v>80.974998470000003</c:v>
                </c:pt>
                <c:pt idx="192">
                  <c:v>83.902999879999996</c:v>
                </c:pt>
                <c:pt idx="193">
                  <c:v>51.430000309999997</c:v>
                </c:pt>
                <c:pt idx="194">
                  <c:v>77.453002929999997</c:v>
                </c:pt>
                <c:pt idx="195">
                  <c:v>75.874000550000005</c:v>
                </c:pt>
                <c:pt idx="196">
                  <c:v>76.105003359999998</c:v>
                </c:pt>
                <c:pt idx="197">
                  <c:v>45.638000490000003</c:v>
                </c:pt>
                <c:pt idx="198">
                  <c:v>37.340000150000002</c:v>
                </c:pt>
                <c:pt idx="199">
                  <c:v>42.783000950000002</c:v>
                </c:pt>
                <c:pt idx="200">
                  <c:v>47.407997129999998</c:v>
                </c:pt>
                <c:pt idx="201">
                  <c:v>21.69499969</c:v>
                </c:pt>
                <c:pt idx="202">
                  <c:v>91.781997680000003</c:v>
                </c:pt>
                <c:pt idx="203">
                  <c:v>80.730995179999994</c:v>
                </c:pt>
                <c:pt idx="204">
                  <c:v>74.754005430000007</c:v>
                </c:pt>
                <c:pt idx="205">
                  <c:v>38.177001949999998</c:v>
                </c:pt>
                <c:pt idx="206">
                  <c:v>51.958000179999999</c:v>
                </c:pt>
                <c:pt idx="207">
                  <c:v>87.072998049999995</c:v>
                </c:pt>
                <c:pt idx="208">
                  <c:v>37.165000919999997</c:v>
                </c:pt>
                <c:pt idx="209">
                  <c:v>56.640998840000002</c:v>
                </c:pt>
                <c:pt idx="210">
                  <c:v>82.664001459999994</c:v>
                </c:pt>
                <c:pt idx="211">
                  <c:v>34.926002500000003</c:v>
                </c:pt>
                <c:pt idx="212">
                  <c:v>61.713088990000003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1-4AA4-A715-36982D7A647F}"/>
            </c:ext>
          </c:extLst>
        </c:ser>
        <c:ser>
          <c:idx val="1"/>
          <c:order val="1"/>
          <c:tx>
            <c:v>Rural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'Estimates on the use of water ('!$C$2:$C$1000</c:f>
              <c:numCache>
                <c:formatCode>General</c:formatCode>
                <c:ptCount val="999"/>
                <c:pt idx="0">
                  <c:v>1.3500000240000001</c:v>
                </c:pt>
                <c:pt idx="1">
                  <c:v>1.618000031</c:v>
                </c:pt>
                <c:pt idx="2">
                  <c:v>3.4830000399999999</c:v>
                </c:pt>
                <c:pt idx="3">
                  <c:v>4.9990000720000003</c:v>
                </c:pt>
                <c:pt idx="4">
                  <c:v>5.795000076</c:v>
                </c:pt>
                <c:pt idx="5">
                  <c:v>6.0710000989999999</c:v>
                </c:pt>
                <c:pt idx="6">
                  <c:v>9.8849999999999998</c:v>
                </c:pt>
                <c:pt idx="7">
                  <c:v>10.833999629999999</c:v>
                </c:pt>
                <c:pt idx="8">
                  <c:v>11.24600029</c:v>
                </c:pt>
                <c:pt idx="9">
                  <c:v>11.791999819999999</c:v>
                </c:pt>
                <c:pt idx="10">
                  <c:v>17.56399918</c:v>
                </c:pt>
                <c:pt idx="11">
                  <c:v>18.091999049999998</c:v>
                </c:pt>
                <c:pt idx="12">
                  <c:v>30.23699951</c:v>
                </c:pt>
                <c:pt idx="13">
                  <c:v>33.691001890000003</c:v>
                </c:pt>
                <c:pt idx="14">
                  <c:v>33.937999730000001</c:v>
                </c:pt>
                <c:pt idx="15">
                  <c:v>38.137001040000001</c:v>
                </c:pt>
                <c:pt idx="16">
                  <c:v>38.658999999999999</c:v>
                </c:pt>
                <c:pt idx="17">
                  <c:v>39.243999479999999</c:v>
                </c:pt>
                <c:pt idx="18">
                  <c:v>48.865001679999999</c:v>
                </c:pt>
                <c:pt idx="19">
                  <c:v>55.196998600000001</c:v>
                </c:pt>
                <c:pt idx="20">
                  <c:v>56.771999360000002</c:v>
                </c:pt>
                <c:pt idx="21">
                  <c:v>57.556999210000001</c:v>
                </c:pt>
                <c:pt idx="22">
                  <c:v>59.194000240000001</c:v>
                </c:pt>
                <c:pt idx="23">
                  <c:v>62.272998809999997</c:v>
                </c:pt>
                <c:pt idx="24">
                  <c:v>77.26499939</c:v>
                </c:pt>
                <c:pt idx="25">
                  <c:v>85.031997680000003</c:v>
                </c:pt>
                <c:pt idx="26">
                  <c:v>104.4229965</c:v>
                </c:pt>
                <c:pt idx="27">
                  <c:v>105.6969986</c:v>
                </c:pt>
                <c:pt idx="28">
                  <c:v>119.44599909999999</c:v>
                </c:pt>
                <c:pt idx="29">
                  <c:v>168.78300479999999</c:v>
                </c:pt>
                <c:pt idx="30">
                  <c:v>183.62899780000001</c:v>
                </c:pt>
                <c:pt idx="31">
                  <c:v>198.4100037</c:v>
                </c:pt>
                <c:pt idx="32">
                  <c:v>219.16099550000001</c:v>
                </c:pt>
                <c:pt idx="33">
                  <c:v>272.81298829999997</c:v>
                </c:pt>
                <c:pt idx="34">
                  <c:v>280.90399170000001</c:v>
                </c:pt>
                <c:pt idx="35">
                  <c:v>285.4909973</c:v>
                </c:pt>
                <c:pt idx="36">
                  <c:v>287.37100220000002</c:v>
                </c:pt>
                <c:pt idx="37">
                  <c:v>298.68200680000001</c:v>
                </c:pt>
                <c:pt idx="38">
                  <c:v>307.14999390000003</c:v>
                </c:pt>
                <c:pt idx="39">
                  <c:v>341.25</c:v>
                </c:pt>
                <c:pt idx="40">
                  <c:v>375.26501459999997</c:v>
                </c:pt>
                <c:pt idx="41">
                  <c:v>397.62100220000002</c:v>
                </c:pt>
                <c:pt idx="42">
                  <c:v>400.12701420000002</c:v>
                </c:pt>
                <c:pt idx="43">
                  <c:v>437.48300169999999</c:v>
                </c:pt>
                <c:pt idx="44">
                  <c:v>441.53900149999998</c:v>
                </c:pt>
                <c:pt idx="45">
                  <c:v>540.54199219999998</c:v>
                </c:pt>
                <c:pt idx="46">
                  <c:v>555.98797609999997</c:v>
                </c:pt>
                <c:pt idx="47">
                  <c:v>586.63397220000002</c:v>
                </c:pt>
                <c:pt idx="48">
                  <c:v>625.97601320000001</c:v>
                </c:pt>
                <c:pt idx="49">
                  <c:v>628.06201169999997</c:v>
                </c:pt>
                <c:pt idx="50">
                  <c:v>649.34198000000004</c:v>
                </c:pt>
                <c:pt idx="51">
                  <c:v>686.87799070000005</c:v>
                </c:pt>
                <c:pt idx="52">
                  <c:v>771.61199950000002</c:v>
                </c:pt>
                <c:pt idx="53">
                  <c:v>786.55902100000003</c:v>
                </c:pt>
                <c:pt idx="54">
                  <c:v>895.30798340000001</c:v>
                </c:pt>
                <c:pt idx="55">
                  <c:v>896.44396970000003</c:v>
                </c:pt>
                <c:pt idx="56">
                  <c:v>988.00201419999996</c:v>
                </c:pt>
                <c:pt idx="57">
                  <c:v>1160.1639399999999</c:v>
                </c:pt>
                <c:pt idx="58">
                  <c:v>1207.360962</c:v>
                </c:pt>
                <c:pt idx="59">
                  <c:v>1271.7669679999999</c:v>
                </c:pt>
                <c:pt idx="60">
                  <c:v>1318.4420170000001</c:v>
                </c:pt>
                <c:pt idx="61">
                  <c:v>1326.5389399999999</c:v>
                </c:pt>
                <c:pt idx="62">
                  <c:v>1399.490967</c:v>
                </c:pt>
                <c:pt idx="63">
                  <c:v>1701.5830080000001</c:v>
                </c:pt>
                <c:pt idx="64">
                  <c:v>1886.2020259999999</c:v>
                </c:pt>
                <c:pt idx="65">
                  <c:v>1967.998047</c:v>
                </c:pt>
                <c:pt idx="66">
                  <c:v>2078.931885</c:v>
                </c:pt>
                <c:pt idx="67">
                  <c:v>2083.3798830000001</c:v>
                </c:pt>
                <c:pt idx="68">
                  <c:v>2142.251953</c:v>
                </c:pt>
                <c:pt idx="69">
                  <c:v>2225.7280270000001</c:v>
                </c:pt>
                <c:pt idx="70">
                  <c:v>2351.625</c:v>
                </c:pt>
                <c:pt idx="71">
                  <c:v>2416.6640630000002</c:v>
                </c:pt>
                <c:pt idx="72">
                  <c:v>2540.9160160000001</c:v>
                </c:pt>
                <c:pt idx="73">
                  <c:v>2722.2910160000001</c:v>
                </c:pt>
                <c:pt idx="74">
                  <c:v>2860.8400879999999</c:v>
                </c:pt>
                <c:pt idx="75">
                  <c:v>2877.8000489999999</c:v>
                </c:pt>
                <c:pt idx="76">
                  <c:v>2881.0600589999999</c:v>
                </c:pt>
                <c:pt idx="77">
                  <c:v>2961.1608890000002</c:v>
                </c:pt>
                <c:pt idx="78">
                  <c:v>2963.2338869999999</c:v>
                </c:pt>
                <c:pt idx="79">
                  <c:v>3278.2919919999999</c:v>
                </c:pt>
                <c:pt idx="80">
                  <c:v>3280.8149410000001</c:v>
                </c:pt>
                <c:pt idx="81">
                  <c:v>3473.7270509999998</c:v>
                </c:pt>
                <c:pt idx="82">
                  <c:v>3989.1750489999999</c:v>
                </c:pt>
                <c:pt idx="83">
                  <c:v>4033.9628910000001</c:v>
                </c:pt>
                <c:pt idx="84">
                  <c:v>4105.2680659999996</c:v>
                </c:pt>
                <c:pt idx="85">
                  <c:v>4270.5629879999997</c:v>
                </c:pt>
                <c:pt idx="86">
                  <c:v>4314.7680659999996</c:v>
                </c:pt>
                <c:pt idx="87">
                  <c:v>4649.6601559999999</c:v>
                </c:pt>
                <c:pt idx="88">
                  <c:v>4822.2329099999997</c:v>
                </c:pt>
                <c:pt idx="89">
                  <c:v>4829.7641599999997</c:v>
                </c:pt>
                <c:pt idx="90">
                  <c:v>4937.7958980000003</c:v>
                </c:pt>
                <c:pt idx="91">
                  <c:v>5057.6767579999996</c:v>
                </c:pt>
                <c:pt idx="92">
                  <c:v>5094.1137699999999</c:v>
                </c:pt>
                <c:pt idx="93">
                  <c:v>5101.4160160000001</c:v>
                </c:pt>
                <c:pt idx="94">
                  <c:v>5106.6220700000003</c:v>
                </c:pt>
                <c:pt idx="95">
                  <c:v>5421.2421880000002</c:v>
                </c:pt>
                <c:pt idx="96">
                  <c:v>5459.6430659999996</c:v>
                </c:pt>
                <c:pt idx="97">
                  <c:v>5518.091797</c:v>
                </c:pt>
                <c:pt idx="98">
                  <c:v>5540.7177730000003</c:v>
                </c:pt>
                <c:pt idx="99">
                  <c:v>5792.203125</c:v>
                </c:pt>
                <c:pt idx="100">
                  <c:v>5850.3427730000003</c:v>
                </c:pt>
                <c:pt idx="101">
                  <c:v>6031.1870120000003</c:v>
                </c:pt>
                <c:pt idx="102">
                  <c:v>6486.201172</c:v>
                </c:pt>
                <c:pt idx="103">
                  <c:v>6524.1909180000002</c:v>
                </c:pt>
                <c:pt idx="104">
                  <c:v>6624.5541990000002</c:v>
                </c:pt>
                <c:pt idx="105">
                  <c:v>6825.4418949999999</c:v>
                </c:pt>
                <c:pt idx="106">
                  <c:v>6871.2871089999999</c:v>
                </c:pt>
                <c:pt idx="107">
                  <c:v>6948.4448240000002</c:v>
                </c:pt>
                <c:pt idx="108">
                  <c:v>7132.5297849999997</c:v>
                </c:pt>
                <c:pt idx="109">
                  <c:v>7275.5561520000001</c:v>
                </c:pt>
                <c:pt idx="110">
                  <c:v>7496.9877930000002</c:v>
                </c:pt>
                <c:pt idx="111">
                  <c:v>7976.9848629999997</c:v>
                </c:pt>
                <c:pt idx="112">
                  <c:v>8278.7373050000006</c:v>
                </c:pt>
                <c:pt idx="113">
                  <c:v>8654.6181639999995</c:v>
                </c:pt>
                <c:pt idx="114">
                  <c:v>8655.5410159999992</c:v>
                </c:pt>
                <c:pt idx="115">
                  <c:v>8737.3701170000004</c:v>
                </c:pt>
                <c:pt idx="116">
                  <c:v>8947.0273440000001</c:v>
                </c:pt>
                <c:pt idx="117">
                  <c:v>9006.4003909999992</c:v>
                </c:pt>
                <c:pt idx="118">
                  <c:v>9449.3212889999995</c:v>
                </c:pt>
                <c:pt idx="119">
                  <c:v>9537.6416019999997</c:v>
                </c:pt>
                <c:pt idx="120">
                  <c:v>9660.3496090000008</c:v>
                </c:pt>
                <c:pt idx="121">
                  <c:v>9890.4003909999992</c:v>
                </c:pt>
                <c:pt idx="122">
                  <c:v>9904.6083980000003</c:v>
                </c:pt>
                <c:pt idx="123">
                  <c:v>10099.26953</c:v>
                </c:pt>
                <c:pt idx="124">
                  <c:v>10139.174800000001</c:v>
                </c:pt>
                <c:pt idx="125">
                  <c:v>10196.70703</c:v>
                </c:pt>
                <c:pt idx="126">
                  <c:v>10203.139649999999</c:v>
                </c:pt>
                <c:pt idx="127">
                  <c:v>10423.05566</c:v>
                </c:pt>
                <c:pt idx="128">
                  <c:v>10708.98242</c:v>
                </c:pt>
                <c:pt idx="129">
                  <c:v>10847.9043</c:v>
                </c:pt>
                <c:pt idx="130">
                  <c:v>11193.728520000001</c:v>
                </c:pt>
                <c:pt idx="131">
                  <c:v>11326.61621</c:v>
                </c:pt>
                <c:pt idx="132">
                  <c:v>11402.5332</c:v>
                </c:pt>
                <c:pt idx="133">
                  <c:v>11589.61621</c:v>
                </c:pt>
                <c:pt idx="134">
                  <c:v>11673.0293</c:v>
                </c:pt>
                <c:pt idx="135">
                  <c:v>11818.61816</c:v>
                </c:pt>
                <c:pt idx="136">
                  <c:v>11890.78125</c:v>
                </c:pt>
                <c:pt idx="137">
                  <c:v>12123.19824</c:v>
                </c:pt>
                <c:pt idx="138">
                  <c:v>12952.208979999999</c:v>
                </c:pt>
                <c:pt idx="139">
                  <c:v>13132.79199</c:v>
                </c:pt>
                <c:pt idx="140">
                  <c:v>14862.92676</c:v>
                </c:pt>
                <c:pt idx="141">
                  <c:v>15893.21875</c:v>
                </c:pt>
                <c:pt idx="142">
                  <c:v>16425.859380000002</c:v>
                </c:pt>
                <c:pt idx="143">
                  <c:v>16718.970700000002</c:v>
                </c:pt>
                <c:pt idx="144">
                  <c:v>16743.929690000001</c:v>
                </c:pt>
                <c:pt idx="145">
                  <c:v>17134.873049999998</c:v>
                </c:pt>
                <c:pt idx="146">
                  <c:v>17500.65625</c:v>
                </c:pt>
                <c:pt idx="147">
                  <c:v>17643.060549999998</c:v>
                </c:pt>
                <c:pt idx="148">
                  <c:v>17915.566409999999</c:v>
                </c:pt>
                <c:pt idx="149">
                  <c:v>18383.95508</c:v>
                </c:pt>
                <c:pt idx="150">
                  <c:v>18776.707030000001</c:v>
                </c:pt>
                <c:pt idx="151">
                  <c:v>19116.208979999999</c:v>
                </c:pt>
                <c:pt idx="152">
                  <c:v>19129.95508</c:v>
                </c:pt>
                <c:pt idx="153">
                  <c:v>19237.681639999999</c:v>
                </c:pt>
                <c:pt idx="154">
                  <c:v>20250.833979999999</c:v>
                </c:pt>
                <c:pt idx="155">
                  <c:v>20903.277340000001</c:v>
                </c:pt>
                <c:pt idx="156">
                  <c:v>21413.25</c:v>
                </c:pt>
                <c:pt idx="157">
                  <c:v>24206.636719999999</c:v>
                </c:pt>
                <c:pt idx="158">
                  <c:v>25499.880860000001</c:v>
                </c:pt>
                <c:pt idx="159">
                  <c:v>25778.814450000002</c:v>
                </c:pt>
                <c:pt idx="160">
                  <c:v>26378.275389999999</c:v>
                </c:pt>
                <c:pt idx="161">
                  <c:v>26545.863280000001</c:v>
                </c:pt>
                <c:pt idx="162">
                  <c:v>27691.019530000001</c:v>
                </c:pt>
                <c:pt idx="163">
                  <c:v>28435.943360000001</c:v>
                </c:pt>
                <c:pt idx="164">
                  <c:v>29136.808590000001</c:v>
                </c:pt>
                <c:pt idx="165">
                  <c:v>29825.96875</c:v>
                </c:pt>
                <c:pt idx="166">
                  <c:v>31072.945309999999</c:v>
                </c:pt>
                <c:pt idx="167">
                  <c:v>31255.435549999998</c:v>
                </c:pt>
                <c:pt idx="168">
                  <c:v>32365.998049999998</c:v>
                </c:pt>
                <c:pt idx="169">
                  <c:v>32866.269529999998</c:v>
                </c:pt>
                <c:pt idx="170">
                  <c:v>32971.847659999999</c:v>
                </c:pt>
                <c:pt idx="171">
                  <c:v>33469.199220000002</c:v>
                </c:pt>
                <c:pt idx="172">
                  <c:v>34813.867189999997</c:v>
                </c:pt>
                <c:pt idx="173">
                  <c:v>36910.558590000001</c:v>
                </c:pt>
                <c:pt idx="174">
                  <c:v>37742.15625</c:v>
                </c:pt>
                <c:pt idx="175">
                  <c:v>37846.605470000002</c:v>
                </c:pt>
                <c:pt idx="176">
                  <c:v>38928.339840000001</c:v>
                </c:pt>
                <c:pt idx="177">
                  <c:v>40222.503909999999</c:v>
                </c:pt>
                <c:pt idx="178">
                  <c:v>43733.757810000003</c:v>
                </c:pt>
                <c:pt idx="179">
                  <c:v>43849.269529999998</c:v>
                </c:pt>
                <c:pt idx="180">
                  <c:v>43851.042970000002</c:v>
                </c:pt>
                <c:pt idx="181">
                  <c:v>45195.777340000001</c:v>
                </c:pt>
                <c:pt idx="182">
                  <c:v>45741</c:v>
                </c:pt>
                <c:pt idx="183">
                  <c:v>46754.78125</c:v>
                </c:pt>
                <c:pt idx="184">
                  <c:v>50882.882810000003</c:v>
                </c:pt>
                <c:pt idx="185">
                  <c:v>51269.183590000001</c:v>
                </c:pt>
                <c:pt idx="186">
                  <c:v>53771.300779999998</c:v>
                </c:pt>
                <c:pt idx="187">
                  <c:v>54409.792970000002</c:v>
                </c:pt>
                <c:pt idx="188">
                  <c:v>59308.691409999999</c:v>
                </c:pt>
                <c:pt idx="189">
                  <c:v>59734.214840000001</c:v>
                </c:pt>
                <c:pt idx="190">
                  <c:v>60461.828130000002</c:v>
                </c:pt>
                <c:pt idx="191">
                  <c:v>65273.511720000002</c:v>
                </c:pt>
                <c:pt idx="192">
                  <c:v>67886.007809999996</c:v>
                </c:pt>
                <c:pt idx="193">
                  <c:v>69799.976559999996</c:v>
                </c:pt>
                <c:pt idx="194">
                  <c:v>83783.945309999996</c:v>
                </c:pt>
                <c:pt idx="195">
                  <c:v>83992.953129999994</c:v>
                </c:pt>
                <c:pt idx="196">
                  <c:v>84339.070309999996</c:v>
                </c:pt>
                <c:pt idx="197">
                  <c:v>89561.40625</c:v>
                </c:pt>
                <c:pt idx="198">
                  <c:v>97338.585940000004</c:v>
                </c:pt>
                <c:pt idx="199">
                  <c:v>102334.4063</c:v>
                </c:pt>
                <c:pt idx="200">
                  <c:v>109581.08590000001</c:v>
                </c:pt>
                <c:pt idx="201">
                  <c:v>114963.58590000001</c:v>
                </c:pt>
                <c:pt idx="202">
                  <c:v>126476.46090000001</c:v>
                </c:pt>
                <c:pt idx="203">
                  <c:v>128932.75</c:v>
                </c:pt>
                <c:pt idx="204">
                  <c:v>145934.45310000001</c:v>
                </c:pt>
                <c:pt idx="205">
                  <c:v>164689.39060000001</c:v>
                </c:pt>
                <c:pt idx="206">
                  <c:v>206139.5938</c:v>
                </c:pt>
                <c:pt idx="207">
                  <c:v>212559.4063</c:v>
                </c:pt>
                <c:pt idx="208">
                  <c:v>220892.32810000001</c:v>
                </c:pt>
                <c:pt idx="209">
                  <c:v>273523.625</c:v>
                </c:pt>
                <c:pt idx="210">
                  <c:v>331002.65629999997</c:v>
                </c:pt>
                <c:pt idx="211">
                  <c:v>1380004.375</c:v>
                </c:pt>
                <c:pt idx="212">
                  <c:v>1463140.5</c:v>
                </c:pt>
                <c:pt idx="213">
                  <c:v>7786695.1077512307</c:v>
                </c:pt>
              </c:numCache>
            </c:numRef>
          </c:cat>
          <c:val>
            <c:numRef>
              <c:f>'Estimates on the use of water ('!$S$2:$S$1000</c:f>
              <c:numCache>
                <c:formatCode>General</c:formatCode>
                <c:ptCount val="999"/>
                <c:pt idx="0">
                  <c:v>100</c:v>
                </c:pt>
                <c:pt idx="1">
                  <c:v>53.797996519999998</c:v>
                </c:pt>
                <c:pt idx="2">
                  <c:v>21.492004390000005</c:v>
                </c:pt>
                <c:pt idx="3">
                  <c:v>90.885000228999999</c:v>
                </c:pt>
                <c:pt idx="4">
                  <c:v>10.03800201</c:v>
                </c:pt>
                <c:pt idx="5">
                  <c:v>59.917999270000003</c:v>
                </c:pt>
                <c:pt idx="6">
                  <c:v>0</c:v>
                </c:pt>
                <c:pt idx="7">
                  <c:v>0</c:v>
                </c:pt>
                <c:pt idx="8">
                  <c:v>100</c:v>
                </c:pt>
                <c:pt idx="9">
                  <c:v>35.986000059999995</c:v>
                </c:pt>
                <c:pt idx="10">
                  <c:v>24.504997250000002</c:v>
                </c:pt>
                <c:pt idx="11">
                  <c:v>19.012001040000001</c:v>
                </c:pt>
                <c:pt idx="12">
                  <c:v>51.48500061</c:v>
                </c:pt>
                <c:pt idx="13">
                  <c:v>0</c:v>
                </c:pt>
                <c:pt idx="14">
                  <c:v>2.5009994499999948</c:v>
                </c:pt>
                <c:pt idx="15">
                  <c:v>85.583999629999994</c:v>
                </c:pt>
                <c:pt idx="16">
                  <c:v>0</c:v>
                </c:pt>
                <c:pt idx="17">
                  <c:v>0</c:v>
                </c:pt>
                <c:pt idx="18">
                  <c:v>57.602001190000003</c:v>
                </c:pt>
                <c:pt idx="19">
                  <c:v>12.847000120000004</c:v>
                </c:pt>
                <c:pt idx="20">
                  <c:v>12.717994689999998</c:v>
                </c:pt>
                <c:pt idx="21">
                  <c:v>8.2020034800000019</c:v>
                </c:pt>
                <c:pt idx="22">
                  <c:v>22.206008909999994</c:v>
                </c:pt>
                <c:pt idx="23">
                  <c:v>0</c:v>
                </c:pt>
                <c:pt idx="24">
                  <c:v>12.083999629999994</c:v>
                </c:pt>
                <c:pt idx="25">
                  <c:v>47.10199738</c:v>
                </c:pt>
                <c:pt idx="26">
                  <c:v>4.0609970099999941</c:v>
                </c:pt>
                <c:pt idx="27">
                  <c:v>76.901000979999992</c:v>
                </c:pt>
                <c:pt idx="28">
                  <c:v>44.406002039999997</c:v>
                </c:pt>
                <c:pt idx="29">
                  <c:v>5.0619964600000031</c:v>
                </c:pt>
                <c:pt idx="30">
                  <c:v>81.159000399999996</c:v>
                </c:pt>
                <c:pt idx="31">
                  <c:v>82.111000059999995</c:v>
                </c:pt>
                <c:pt idx="32">
                  <c:v>25.645996089999997</c:v>
                </c:pt>
                <c:pt idx="33">
                  <c:v>54.249000549999998</c:v>
                </c:pt>
                <c:pt idx="34">
                  <c:v>38.024997710000001</c:v>
                </c:pt>
                <c:pt idx="35">
                  <c:v>28.482002260000002</c:v>
                </c:pt>
                <c:pt idx="36">
                  <c:v>68.809000019999999</c:v>
                </c:pt>
                <c:pt idx="37">
                  <c:v>14.180000309999997</c:v>
                </c:pt>
                <c:pt idx="38">
                  <c:v>74.474998470000003</c:v>
                </c:pt>
                <c:pt idx="39">
                  <c:v>6.1020050000000055</c:v>
                </c:pt>
                <c:pt idx="40">
                  <c:v>10.86000061</c:v>
                </c:pt>
                <c:pt idx="41">
                  <c:v>53.974998470000003</c:v>
                </c:pt>
                <c:pt idx="42">
                  <c:v>1.5010070799999937</c:v>
                </c:pt>
                <c:pt idx="43">
                  <c:v>21.749992370000001</c:v>
                </c:pt>
                <c:pt idx="44">
                  <c:v>5.2559966999999972</c:v>
                </c:pt>
                <c:pt idx="45">
                  <c:v>59.331001280000002</c:v>
                </c:pt>
                <c:pt idx="46">
                  <c:v>33.347999569999999</c:v>
                </c:pt>
                <c:pt idx="47">
                  <c:v>33.850997919999998</c:v>
                </c:pt>
                <c:pt idx="48">
                  <c:v>8.5470047000000022</c:v>
                </c:pt>
                <c:pt idx="49">
                  <c:v>32.511993410000002</c:v>
                </c:pt>
                <c:pt idx="50">
                  <c:v>0</c:v>
                </c:pt>
                <c:pt idx="51">
                  <c:v>75.329999920000006</c:v>
                </c:pt>
                <c:pt idx="52">
                  <c:v>57.68400192</c:v>
                </c:pt>
                <c:pt idx="53">
                  <c:v>73.2140007</c:v>
                </c:pt>
                <c:pt idx="54">
                  <c:v>0.3409957899999938</c:v>
                </c:pt>
                <c:pt idx="55">
                  <c:v>42.752994540000003</c:v>
                </c:pt>
                <c:pt idx="56">
                  <c:v>21.938003539999997</c:v>
                </c:pt>
                <c:pt idx="57">
                  <c:v>75.828998569999996</c:v>
                </c:pt>
                <c:pt idx="58">
                  <c:v>33.179000849999994</c:v>
                </c:pt>
                <c:pt idx="59">
                  <c:v>59.240001679999999</c:v>
                </c:pt>
                <c:pt idx="60">
                  <c:v>68.680000309999997</c:v>
                </c:pt>
                <c:pt idx="61">
                  <c:v>30.770996089999997</c:v>
                </c:pt>
                <c:pt idx="62">
                  <c:v>46.7859993</c:v>
                </c:pt>
                <c:pt idx="63">
                  <c:v>10.493995670000004</c:v>
                </c:pt>
                <c:pt idx="64">
                  <c:v>31.684997559999999</c:v>
                </c:pt>
                <c:pt idx="65">
                  <c:v>55.804000850000001</c:v>
                </c:pt>
                <c:pt idx="66">
                  <c:v>44.881996149999999</c:v>
                </c:pt>
                <c:pt idx="67">
                  <c:v>41.518001560000002</c:v>
                </c:pt>
                <c:pt idx="68">
                  <c:v>70.972000120000004</c:v>
                </c:pt>
                <c:pt idx="69">
                  <c:v>9.9079971299999983</c:v>
                </c:pt>
                <c:pt idx="70">
                  <c:v>29.123001099999996</c:v>
                </c:pt>
                <c:pt idx="71">
                  <c:v>37.418003079999998</c:v>
                </c:pt>
                <c:pt idx="72">
                  <c:v>47.966999049999998</c:v>
                </c:pt>
                <c:pt idx="73">
                  <c:v>31.954002380000006</c:v>
                </c:pt>
                <c:pt idx="74">
                  <c:v>6.4189987200000047</c:v>
                </c:pt>
                <c:pt idx="75">
                  <c:v>37.888000490000003</c:v>
                </c:pt>
                <c:pt idx="76">
                  <c:v>0.76499938999999983</c:v>
                </c:pt>
                <c:pt idx="77">
                  <c:v>43.688999180000003</c:v>
                </c:pt>
                <c:pt idx="78">
                  <c:v>36.687000269999999</c:v>
                </c:pt>
                <c:pt idx="79">
                  <c:v>31.343002319999997</c:v>
                </c:pt>
                <c:pt idx="80">
                  <c:v>50.979999540000001</c:v>
                </c:pt>
                <c:pt idx="81">
                  <c:v>4.4850006100000002</c:v>
                </c:pt>
                <c:pt idx="82">
                  <c:v>40.547004700000002</c:v>
                </c:pt>
                <c:pt idx="83">
                  <c:v>57.150997160000003</c:v>
                </c:pt>
                <c:pt idx="84">
                  <c:v>42.447002410000003</c:v>
                </c:pt>
                <c:pt idx="85">
                  <c:v>0</c:v>
                </c:pt>
                <c:pt idx="86">
                  <c:v>31.585998540000006</c:v>
                </c:pt>
                <c:pt idx="87">
                  <c:v>44.673004149999997</c:v>
                </c:pt>
                <c:pt idx="88">
                  <c:v>13.301002499999996</c:v>
                </c:pt>
                <c:pt idx="89">
                  <c:v>57.802001949999998</c:v>
                </c:pt>
                <c:pt idx="90">
                  <c:v>36.347000119999997</c:v>
                </c:pt>
                <c:pt idx="91">
                  <c:v>47.911003110000003</c:v>
                </c:pt>
                <c:pt idx="92">
                  <c:v>19.229003910000003</c:v>
                </c:pt>
                <c:pt idx="93">
                  <c:v>23.281005859999993</c:v>
                </c:pt>
                <c:pt idx="94">
                  <c:v>13.724006650000007</c:v>
                </c:pt>
                <c:pt idx="95">
                  <c:v>17.026008610000005</c:v>
                </c:pt>
                <c:pt idx="96">
                  <c:v>46.240001679999999</c:v>
                </c:pt>
                <c:pt idx="97">
                  <c:v>32.170997619999994</c:v>
                </c:pt>
                <c:pt idx="98">
                  <c:v>14.482994079999997</c:v>
                </c:pt>
                <c:pt idx="99">
                  <c:v>11.883995060000004</c:v>
                </c:pt>
                <c:pt idx="100">
                  <c:v>0</c:v>
                </c:pt>
                <c:pt idx="101">
                  <c:v>47.483997340000002</c:v>
                </c:pt>
                <c:pt idx="102">
                  <c:v>26.555999760000006</c:v>
                </c:pt>
                <c:pt idx="103">
                  <c:v>63.144001009999997</c:v>
                </c:pt>
                <c:pt idx="104">
                  <c:v>40.987998959999999</c:v>
                </c:pt>
                <c:pt idx="105">
                  <c:v>11.075004579999998</c:v>
                </c:pt>
                <c:pt idx="106">
                  <c:v>19.308998110000005</c:v>
                </c:pt>
                <c:pt idx="107">
                  <c:v>24.314002990000006</c:v>
                </c:pt>
                <c:pt idx="108">
                  <c:v>37.817005160000001</c:v>
                </c:pt>
                <c:pt idx="109">
                  <c:v>63.709999080000003</c:v>
                </c:pt>
                <c:pt idx="110">
                  <c:v>0</c:v>
                </c:pt>
                <c:pt idx="111">
                  <c:v>57.076999659999998</c:v>
                </c:pt>
                <c:pt idx="112">
                  <c:v>57.200000760000002</c:v>
                </c:pt>
                <c:pt idx="113">
                  <c:v>26.084999080000003</c:v>
                </c:pt>
                <c:pt idx="114">
                  <c:v>7.4130020099999996</c:v>
                </c:pt>
                <c:pt idx="115">
                  <c:v>43.554000850000001</c:v>
                </c:pt>
                <c:pt idx="116">
                  <c:v>86.65499973</c:v>
                </c:pt>
                <c:pt idx="117">
                  <c:v>41.251998899999997</c:v>
                </c:pt>
                <c:pt idx="118">
                  <c:v>20.516998290000004</c:v>
                </c:pt>
                <c:pt idx="119">
                  <c:v>72.494001389999994</c:v>
                </c:pt>
                <c:pt idx="120">
                  <c:v>28.057998659999996</c:v>
                </c:pt>
                <c:pt idx="121">
                  <c:v>12.952003480000002</c:v>
                </c:pt>
                <c:pt idx="122">
                  <c:v>41.641002659999998</c:v>
                </c:pt>
                <c:pt idx="123">
                  <c:v>12.02300262</c:v>
                </c:pt>
                <c:pt idx="124">
                  <c:v>43.602996830000002</c:v>
                </c:pt>
                <c:pt idx="125">
                  <c:v>33.690002440000001</c:v>
                </c:pt>
                <c:pt idx="126">
                  <c:v>8.5820007300000043</c:v>
                </c:pt>
                <c:pt idx="127">
                  <c:v>20.284996030000002</c:v>
                </c:pt>
                <c:pt idx="128">
                  <c:v>25.938995360000007</c:v>
                </c:pt>
                <c:pt idx="129">
                  <c:v>17.459999080000003</c:v>
                </c:pt>
                <c:pt idx="130">
                  <c:v>79.801000599999995</c:v>
                </c:pt>
                <c:pt idx="131">
                  <c:v>22.805999760000006</c:v>
                </c:pt>
                <c:pt idx="132">
                  <c:v>42.912002559999998</c:v>
                </c:pt>
                <c:pt idx="133">
                  <c:v>1.9210052499999932</c:v>
                </c:pt>
                <c:pt idx="134">
                  <c:v>29.876998900000004</c:v>
                </c:pt>
                <c:pt idx="135">
                  <c:v>30.431999210000001</c:v>
                </c:pt>
                <c:pt idx="136">
                  <c:v>86.291999820000001</c:v>
                </c:pt>
                <c:pt idx="137">
                  <c:v>51.585002899999999</c:v>
                </c:pt>
                <c:pt idx="138">
                  <c:v>82.567998889999998</c:v>
                </c:pt>
                <c:pt idx="139">
                  <c:v>63.125</c:v>
                </c:pt>
                <c:pt idx="140">
                  <c:v>67.757999420000004</c:v>
                </c:pt>
                <c:pt idx="141">
                  <c:v>53.859001159999998</c:v>
                </c:pt>
                <c:pt idx="142">
                  <c:v>76.479999539999994</c:v>
                </c:pt>
                <c:pt idx="143">
                  <c:v>75.767999650000007</c:v>
                </c:pt>
                <c:pt idx="144">
                  <c:v>51.877998349999999</c:v>
                </c:pt>
                <c:pt idx="145">
                  <c:v>7.763999940000005</c:v>
                </c:pt>
                <c:pt idx="146">
                  <c:v>44.524997710000001</c:v>
                </c:pt>
                <c:pt idx="147">
                  <c:v>35.833999629999994</c:v>
                </c:pt>
                <c:pt idx="148">
                  <c:v>48.164001460000001</c:v>
                </c:pt>
                <c:pt idx="149">
                  <c:v>55.3710022</c:v>
                </c:pt>
                <c:pt idx="150">
                  <c:v>42.328998570000003</c:v>
                </c:pt>
                <c:pt idx="151">
                  <c:v>12.27300262</c:v>
                </c:pt>
                <c:pt idx="152">
                  <c:v>82.572999949999996</c:v>
                </c:pt>
                <c:pt idx="153">
                  <c:v>45.805999759999999</c:v>
                </c:pt>
                <c:pt idx="154">
                  <c:v>56.090995790000001</c:v>
                </c:pt>
                <c:pt idx="155">
                  <c:v>69.392999650000007</c:v>
                </c:pt>
                <c:pt idx="156">
                  <c:v>81.287000660000004</c:v>
                </c:pt>
                <c:pt idx="157">
                  <c:v>83.374000550000005</c:v>
                </c:pt>
                <c:pt idx="158">
                  <c:v>13.759002690000003</c:v>
                </c:pt>
                <c:pt idx="159">
                  <c:v>37.618999479999999</c:v>
                </c:pt>
                <c:pt idx="160">
                  <c:v>48.29400253</c:v>
                </c:pt>
                <c:pt idx="161">
                  <c:v>42.439994810000002</c:v>
                </c:pt>
                <c:pt idx="162">
                  <c:v>61.465999600000004</c:v>
                </c:pt>
                <c:pt idx="163">
                  <c:v>11.721000669999995</c:v>
                </c:pt>
                <c:pt idx="164">
                  <c:v>79.423999789999996</c:v>
                </c:pt>
                <c:pt idx="165">
                  <c:v>62.092002870000002</c:v>
                </c:pt>
                <c:pt idx="166">
                  <c:v>42.651000979999999</c:v>
                </c:pt>
                <c:pt idx="167">
                  <c:v>62.926002500000003</c:v>
                </c:pt>
                <c:pt idx="168">
                  <c:v>22.840003969999998</c:v>
                </c:pt>
                <c:pt idx="169">
                  <c:v>33.175003050000001</c:v>
                </c:pt>
                <c:pt idx="170">
                  <c:v>21.702995299999998</c:v>
                </c:pt>
                <c:pt idx="171">
                  <c:v>49.584003449999997</c:v>
                </c:pt>
                <c:pt idx="172">
                  <c:v>15.712997439999995</c:v>
                </c:pt>
                <c:pt idx="173">
                  <c:v>36.468002319999997</c:v>
                </c:pt>
                <c:pt idx="174">
                  <c:v>18.437995909999998</c:v>
                </c:pt>
                <c:pt idx="175">
                  <c:v>39.956996920000002</c:v>
                </c:pt>
                <c:pt idx="176">
                  <c:v>73.974000930000003</c:v>
                </c:pt>
                <c:pt idx="177">
                  <c:v>29.107002260000002</c:v>
                </c:pt>
                <c:pt idx="178">
                  <c:v>30.391998290000004</c:v>
                </c:pt>
                <c:pt idx="179">
                  <c:v>64.747001650000001</c:v>
                </c:pt>
                <c:pt idx="180">
                  <c:v>26.266998290000004</c:v>
                </c:pt>
                <c:pt idx="181">
                  <c:v>7.888999940000005</c:v>
                </c:pt>
                <c:pt idx="182">
                  <c:v>75.045999530000003</c:v>
                </c:pt>
                <c:pt idx="183">
                  <c:v>19.190002440000001</c:v>
                </c:pt>
                <c:pt idx="184">
                  <c:v>18.575004579999998</c:v>
                </c:pt>
                <c:pt idx="185">
                  <c:v>18.585998540000006</c:v>
                </c:pt>
                <c:pt idx="186">
                  <c:v>72.005001069999992</c:v>
                </c:pt>
                <c:pt idx="187">
                  <c:v>68.858999249999997</c:v>
                </c:pt>
                <c:pt idx="188">
                  <c:v>32.645996089999997</c:v>
                </c:pt>
                <c:pt idx="189">
                  <c:v>64.77299880999999</c:v>
                </c:pt>
                <c:pt idx="190">
                  <c:v>28.961006159999997</c:v>
                </c:pt>
                <c:pt idx="191">
                  <c:v>19.025001529999997</c:v>
                </c:pt>
                <c:pt idx="192">
                  <c:v>16.097000120000004</c:v>
                </c:pt>
                <c:pt idx="193">
                  <c:v>48.569999690000003</c:v>
                </c:pt>
                <c:pt idx="194">
                  <c:v>22.546997070000003</c:v>
                </c:pt>
                <c:pt idx="195">
                  <c:v>24.125999449999995</c:v>
                </c:pt>
                <c:pt idx="196">
                  <c:v>23.894996640000002</c:v>
                </c:pt>
                <c:pt idx="197">
                  <c:v>54.361999509999997</c:v>
                </c:pt>
                <c:pt idx="198">
                  <c:v>62.659999849999998</c:v>
                </c:pt>
                <c:pt idx="199">
                  <c:v>57.216999049999998</c:v>
                </c:pt>
                <c:pt idx="200">
                  <c:v>52.592002870000002</c:v>
                </c:pt>
                <c:pt idx="201">
                  <c:v>78.305000309999997</c:v>
                </c:pt>
                <c:pt idx="202">
                  <c:v>8.2180023199999965</c:v>
                </c:pt>
                <c:pt idx="203">
                  <c:v>19.269004820000006</c:v>
                </c:pt>
                <c:pt idx="204">
                  <c:v>25.245994569999993</c:v>
                </c:pt>
                <c:pt idx="205">
                  <c:v>61.822998050000002</c:v>
                </c:pt>
                <c:pt idx="206">
                  <c:v>48.041999820000001</c:v>
                </c:pt>
                <c:pt idx="207">
                  <c:v>12.927001950000005</c:v>
                </c:pt>
                <c:pt idx="208">
                  <c:v>62.834999080000003</c:v>
                </c:pt>
                <c:pt idx="209">
                  <c:v>43.359001159999998</c:v>
                </c:pt>
                <c:pt idx="210">
                  <c:v>17.335998540000006</c:v>
                </c:pt>
                <c:pt idx="211">
                  <c:v>65.07399749999999</c:v>
                </c:pt>
                <c:pt idx="212">
                  <c:v>38.286911009999997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61-4AA4-A715-36982D7A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197526"/>
        <c:axId val="2051002514"/>
      </c:lineChart>
      <c:catAx>
        <c:axId val="1464197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National population size(thousands)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1002514"/>
        <c:crosses val="autoZero"/>
        <c:auto val="1"/>
        <c:lblAlgn val="ctr"/>
        <c:lblOffset val="100"/>
        <c:noMultiLvlLbl val="1"/>
      </c:catAx>
      <c:valAx>
        <c:axId val="2051002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Population share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41975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8</xdr:row>
      <xdr:rowOff>190500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790575</xdr:colOff>
      <xdr:row>9</xdr:row>
      <xdr:rowOff>142875</xdr:rowOff>
    </xdr:from>
    <xdr:ext cx="5715000" cy="3533775"/>
    <xdr:pic>
      <xdr:nvPicPr>
        <xdr:cNvPr id="861643093" name="Chart2" title="Chart">
          <a:extLst>
            <a:ext uri="{FF2B5EF4-FFF2-40B4-BE49-F238E27FC236}">
              <a16:creationId xmlns:a16="http://schemas.microsoft.com/office/drawing/2014/main" id="{00000000-0008-0000-0400-000055A15B3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6350" y="0"/>
    <xdr:ext cx="8610600" cy="6276975"/>
    <xdr:pic>
      <xdr:nvPicPr>
        <xdr:cNvPr id="1571129062" name="Chart3" title="Chart">
          <a:extLst>
            <a:ext uri="{FF2B5EF4-FFF2-40B4-BE49-F238E27FC236}">
              <a16:creationId xmlns:a16="http://schemas.microsoft.com/office/drawing/2014/main" id="{00000000-0008-0000-0800-0000E686A55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0" y="0"/>
          <a:ext cx="8610600" cy="6276975"/>
        </a:xfrm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pic>
      <xdr:nvPicPr>
        <xdr:cNvPr id="693854120" name="Chart4" title="Chart">
          <a:extLst>
            <a:ext uri="{FF2B5EF4-FFF2-40B4-BE49-F238E27FC236}">
              <a16:creationId xmlns:a16="http://schemas.microsoft.com/office/drawing/2014/main" id="{00000000-0008-0000-0900-0000A85F5B2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pic>
      <xdr:nvPicPr>
        <xdr:cNvPr id="976285256" name="Chart5" title="Chart">
          <a:extLst>
            <a:ext uri="{FF2B5EF4-FFF2-40B4-BE49-F238E27FC236}">
              <a16:creationId xmlns:a16="http://schemas.microsoft.com/office/drawing/2014/main" id="{00000000-0008-0000-0A00-000048EE303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pic>
      <xdr:nvPicPr>
        <xdr:cNvPr id="1201857815" name="Chart6" title="Chart">
          <a:extLst>
            <a:ext uri="{FF2B5EF4-FFF2-40B4-BE49-F238E27FC236}">
              <a16:creationId xmlns:a16="http://schemas.microsoft.com/office/drawing/2014/main" id="{00000000-0008-0000-0B00-000017E5A24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pic>
      <xdr:nvPicPr>
        <xdr:cNvPr id="1967081962" name="Chart10" title="Chart">
          <a:extLst>
            <a:ext uri="{FF2B5EF4-FFF2-40B4-BE49-F238E27FC236}">
              <a16:creationId xmlns:a16="http://schemas.microsoft.com/office/drawing/2014/main" id="{00000000-0008-0000-0E00-0000EA493F7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omePC" refreshedDate="46309.729237500003" refreshedVersion="8" recordCount="213" xr:uid="{00000000-000A-0000-FFFF-FFFF01000000}">
  <cacheSource type="worksheet">
    <worksheetSource ref="A1:W214" sheet="Estimates on the use of water ("/>
  </cacheSource>
  <cacheFields count="23">
    <cacheField name="Name" numFmtId="0">
      <sharedItems/>
    </cacheField>
    <cacheField name="income_group" numFmtId="0">
      <sharedItems count="5">
        <s v="NAN"/>
        <s v="High income"/>
        <s v="Upper middle income"/>
        <s v="Lower middle income"/>
        <s v="Low income"/>
      </sharedItems>
    </cacheField>
    <cacheField name="pop_n" numFmtId="0">
      <sharedItems containsSemiMixedTypes="0" containsString="0" containsNumber="1" minValue="1.3500000240000001" maxValue="1463140.5"/>
    </cacheField>
    <cacheField name="pop_u" numFmtId="0">
      <sharedItems containsSemiMixedTypes="0" containsString="0" containsNumber="1" minValue="0" maxValue="100"/>
    </cacheField>
    <cacheField name="wat_bas_n" numFmtId="0">
      <sharedItems containsMixedTypes="1" containsNumber="1" minValue="37.202402050000003" maxValue="100.00000369999999"/>
    </cacheField>
    <cacheField name="wat_lim_n" numFmtId="0">
      <sharedItems containsMixedTypes="1" containsNumber="1" minValue="0" maxValue="37.426962869999997"/>
    </cacheField>
    <cacheField name="wat_unimp_n" numFmtId="0">
      <sharedItems containsMixedTypes="1" containsNumber="1" minValue="0" maxValue="33.53911377"/>
    </cacheField>
    <cacheField name="wat_sur_n" numFmtId="0">
      <sharedItems containsMixedTypes="1" containsNumber="1" minValue="0" maxValue="30.369793080000001"/>
    </cacheField>
    <cacheField name="wat_bas_r" numFmtId="0">
      <sharedItems containsMixedTypes="1" containsNumber="1" minValue="21.98279234" maxValue="100"/>
    </cacheField>
    <cacheField name="wat_lim_r" numFmtId="0">
      <sharedItems containsMixedTypes="1" containsNumber="1" minValue="0" maxValue="42.164380680000001"/>
    </cacheField>
    <cacheField name="wat_unimp_r" numFmtId="0">
      <sharedItems containsMixedTypes="1" containsNumber="1" minValue="0" maxValue="51.215981669999998"/>
    </cacheField>
    <cacheField name="wat_sur_r" numFmtId="0">
      <sharedItems containsMixedTypes="1" containsNumber="1" minValue="0" maxValue="40.518132420000001"/>
    </cacheField>
    <cacheField name="wat_bas_u" numFmtId="0">
      <sharedItems containsMixedTypes="1" containsNumber="1" minValue="49.661664950000002" maxValue="100"/>
    </cacheField>
    <cacheField name="wat_lim_u" numFmtId="0">
      <sharedItems containsMixedTypes="1" containsNumber="1" minValue="0" maxValue="34.279780090000003"/>
    </cacheField>
    <cacheField name="wat_unimp_u" numFmtId="0">
      <sharedItems containsMixedTypes="1" containsNumber="1" minValue="0" maxValue="19.835806810000001"/>
    </cacheField>
    <cacheField name="wat_sur_u" numFmtId="0">
      <sharedItems containsMixedTypes="1" containsNumber="1" minValue="0" maxValue="6.3621605319999999"/>
    </cacheField>
    <cacheField name="Value_Nt" numFmtId="0">
      <sharedItems containsSemiMixedTypes="0" containsString="0" containsNumber="1" containsInteger="1" minValue="16" maxValue="16"/>
    </cacheField>
    <cacheField name="pop_u_val" numFmtId="0">
      <sharedItems containsSemiMixedTypes="0" containsString="0" containsNumber="1" minValue="0" maxValue="902949.19881373097"/>
    </cacheField>
    <cacheField name="pop_r" numFmtId="0">
      <sharedItems containsSemiMixedTypes="0" containsString="0" containsNumber="1" minValue="0" maxValue="100"/>
    </cacheField>
    <cacheField name="pop_u(m)" numFmtId="0">
      <sharedItems containsSemiMixedTypes="0" containsString="0" containsNumber="1" containsInteger="1" minValue="1" maxValue="1464"/>
    </cacheField>
    <cacheField name="wat_bas_n(rounded)" numFmtId="0">
      <sharedItems containsMixedTypes="1" containsNumber="1" minValue="37.202402050000003" maxValue="100"/>
    </cacheField>
    <cacheField name="pop_u(rounded)" numFmtId="0">
      <sharedItems containsSemiMixedTypes="0" containsString="0" containsNumber="1" containsInteger="1" minValue="0" maxValue="100"/>
    </cacheField>
    <cacheField name="pop_r(rounded)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omePC" refreshedDate="46309.729240393521" refreshedVersion="8" recordCount="213" xr:uid="{00000000-000A-0000-FFFF-FFFF00000000}">
  <cacheSource type="worksheet">
    <worksheetSource ref="A1:W214" sheet="Filter space"/>
  </cacheSource>
  <cacheFields count="23">
    <cacheField name="name" numFmtId="0">
      <sharedItems/>
    </cacheField>
    <cacheField name="income_group" numFmtId="0">
      <sharedItems containsSemiMixedTypes="0" containsString="0" containsNumber="1" containsInteger="1" minValue="0" maxValue="4" count="5">
        <n v="0"/>
        <n v="4"/>
        <n v="3"/>
        <n v="2"/>
        <n v="1"/>
      </sharedItems>
    </cacheField>
    <cacheField name="pop_n" numFmtId="0">
      <sharedItems containsSemiMixedTypes="0" containsString="0" containsNumber="1" minValue="1.3500000240000001" maxValue="1463140.5"/>
    </cacheField>
    <cacheField name="pop_u" numFmtId="0">
      <sharedItems containsSemiMixedTypes="0" containsString="0" containsNumber="1" minValue="0" maxValue="100"/>
    </cacheField>
    <cacheField name="wat_bas_n" numFmtId="0">
      <sharedItems containsMixedTypes="1" containsNumber="1" minValue="37.202402050000003" maxValue="100.00000369999999"/>
    </cacheField>
    <cacheField name="wat_lim_n" numFmtId="0">
      <sharedItems containsMixedTypes="1" containsNumber="1" minValue="0" maxValue="37.426962869999997"/>
    </cacheField>
    <cacheField name="wat_unimp_n" numFmtId="0">
      <sharedItems containsMixedTypes="1" containsNumber="1" minValue="0" maxValue="33.53911377"/>
    </cacheField>
    <cacheField name="wat_sur_n" numFmtId="0">
      <sharedItems containsMixedTypes="1" containsNumber="1" minValue="0" maxValue="30.369793080000001"/>
    </cacheField>
    <cacheField name="wat_bas_r" numFmtId="0">
      <sharedItems containsMixedTypes="1" containsNumber="1" minValue="21.98279234" maxValue="100"/>
    </cacheField>
    <cacheField name="wat_lim_r" numFmtId="0">
      <sharedItems containsMixedTypes="1" containsNumber="1" minValue="0" maxValue="42.164380680000001"/>
    </cacheField>
    <cacheField name="wat_unimp_r" numFmtId="0">
      <sharedItems containsMixedTypes="1" containsNumber="1" minValue="0" maxValue="51.215981669999998"/>
    </cacheField>
    <cacheField name="wat_sur_r" numFmtId="0">
      <sharedItems containsMixedTypes="1" containsNumber="1" minValue="0" maxValue="40.518132420000001"/>
    </cacheField>
    <cacheField name="wat_bas_u" numFmtId="0">
      <sharedItems containsMixedTypes="1" containsNumber="1" minValue="49.661664950000002" maxValue="100"/>
    </cacheField>
    <cacheField name="wat_lim_u" numFmtId="0">
      <sharedItems containsMixedTypes="1" containsNumber="1" minValue="0" maxValue="34.279780090000003"/>
    </cacheField>
    <cacheField name="wat_unimp_u" numFmtId="0">
      <sharedItems containsMixedTypes="1" containsNumber="1" minValue="0" maxValue="19.835806810000001"/>
    </cacheField>
    <cacheField name="wat_sur_u" numFmtId="0">
      <sharedItems containsMixedTypes="1" containsNumber="1" minValue="0" maxValue="6.3621605319999999"/>
    </cacheField>
    <cacheField name="Value_Nt" numFmtId="0">
      <sharedItems containsSemiMixedTypes="0" containsString="0" containsNumber="1" containsInteger="1" minValue="16" maxValue="16"/>
    </cacheField>
    <cacheField name="pop_u_val" numFmtId="0">
      <sharedItems containsSemiMixedTypes="0" containsString="0" containsNumber="1" minValue="0" maxValue="902949.19881373097"/>
    </cacheField>
    <cacheField name="pop_r" numFmtId="0">
      <sharedItems containsSemiMixedTypes="0" containsString="0" containsNumber="1" minValue="0" maxValue="100"/>
    </cacheField>
    <cacheField name="pop_u(m)" numFmtId="0">
      <sharedItems containsSemiMixedTypes="0" containsString="0" containsNumber="1" containsInteger="1" minValue="1" maxValue="1464"/>
    </cacheField>
    <cacheField name="wat_bas_n(rounded)" numFmtId="0">
      <sharedItems containsMixedTypes="1" containsNumber="1" minValue="37.202402050000003" maxValue="100"/>
    </cacheField>
    <cacheField name="pop_u(rounded)" numFmtId="0">
      <sharedItems containsSemiMixedTypes="0" containsString="0" containsNumber="1" containsInteger="1" minValue="0" maxValue="100"/>
    </cacheField>
    <cacheField name="pop_r(rounded)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Tokelau"/>
    <x v="0"/>
    <n v="1.3500000240000001"/>
    <n v="0"/>
    <n v="99.707676649999996"/>
    <n v="0"/>
    <n v="0.29232334589999998"/>
    <n v="0"/>
    <n v="99.707676649999996"/>
    <n v="0"/>
    <n v="0.29232334589999998"/>
    <n v="0"/>
    <s v="NAN"/>
    <s v="NAN"/>
    <s v="NAN"/>
    <s v="NAN"/>
    <n v="16"/>
    <n v="0"/>
    <n v="100"/>
    <n v="1"/>
    <n v="99.707676649999996"/>
    <n v="0"/>
    <n v="100"/>
  </r>
  <r>
    <s v="Niue"/>
    <x v="0"/>
    <n v="1.618000031"/>
    <n v="46.202003480000002"/>
    <n v="97.010876179999997"/>
    <n v="0"/>
    <n v="2.9891238219999998"/>
    <n v="0"/>
    <s v="NAN"/>
    <s v="NAN"/>
    <s v="NAN"/>
    <s v="NAN"/>
    <s v="NAN"/>
    <s v="NAN"/>
    <s v="NAN"/>
    <s v="NAN"/>
    <n v="16"/>
    <n v="0.7475484306290211"/>
    <n v="53.797996519999998"/>
    <n v="1"/>
    <n v="97.010876179999997"/>
    <n v="46"/>
    <n v="54"/>
  </r>
  <r>
    <s v="Falkland Islands (Malvinas)"/>
    <x v="0"/>
    <n v="3.4830000399999999"/>
    <n v="78.507995609999995"/>
    <n v="95.308927400000002"/>
    <n v="0"/>
    <n v="4.6910725959999997"/>
    <n v="0"/>
    <n v="78.172942820000003"/>
    <n v="0"/>
    <n v="21.827057180000001"/>
    <n v="0"/>
    <n v="100"/>
    <n v="0"/>
    <n v="0"/>
    <n v="0"/>
    <n v="16"/>
    <n v="2.7344335184994977"/>
    <n v="21.492004390000005"/>
    <n v="1"/>
    <n v="95.308927400000002"/>
    <n v="79"/>
    <n v="21"/>
  </r>
  <r>
    <s v="Montserrat"/>
    <x v="0"/>
    <n v="4.9990000720000003"/>
    <n v="9.1149997710000008"/>
    <n v="98.077482619999998"/>
    <n v="0"/>
    <n v="1.922517378"/>
    <n v="0"/>
    <s v="NAN"/>
    <s v="NAN"/>
    <s v="NAN"/>
    <s v="NAN"/>
    <s v="NAN"/>
    <s v="NAN"/>
    <s v="NAN"/>
    <s v="NAN"/>
    <n v="16"/>
    <n v="0.45565884511508992"/>
    <n v="90.885000228999999"/>
    <n v="1"/>
    <n v="98.077482619999998"/>
    <n v="9"/>
    <n v="91"/>
  </r>
  <r>
    <s v="Saint Pierre and Miquelon"/>
    <x v="0"/>
    <n v="5.795000076"/>
    <n v="89.96199799"/>
    <n v="91.4"/>
    <n v="0"/>
    <n v="8.6"/>
    <n v="0"/>
    <s v="NAN"/>
    <s v="NAN"/>
    <s v="NAN"/>
    <s v="NAN"/>
    <s v="NAN"/>
    <s v="NAN"/>
    <s v="NAN"/>
    <s v="NAN"/>
    <n v="16"/>
    <n v="5.2132978518916184"/>
    <n v="10.03800201"/>
    <n v="1"/>
    <n v="91.4"/>
    <n v="90"/>
    <n v="10"/>
  </r>
  <r>
    <s v="Saint Helena"/>
    <x v="0"/>
    <n v="6.0710000989999999"/>
    <n v="40.082000729999997"/>
    <n v="99.1"/>
    <n v="0"/>
    <n v="0.9"/>
    <n v="0"/>
    <s v="NAN"/>
    <s v="NAN"/>
    <s v="NAN"/>
    <s v="NAN"/>
    <s v="NAN"/>
    <s v="NAN"/>
    <s v="NAN"/>
    <s v="NAN"/>
    <n v="16"/>
    <n v="2.4333783039994805"/>
    <n v="59.917999270000003"/>
    <n v="1"/>
    <n v="99.1"/>
    <n v="40"/>
    <n v="60"/>
  </r>
  <r>
    <s v="Saint Barthelemy"/>
    <x v="0"/>
    <n v="9.8849999999999998"/>
    <n v="100"/>
    <n v="100"/>
    <n v="0"/>
    <n v="0"/>
    <n v="0"/>
    <s v="NAN"/>
    <s v="NAN"/>
    <s v="NAN"/>
    <s v="NAN"/>
    <n v="100"/>
    <n v="0"/>
    <n v="0"/>
    <n v="0"/>
    <n v="16"/>
    <n v="9.8849999999999998"/>
    <n v="0"/>
    <n v="1"/>
    <n v="100"/>
    <n v="100"/>
    <n v="0"/>
  </r>
  <r>
    <s v="Nauru"/>
    <x v="1"/>
    <n v="10.833999629999999"/>
    <n v="100"/>
    <n v="100"/>
    <n v="0"/>
    <n v="0"/>
    <n v="0"/>
    <s v="NAN"/>
    <s v="NAN"/>
    <s v="NAN"/>
    <s v="NAN"/>
    <n v="100"/>
    <n v="0"/>
    <n v="0"/>
    <n v="0"/>
    <n v="16"/>
    <n v="10.833999629999999"/>
    <n v="0"/>
    <n v="1"/>
    <n v="100"/>
    <n v="100"/>
    <n v="0"/>
  </r>
  <r>
    <s v="Wallis and Futuna Islands"/>
    <x v="0"/>
    <n v="11.24600029"/>
    <n v="0"/>
    <n v="99.143287360000002"/>
    <n v="0"/>
    <n v="0.85671263900000005"/>
    <n v="0"/>
    <n v="99.143287360000002"/>
    <n v="0"/>
    <n v="0.85671263900000005"/>
    <n v="0"/>
    <s v="NAN"/>
    <s v="NAN"/>
    <s v="NAN"/>
    <s v="NAN"/>
    <n v="16"/>
    <n v="0"/>
    <n v="100"/>
    <n v="1"/>
    <n v="99.143287360000002"/>
    <n v="0"/>
    <n v="100"/>
  </r>
  <r>
    <s v="Tuvalu"/>
    <x v="2"/>
    <n v="11.791999819999999"/>
    <n v="64.013999940000005"/>
    <n v="100"/>
    <n v="0"/>
    <n v="0"/>
    <n v="0"/>
    <n v="100"/>
    <n v="0"/>
    <n v="0"/>
    <n v="0"/>
    <n v="100"/>
    <n v="0"/>
    <n v="0"/>
    <n v="0"/>
    <n v="16"/>
    <n v="7.5485307576996004"/>
    <n v="35.986000059999995"/>
    <n v="1"/>
    <n v="100"/>
    <n v="64"/>
    <n v="36"/>
  </r>
  <r>
    <s v="Cook Islands"/>
    <x v="0"/>
    <n v="17.56399918"/>
    <n v="75.495002749999998"/>
    <n v="99.971610220000002"/>
    <n v="0"/>
    <n v="2.8389782700000001E-2"/>
    <n v="0"/>
    <s v="NAN"/>
    <s v="NAN"/>
    <s v="NAN"/>
    <s v="NAN"/>
    <s v="NAN"/>
    <s v="NAN"/>
    <s v="NAN"/>
    <s v="NAN"/>
    <n v="16"/>
    <n v="13.259941663950977"/>
    <n v="24.504997250000002"/>
    <n v="1"/>
    <n v="99.971610220000002"/>
    <n v="75"/>
    <n v="25"/>
  </r>
  <r>
    <s v="Palau"/>
    <x v="2"/>
    <n v="18.091999049999998"/>
    <n v="80.987998959999999"/>
    <n v="99.657545499999998"/>
    <n v="0"/>
    <n v="0.34245449839999997"/>
    <n v="0"/>
    <n v="99.756985029999996"/>
    <n v="0"/>
    <n v="0.2430149677"/>
    <n v="0"/>
    <n v="99.634201989999994"/>
    <n v="0"/>
    <n v="0.36579800779999999"/>
    <n v="0"/>
    <n v="16"/>
    <n v="14.652348002457208"/>
    <n v="19.012001040000001"/>
    <n v="1"/>
    <n v="99.657545499999998"/>
    <n v="81"/>
    <n v="19"/>
  </r>
  <r>
    <s v="British Virgin Islands"/>
    <x v="1"/>
    <n v="30.23699951"/>
    <n v="48.51499939"/>
    <n v="99.864383559999993"/>
    <n v="0"/>
    <n v="0.13561643840000001"/>
    <n v="0"/>
    <s v="NAN"/>
    <s v="NAN"/>
    <s v="NAN"/>
    <s v="NAN"/>
    <s v="NAN"/>
    <s v="NAN"/>
    <s v="NAN"/>
    <s v="NAN"/>
    <n v="16"/>
    <n v="14.669480127830804"/>
    <n v="51.48500061"/>
    <n v="1"/>
    <n v="99.864383559999993"/>
    <n v="49"/>
    <n v="51"/>
  </r>
  <r>
    <s v="Gibraltar"/>
    <x v="1"/>
    <n v="33.691001890000003"/>
    <n v="100"/>
    <n v="100"/>
    <n v="0"/>
    <n v="0"/>
    <n v="0"/>
    <s v="NAN"/>
    <s v="NAN"/>
    <s v="NAN"/>
    <s v="NAN"/>
    <n v="100"/>
    <n v="0"/>
    <n v="0"/>
    <n v="0"/>
    <n v="16"/>
    <n v="33.691001890000003"/>
    <n v="0"/>
    <n v="1"/>
    <n v="100"/>
    <n v="100"/>
    <n v="0"/>
  </r>
  <r>
    <s v="San Marino"/>
    <x v="1"/>
    <n v="33.937999730000001"/>
    <n v="97.499000550000005"/>
    <n v="100"/>
    <n v="0"/>
    <n v="0"/>
    <n v="0"/>
    <s v="NAN"/>
    <s v="NAN"/>
    <s v="NAN"/>
    <s v="NAN"/>
    <s v="NAN"/>
    <s v="NAN"/>
    <s v="NAN"/>
    <s v="NAN"/>
    <n v="16"/>
    <n v="33.089210543411703"/>
    <n v="2.5009994499999948"/>
    <n v="1"/>
    <n v="100"/>
    <n v="97"/>
    <n v="3"/>
  </r>
  <r>
    <s v="Liechtenstein"/>
    <x v="1"/>
    <n v="38.137001040000001"/>
    <n v="14.416000370000001"/>
    <n v="100"/>
    <n v="0"/>
    <n v="0"/>
    <n v="0"/>
    <s v="NAN"/>
    <s v="NAN"/>
    <s v="NAN"/>
    <s v="NAN"/>
    <s v="NAN"/>
    <s v="NAN"/>
    <s v="NAN"/>
    <s v="NAN"/>
    <n v="16"/>
    <n v="5.4978302110333042"/>
    <n v="85.583999629999994"/>
    <n v="1"/>
    <n v="100"/>
    <n v="14"/>
    <n v="86"/>
  </r>
  <r>
    <s v="Saint Martin (French part)"/>
    <x v="1"/>
    <n v="38.658999999999999"/>
    <n v="100"/>
    <n v="99.999271390000004"/>
    <n v="0"/>
    <n v="7.2861055070000001E-4"/>
    <n v="0"/>
    <s v="NAN"/>
    <s v="NAN"/>
    <s v="NAN"/>
    <s v="NAN"/>
    <n v="99.999271390000004"/>
    <n v="0"/>
    <n v="7.2861055070000001E-4"/>
    <n v="0"/>
    <n v="16"/>
    <n v="38.658999999999999"/>
    <n v="0"/>
    <n v="1"/>
    <n v="99.999271390000004"/>
    <n v="100"/>
    <n v="0"/>
  </r>
  <r>
    <s v="Monaco"/>
    <x v="1"/>
    <n v="39.243999479999999"/>
    <n v="100"/>
    <n v="100"/>
    <n v="0"/>
    <n v="0"/>
    <n v="0"/>
    <s v="NAN"/>
    <s v="NAN"/>
    <s v="NAN"/>
    <s v="NAN"/>
    <n v="100"/>
    <n v="0"/>
    <n v="0"/>
    <n v="0"/>
    <n v="16"/>
    <n v="39.243999479999999"/>
    <n v="0"/>
    <n v="1"/>
    <n v="100"/>
    <n v="100"/>
    <n v="0"/>
  </r>
  <r>
    <s v="Faeroe Islands"/>
    <x v="1"/>
    <n v="48.865001679999999"/>
    <n v="42.397998809999997"/>
    <n v="100"/>
    <n v="0"/>
    <n v="0"/>
    <n v="0"/>
    <s v="NAN"/>
    <s v="NAN"/>
    <s v="NAN"/>
    <s v="NAN"/>
    <s v="NAN"/>
    <s v="NAN"/>
    <s v="NAN"/>
    <s v="NAN"/>
    <n v="16"/>
    <n v="20.717782830792878"/>
    <n v="57.602001190000003"/>
    <n v="1"/>
    <n v="100"/>
    <n v="42"/>
    <n v="58"/>
  </r>
  <r>
    <s v="American Samoa"/>
    <x v="2"/>
    <n v="55.196998600000001"/>
    <n v="87.152999879999996"/>
    <n v="99.773771659999994"/>
    <n v="0"/>
    <n v="0.22622834150000001"/>
    <n v="0"/>
    <s v="NAN"/>
    <s v="NAN"/>
    <s v="NAN"/>
    <s v="NAN"/>
    <s v="NAN"/>
    <s v="NAN"/>
    <s v="NAN"/>
    <s v="NAN"/>
    <n v="16"/>
    <n v="48.105840123621597"/>
    <n v="12.847000120000004"/>
    <n v="1"/>
    <n v="99.773771659999994"/>
    <n v="87"/>
    <n v="13"/>
  </r>
  <r>
    <s v="Greenland"/>
    <x v="1"/>
    <n v="56.771999360000002"/>
    <n v="87.282005310000002"/>
    <n v="100.0000017"/>
    <n v="0"/>
    <n v="0"/>
    <n v="0"/>
    <n v="100"/>
    <n v="0"/>
    <n v="0"/>
    <n v="0"/>
    <n v="100"/>
    <n v="0"/>
    <n v="0"/>
    <n v="0"/>
    <n v="16"/>
    <n v="49.551739495988365"/>
    <n v="12.717994689999998"/>
    <n v="1"/>
    <n v="100"/>
    <n v="87"/>
    <n v="13"/>
  </r>
  <r>
    <s v="Northern Mariana Islands"/>
    <x v="1"/>
    <n v="57.556999210000001"/>
    <n v="91.797996519999998"/>
    <n v="100"/>
    <n v="0"/>
    <n v="0"/>
    <n v="0"/>
    <s v="NAN"/>
    <s v="NAN"/>
    <s v="NAN"/>
    <s v="NAN"/>
    <s v="NAN"/>
    <s v="NAN"/>
    <s v="NAN"/>
    <s v="NAN"/>
    <n v="16"/>
    <n v="52.836172131812226"/>
    <n v="8.2020034800000019"/>
    <n v="1"/>
    <n v="100"/>
    <n v="92"/>
    <n v="8"/>
  </r>
  <r>
    <s v="Marshall Islands"/>
    <x v="2"/>
    <n v="59.194000240000001"/>
    <n v="77.793991090000006"/>
    <n v="88.572046979999996"/>
    <n v="11.387979"/>
    <n v="3.9974025849999997E-2"/>
    <n v="0"/>
    <n v="94.429720000000003"/>
    <n v="5.3902799999999997"/>
    <n v="0.18"/>
    <n v="0"/>
    <n v="86.9"/>
    <n v="13.1"/>
    <n v="0"/>
    <n v="0"/>
    <n v="16"/>
    <n v="46.04937527252018"/>
    <n v="22.206008909999994"/>
    <n v="1"/>
    <n v="88.572046979999996"/>
    <n v="78"/>
    <n v="22"/>
  </r>
  <r>
    <s v="Bermuda"/>
    <x v="1"/>
    <n v="62.272998809999997"/>
    <n v="100"/>
    <n v="99.903140019999995"/>
    <n v="0"/>
    <n v="9.6859982940000006E-2"/>
    <n v="0"/>
    <s v="NAN"/>
    <s v="NAN"/>
    <s v="NAN"/>
    <s v="NAN"/>
    <n v="99.903140019999995"/>
    <n v="0"/>
    <n v="9.6859982940000006E-2"/>
    <n v="0"/>
    <n v="16"/>
    <n v="62.272998809999997"/>
    <n v="0"/>
    <n v="1"/>
    <n v="99.903140019999995"/>
    <n v="100"/>
    <n v="0"/>
  </r>
  <r>
    <s v="Andorra"/>
    <x v="1"/>
    <n v="77.26499939"/>
    <n v="87.916000370000006"/>
    <n v="100.00000369999999"/>
    <n v="0"/>
    <n v="0"/>
    <n v="0"/>
    <n v="100"/>
    <n v="0"/>
    <n v="0"/>
    <n v="0"/>
    <n v="100"/>
    <n v="0"/>
    <n v="0"/>
    <n v="0"/>
    <n v="16"/>
    <n v="67.928297149592893"/>
    <n v="12.083999629999994"/>
    <n v="1"/>
    <n v="100"/>
    <n v="88"/>
    <n v="12"/>
  </r>
  <r>
    <s v="Isle of Man"/>
    <x v="1"/>
    <n v="85.031997680000003"/>
    <n v="52.89800262"/>
    <n v="99.075000000000003"/>
    <n v="0"/>
    <n v="0.92500000000000004"/>
    <n v="0"/>
    <s v="NAN"/>
    <s v="NAN"/>
    <s v="NAN"/>
    <s v="NAN"/>
    <s v="NAN"/>
    <s v="NAN"/>
    <s v="NAN"/>
    <s v="NAN"/>
    <n v="16"/>
    <n v="44.980228360604734"/>
    <n v="47.10199738"/>
    <n v="1"/>
    <n v="99.075000000000003"/>
    <n v="53"/>
    <n v="47"/>
  </r>
  <r>
    <s v="United States Virgin Islands"/>
    <x v="1"/>
    <n v="104.4229965"/>
    <n v="95.939002990000006"/>
    <n v="98.71826738"/>
    <n v="0"/>
    <n v="1.281732624"/>
    <n v="0"/>
    <s v="NAN"/>
    <s v="NAN"/>
    <s v="NAN"/>
    <s v="NAN"/>
    <s v="NAN"/>
    <s v="NAN"/>
    <s v="NAN"/>
    <s v="NAN"/>
    <n v="16"/>
    <n v="100.1823817343826"/>
    <n v="4.0609970099999941"/>
    <n v="1"/>
    <n v="98.71826738"/>
    <n v="96"/>
    <n v="4"/>
  </r>
  <r>
    <s v="Tonga"/>
    <x v="2"/>
    <n v="105.6969986"/>
    <n v="23.098999020000001"/>
    <n v="98.731080829999996"/>
    <n v="0.88149729619999995"/>
    <n v="0.38742187769999997"/>
    <n v="0"/>
    <n v="98.468078539999993"/>
    <n v="1.103159706"/>
    <n v="0.42876175509999997"/>
    <n v="0"/>
    <n v="99.606658190000005"/>
    <n v="0.143540536"/>
    <n v="0.2498012758"/>
    <n v="0"/>
    <n v="16"/>
    <n v="24.414948670783414"/>
    <n v="76.901000979999992"/>
    <n v="1"/>
    <n v="98.731080829999996"/>
    <n v="23"/>
    <n v="77"/>
  </r>
  <r>
    <s v="Kiribati"/>
    <x v="3"/>
    <n v="119.44599909999999"/>
    <n v="55.593997960000003"/>
    <n v="77.970920849999999"/>
    <n v="4.0768996250000002"/>
    <n v="17.952179529999999"/>
    <n v="0"/>
    <n v="60.99418489"/>
    <n v="2.0966097989999999"/>
    <n v="36.909205319999998"/>
    <n v="0"/>
    <n v="91.531174849999999"/>
    <n v="5.6586664610000001"/>
    <n v="2.8101586909999998"/>
    <n v="0"/>
    <n v="16"/>
    <n v="66.40480630295562"/>
    <n v="44.406002039999997"/>
    <n v="1"/>
    <n v="77.970920849999999"/>
    <n v="56"/>
    <n v="44"/>
  </r>
  <r>
    <s v="Guam"/>
    <x v="1"/>
    <n v="168.78300479999999"/>
    <n v="94.938003539999997"/>
    <n v="99.6952"/>
    <n v="0"/>
    <n v="0.30480000000000002"/>
    <n v="0"/>
    <s v="NAN"/>
    <s v="NAN"/>
    <s v="NAN"/>
    <s v="NAN"/>
    <s v="NAN"/>
    <s v="NAN"/>
    <s v="NAN"/>
    <s v="NAN"/>
    <n v="16"/>
    <n v="160.23921507194234"/>
    <n v="5.0619964600000031"/>
    <n v="1"/>
    <n v="99.6952"/>
    <n v="95"/>
    <n v="5"/>
  </r>
  <r>
    <s v="Saint Lucia"/>
    <x v="2"/>
    <n v="183.62899780000001"/>
    <n v="18.8409996"/>
    <n v="96.887844569999999"/>
    <n v="1.815652166"/>
    <n v="1.296503269"/>
    <n v="0"/>
    <n v="96.814023829999996"/>
    <n v="1.7341522549999999"/>
    <n v="1.4518239180000001"/>
    <n v="0"/>
    <n v="97.205822190000006"/>
    <n v="2.166718886"/>
    <n v="0.6274589237"/>
    <n v="0"/>
    <n v="16"/>
    <n v="34.59753874098201"/>
    <n v="81.159000399999996"/>
    <n v="1"/>
    <n v="96.887844569999999"/>
    <n v="19"/>
    <n v="81"/>
  </r>
  <r>
    <s v="Samoa"/>
    <x v="3"/>
    <n v="198.4100037"/>
    <n v="17.888999940000001"/>
    <n v="91.837724550000004"/>
    <n v="6.5208999519999997"/>
    <n v="1.4186234280000001"/>
    <n v="0.22275206789999999"/>
    <n v="91.780322870000006"/>
    <n v="6.2207033389999999"/>
    <n v="1.7276921599999999"/>
    <n v="0.2712816327"/>
    <n v="92.101190000000003"/>
    <n v="7.8988100000000001"/>
    <n v="0"/>
    <n v="0"/>
    <n v="16"/>
    <n v="35.493565442847007"/>
    <n v="82.111000059999995"/>
    <n v="1"/>
    <n v="91.837724550000004"/>
    <n v="18"/>
    <n v="82"/>
  </r>
  <r>
    <s v="Sao Tome and Principe"/>
    <x v="3"/>
    <n v="219.16099550000001"/>
    <n v="74.354003910000003"/>
    <n v="78.22645516"/>
    <n v="20.237982980000002"/>
    <n v="0.44351992839999999"/>
    <n v="1.0920419299999999"/>
    <n v="74.300614490000001"/>
    <n v="19.711842579999999"/>
    <n v="1.7294057039999999"/>
    <n v="4.2581372279999998"/>
    <n v="79.580542899999998"/>
    <n v="20.419457099999999"/>
    <n v="0"/>
    <n v="0"/>
    <n v="16"/>
    <n v="162.95497516326492"/>
    <n v="25.645996089999997"/>
    <n v="1"/>
    <n v="78.22645516"/>
    <n v="74"/>
    <n v="26"/>
  </r>
  <r>
    <s v="Mayotte"/>
    <x v="0"/>
    <n v="272.81298829999997"/>
    <n v="45.750999450000002"/>
    <n v="96.371179710000007"/>
    <n v="0"/>
    <n v="3.6288202950000001"/>
    <s v="NAN"/>
    <s v="NAN"/>
    <s v="NAN"/>
    <s v="NAN"/>
    <s v="NAN"/>
    <s v="NAN"/>
    <s v="NAN"/>
    <s v="NAN"/>
    <s v="NAN"/>
    <n v="16"/>
    <n v="124.81466877666156"/>
    <n v="54.249000549999998"/>
    <n v="1"/>
    <n v="96.371179710000007"/>
    <n v="46"/>
    <n v="54"/>
  </r>
  <r>
    <s v="French Polynesia"/>
    <x v="1"/>
    <n v="280.90399170000001"/>
    <n v="61.975002289999999"/>
    <n v="100"/>
    <n v="0"/>
    <n v="0"/>
    <n v="0"/>
    <s v="NAN"/>
    <s v="NAN"/>
    <s v="NAN"/>
    <s v="NAN"/>
    <s v="NAN"/>
    <s v="NAN"/>
    <s v="NAN"/>
    <s v="NAN"/>
    <n v="16"/>
    <n v="174.09025528877643"/>
    <n v="38.024997710000001"/>
    <n v="1"/>
    <n v="100"/>
    <n v="62"/>
    <n v="38"/>
  </r>
  <r>
    <s v="New Caledonia"/>
    <x v="1"/>
    <n v="285.4909973"/>
    <n v="71.517997739999998"/>
    <n v="99.305320570000006"/>
    <n v="0"/>
    <n v="0.69467942780000003"/>
    <n v="0"/>
    <s v="NAN"/>
    <s v="NAN"/>
    <s v="NAN"/>
    <s v="NAN"/>
    <s v="NAN"/>
    <s v="NAN"/>
    <s v="NAN"/>
    <s v="NAN"/>
    <n v="16"/>
    <n v="204.17744499691744"/>
    <n v="28.482002260000002"/>
    <n v="1"/>
    <n v="99.305320570000006"/>
    <n v="72"/>
    <n v="28"/>
  </r>
  <r>
    <s v="Barbados"/>
    <x v="1"/>
    <n v="287.37100220000002"/>
    <n v="31.190999980000001"/>
    <n v="98.514450420000003"/>
    <n v="0.26760057609999999"/>
    <n v="1.2179490049999999"/>
    <n v="0"/>
    <s v="NAN"/>
    <s v="NAN"/>
    <s v="NAN"/>
    <s v="NAN"/>
    <s v="NAN"/>
    <s v="NAN"/>
    <s v="NAN"/>
    <s v="NAN"/>
    <n v="16"/>
    <n v="89.633889238727804"/>
    <n v="68.809000019999999"/>
    <n v="1"/>
    <n v="98.514450420000003"/>
    <n v="31"/>
    <n v="69"/>
  </r>
  <r>
    <s v="French Guiana"/>
    <x v="0"/>
    <n v="298.68200680000001"/>
    <n v="85.819999690000003"/>
    <n v="93.782216349999999"/>
    <n v="0"/>
    <n v="6.2177836519999996"/>
    <n v="0"/>
    <s v="NAN"/>
    <s v="NAN"/>
    <s v="NAN"/>
    <s v="NAN"/>
    <s v="NAN"/>
    <s v="NAN"/>
    <s v="NAN"/>
    <s v="NAN"/>
    <n v="16"/>
    <n v="256.32889730984579"/>
    <n v="14.180000309999997"/>
    <n v="1"/>
    <n v="93.782216349999999"/>
    <n v="86"/>
    <n v="14"/>
  </r>
  <r>
    <s v="Vanuatu"/>
    <x v="3"/>
    <n v="307.14999390000003"/>
    <n v="25.525001530000001"/>
    <n v="91.231190749999996"/>
    <n v="1.0623850500000001"/>
    <n v="0"/>
    <n v="7.706424202"/>
    <n v="88.397201229999993"/>
    <n v="1.255132675"/>
    <n v="0"/>
    <n v="10.3476661"/>
    <n v="99.5"/>
    <n v="0.5"/>
    <n v="0"/>
    <n v="0"/>
    <n v="16"/>
    <n v="78.400040642369916"/>
    <n v="74.474998470000003"/>
    <n v="1"/>
    <n v="91.231190749999996"/>
    <n v="26"/>
    <n v="74"/>
  </r>
  <r>
    <s v="Iceland"/>
    <x v="1"/>
    <n v="341.25"/>
    <n v="93.897994999999995"/>
    <n v="99.999997210000004"/>
    <n v="0"/>
    <n v="2.7946500150000002E-6"/>
    <n v="0"/>
    <n v="100"/>
    <n v="0"/>
    <n v="0"/>
    <n v="0"/>
    <n v="100"/>
    <n v="0"/>
    <n v="0"/>
    <n v="0"/>
    <n v="16"/>
    <n v="320.42690793749995"/>
    <n v="6.1020050000000055"/>
    <n v="1"/>
    <n v="99.999997210000004"/>
    <n v="94"/>
    <n v="6"/>
  </r>
  <r>
    <s v="Martinique"/>
    <x v="0"/>
    <n v="375.26501459999997"/>
    <n v="89.13999939"/>
    <n v="99.841970779999997"/>
    <n v="0"/>
    <n v="0.15802921580000001"/>
    <n v="0"/>
    <s v="NAN"/>
    <s v="NAN"/>
    <s v="NAN"/>
    <s v="NAN"/>
    <s v="NAN"/>
    <s v="NAN"/>
    <s v="NAN"/>
    <s v="NAN"/>
    <n v="16"/>
    <n v="334.5112317253234"/>
    <n v="10.86000061"/>
    <n v="1"/>
    <n v="99.841970779999997"/>
    <n v="89"/>
    <n v="11"/>
  </r>
  <r>
    <s v="Belize"/>
    <x v="2"/>
    <n v="397.62100220000002"/>
    <n v="46.025001529999997"/>
    <n v="98.401954630000006"/>
    <n v="1.249110629"/>
    <n v="0.3489347411"/>
    <n v="0"/>
    <n v="97.995207579999999"/>
    <n v="1.358317682"/>
    <n v="0.64647473929999999"/>
    <n v="0"/>
    <n v="98.878960000000006"/>
    <n v="1.12104"/>
    <n v="0"/>
    <n v="0"/>
    <n v="16"/>
    <n v="183.00507234615134"/>
    <n v="53.974998470000003"/>
    <n v="1"/>
    <n v="98.401954630000006"/>
    <n v="46"/>
    <n v="54"/>
  </r>
  <r>
    <s v="Guadeloupe"/>
    <x v="0"/>
    <n v="400.12701420000002"/>
    <n v="98.498992920000006"/>
    <n v="99.803126039999995"/>
    <n v="0"/>
    <n v="0.19687396130000001"/>
    <n v="0"/>
    <s v="NAN"/>
    <s v="NAN"/>
    <s v="NAN"/>
    <s v="NAN"/>
    <s v="NAN"/>
    <s v="NAN"/>
    <s v="NAN"/>
    <s v="NAN"/>
    <n v="16"/>
    <n v="394.12107938786545"/>
    <n v="1.5010070799999937"/>
    <n v="1"/>
    <n v="99.803126039999995"/>
    <n v="98"/>
    <n v="2"/>
  </r>
  <r>
    <s v="Brunei Darussalam"/>
    <x v="1"/>
    <n v="437.48300169999999"/>
    <n v="78.250007629999999"/>
    <n v="99.900036799999995"/>
    <n v="0"/>
    <n v="9.9963200360000004E-2"/>
    <n v="0"/>
    <s v="NAN"/>
    <s v="NAN"/>
    <s v="NAN"/>
    <s v="NAN"/>
    <n v="99.65"/>
    <n v="0"/>
    <n v="0.35"/>
    <n v="0"/>
    <n v="16"/>
    <n v="342.330482210203"/>
    <n v="21.749992370000001"/>
    <n v="1"/>
    <n v="99.900036799999995"/>
    <n v="78"/>
    <n v="22"/>
  </r>
  <r>
    <s v="Malta"/>
    <x v="1"/>
    <n v="441.53900149999998"/>
    <n v="94.744003300000003"/>
    <n v="100.0000004"/>
    <n v="0"/>
    <n v="0"/>
    <n v="0"/>
    <n v="100"/>
    <n v="0"/>
    <n v="0"/>
    <n v="0"/>
    <n v="100"/>
    <n v="0"/>
    <n v="0"/>
    <n v="0"/>
    <n v="16"/>
    <n v="418.33172615194707"/>
    <n v="5.2559966999999972"/>
    <n v="1"/>
    <n v="100"/>
    <n v="95"/>
    <n v="5"/>
  </r>
  <r>
    <s v="Maldives"/>
    <x v="2"/>
    <n v="540.54199219999998"/>
    <n v="40.668998719999998"/>
    <n v="99.544438600000007"/>
    <n v="4.8050691299999997E-2"/>
    <n v="0.40751070499999997"/>
    <n v="0"/>
    <n v="99.919012499999994"/>
    <n v="8.0987500000000004E-2"/>
    <n v="0"/>
    <n v="0"/>
    <n v="98.997988930000005"/>
    <n v="0"/>
    <n v="1.0020110689999999"/>
    <n v="0"/>
    <n v="16"/>
    <n v="219.83301588888048"/>
    <n v="59.331001280000002"/>
    <n v="1"/>
    <n v="99.544438600000007"/>
    <n v="41"/>
    <n v="59"/>
  </r>
  <r>
    <s v="Cabo Verde"/>
    <x v="3"/>
    <n v="555.98797609999997"/>
    <n v="66.652000430000001"/>
    <n v="88.769606420000002"/>
    <n v="7.9041508460000003"/>
    <n v="3.2091477159999999"/>
    <n v="0.1170950144"/>
    <n v="80.114525439999994"/>
    <n v="9.9111270220000005"/>
    <n v="9.6232170030000006"/>
    <n v="0.35113053970000002"/>
    <n v="93.1"/>
    <n v="6.9"/>
    <n v="0"/>
    <n v="0"/>
    <n v="16"/>
    <n v="370.57710822092031"/>
    <n v="33.347999569999999"/>
    <n v="1"/>
    <n v="88.769606420000002"/>
    <n v="67"/>
    <n v="33"/>
  </r>
  <r>
    <s v="Suriname"/>
    <x v="2"/>
    <n v="586.63397220000002"/>
    <n v="66.149002080000002"/>
    <n v="97.989631669999994"/>
    <n v="1.0672469410000001"/>
    <n v="0.37933650730000001"/>
    <n v="0.56378488400000004"/>
    <n v="96.574412629999998"/>
    <n v="1.6002958599999999"/>
    <n v="0.1598017947"/>
    <n v="1.6654897200000001"/>
    <n v="98.713853869999994"/>
    <n v="0.79446523710000005"/>
    <n v="0.49168089250000002"/>
    <n v="0"/>
    <n v="16"/>
    <n v="388.05251847256466"/>
    <n v="33.850997919999998"/>
    <n v="1"/>
    <n v="97.989631669999994"/>
    <n v="66"/>
    <n v="34"/>
  </r>
  <r>
    <s v="Luxembourg"/>
    <x v="1"/>
    <n v="625.97601320000001"/>
    <n v="91.452995299999998"/>
    <n v="99.879932539999999"/>
    <n v="0"/>
    <n v="0.1200674649"/>
    <n v="0"/>
    <n v="98.595238100000003"/>
    <n v="0"/>
    <n v="1.404761905"/>
    <n v="0"/>
    <n v="100"/>
    <n v="0"/>
    <n v="0"/>
    <n v="0"/>
    <n v="16"/>
    <n v="572.47381393092337"/>
    <n v="8.5470047000000022"/>
    <n v="1"/>
    <n v="99.879932539999999"/>
    <n v="91"/>
    <n v="9"/>
  </r>
  <r>
    <s v="Montenegro"/>
    <x v="2"/>
    <n v="628.06201169999997"/>
    <n v="67.488006589999998"/>
    <n v="98.856916519999999"/>
    <n v="0.54547882039999995"/>
    <n v="0.59231201099999997"/>
    <n v="5.2926508940000002E-3"/>
    <n v="98.161887539999995"/>
    <n v="0"/>
    <n v="1.821833386"/>
    <n v="1.6279069770000001E-2"/>
    <n v="99.191739589999997"/>
    <n v="0.80826041280000005"/>
    <n v="0"/>
    <n v="0"/>
    <n v="16"/>
    <n v="423.8665318453825"/>
    <n v="32.511993410000002"/>
    <n v="1"/>
    <n v="98.856916519999999"/>
    <n v="67"/>
    <n v="33"/>
  </r>
  <r>
    <s v="China, Macao SAR"/>
    <x v="1"/>
    <n v="649.34198000000004"/>
    <n v="100"/>
    <n v="100"/>
    <n v="0"/>
    <n v="0"/>
    <n v="0"/>
    <s v="NAN"/>
    <s v="NAN"/>
    <s v="NAN"/>
    <s v="NAN"/>
    <n v="100"/>
    <n v="0"/>
    <n v="0"/>
    <n v="0"/>
    <n v="16"/>
    <n v="649.34198000000004"/>
    <n v="0"/>
    <n v="1"/>
    <n v="100"/>
    <n v="100"/>
    <n v="0"/>
  </r>
  <r>
    <s v="Solomon Islands"/>
    <x v="3"/>
    <n v="686.87799070000005"/>
    <n v="24.670000080000001"/>
    <n v="67.301025539999998"/>
    <n v="5.79547831"/>
    <n v="21.267843129999999"/>
    <n v="5.6356530249999999"/>
    <n v="59.40526749"/>
    <n v="6.5285236490000003"/>
    <n v="26.955911"/>
    <n v="7.1102978569999999"/>
    <n v="91.410776889999994"/>
    <n v="3.5571204249999999"/>
    <n v="3.8992861369999998"/>
    <n v="1.1328165530000001"/>
    <n v="16"/>
    <n v="169.45280085519241"/>
    <n v="75.329999920000006"/>
    <n v="1"/>
    <n v="67.301025539999998"/>
    <n v="25"/>
    <n v="75"/>
  </r>
  <r>
    <s v="Bhutan"/>
    <x v="3"/>
    <n v="771.61199950000002"/>
    <n v="42.31599808"/>
    <n v="97.313222629999999"/>
    <n v="2.4607126070000001"/>
    <n v="0.17642421829999999"/>
    <n v="4.9640541420000003E-2"/>
    <n v="96.731193649999994"/>
    <n v="3.2688063509999998"/>
    <n v="0"/>
    <n v="0"/>
    <n v="98.106628490000006"/>
    <n v="1.3591415"/>
    <n v="0.41692084750000002"/>
    <n v="0.1173091586"/>
    <n v="16"/>
    <n v="326.51531889346961"/>
    <n v="57.68400192"/>
    <n v="1"/>
    <n v="97.313222629999999"/>
    <n v="42"/>
    <n v="58"/>
  </r>
  <r>
    <s v="Guyana"/>
    <x v="2"/>
    <n v="786.55902100000003"/>
    <n v="26.7859993"/>
    <n v="95.554806850000006"/>
    <n v="1.205244408"/>
    <n v="1.143069849"/>
    <n v="2.0968788969999999"/>
    <n v="93.928490499999995"/>
    <n v="1.6461938620000001"/>
    <n v="1.5612748329999999"/>
    <n v="2.864040809"/>
    <n v="100"/>
    <n v="0"/>
    <n v="0"/>
    <n v="0"/>
    <n v="16"/>
    <n v="210.68769385914686"/>
    <n v="73.2140007"/>
    <n v="1"/>
    <n v="95.554806850000006"/>
    <n v="27"/>
    <n v="73"/>
  </r>
  <r>
    <s v="Réunion"/>
    <x v="0"/>
    <n v="895.30798340000001"/>
    <n v="99.659004210000006"/>
    <n v="100"/>
    <n v="0"/>
    <n v="0"/>
    <n v="0"/>
    <s v="NAN"/>
    <s v="NAN"/>
    <s v="NAN"/>
    <s v="NAN"/>
    <s v="NAN"/>
    <s v="NAN"/>
    <s v="NAN"/>
    <s v="NAN"/>
    <n v="16"/>
    <n v="892.25502086907215"/>
    <n v="0.3409957899999938"/>
    <n v="1"/>
    <n v="100"/>
    <n v="100"/>
    <n v="0"/>
  </r>
  <r>
    <s v="Fiji"/>
    <x v="2"/>
    <n v="896.44396970000003"/>
    <n v="57.247005459999997"/>
    <n v="94.30106524"/>
    <n v="0"/>
    <n v="3.3186027660000001"/>
    <n v="2.380331999"/>
    <n v="89.088024050000001"/>
    <n v="0"/>
    <n v="5.7598979379999999"/>
    <n v="5.1520780119999996"/>
    <n v="98.194244060000003"/>
    <n v="0"/>
    <n v="1.495409344"/>
    <n v="0.31034659219999999"/>
    <n v="16"/>
    <n v="513.18732827999975"/>
    <n v="42.752994540000003"/>
    <n v="1"/>
    <n v="94.30106524"/>
    <n v="57"/>
    <n v="43"/>
  </r>
  <r>
    <s v="Djibouti"/>
    <x v="3"/>
    <n v="988.00201419999996"/>
    <n v="78.061996460000003"/>
    <n v="76.049920209999996"/>
    <n v="14.7574817"/>
    <n v="7.0158760510000002"/>
    <n v="2.1767220379999999"/>
    <n v="47.280732929999999"/>
    <n v="12.061610140000001"/>
    <n v="30.735504679999998"/>
    <n v="9.9221522489999998"/>
    <n v="84.135014929999997"/>
    <n v="15.51511107"/>
    <n v="0.34987400289999998"/>
    <n v="0"/>
    <n v="16"/>
    <n v="771.25409734953269"/>
    <n v="21.938003539999997"/>
    <n v="1"/>
    <n v="76.049920209999996"/>
    <n v="78"/>
    <n v="22"/>
  </r>
  <r>
    <s v="Eswatini"/>
    <x v="3"/>
    <n v="1160.1639399999999"/>
    <n v="24.17100143"/>
    <n v="70.753070949999994"/>
    <n v="9.5070671630000003"/>
    <n v="9.8355679309999999"/>
    <n v="9.9042939590000003"/>
    <n v="62.466448739999997"/>
    <n v="12.29969513"/>
    <n v="12.45046093"/>
    <n v="12.78339519"/>
    <n v="96.749763049999999"/>
    <n v="0.74606447310000001"/>
    <n v="1.6321642439999999"/>
    <n v="0.8720082294"/>
    <n v="16"/>
    <n v="280.42324252774432"/>
    <n v="75.828998569999996"/>
    <n v="2"/>
    <n v="70.753070949999994"/>
    <n v="24"/>
    <n v="76"/>
  </r>
  <r>
    <s v="Cyprus"/>
    <x v="1"/>
    <n v="1207.360962"/>
    <n v="66.820999150000006"/>
    <n v="99.765173180000005"/>
    <n v="0"/>
    <n v="0.2348268167"/>
    <n v="0"/>
    <n v="99.845761719999999"/>
    <n v="0"/>
    <n v="0.1542382836"/>
    <n v="0"/>
    <n v="99.725158120000003"/>
    <n v="0"/>
    <n v="0.27484188250000002"/>
    <n v="0"/>
    <n v="16"/>
    <n v="806.77065815545188"/>
    <n v="33.179000849999994"/>
    <n v="2"/>
    <n v="99.765173180000005"/>
    <n v="67"/>
    <n v="33"/>
  </r>
  <r>
    <s v="Mauritius"/>
    <x v="2"/>
    <n v="1271.7669679999999"/>
    <n v="40.759998320000001"/>
    <n v="99.866254699999999"/>
    <n v="0"/>
    <n v="0.13374530139999999"/>
    <n v="0"/>
    <n v="99.827682339999996"/>
    <n v="0"/>
    <n v="0.17231766179999999"/>
    <n v="0"/>
    <n v="99.922315220000002"/>
    <n v="0"/>
    <n v="7.7684781189999996E-2"/>
    <n v="0"/>
    <n v="16"/>
    <n v="518.37219479111491"/>
    <n v="59.240001679999999"/>
    <n v="2"/>
    <n v="99.866254699999999"/>
    <n v="41"/>
    <n v="59"/>
  </r>
  <r>
    <s v="Timor-Leste"/>
    <x v="3"/>
    <n v="1318.4420170000001"/>
    <n v="31.31999969"/>
    <n v="85.495601199999996"/>
    <n v="1.88586597"/>
    <n v="8.3600293969999999"/>
    <n v="4.2585034329999996"/>
    <n v="80.48779562"/>
    <n v="2.0493646750000001"/>
    <n v="11.26233968"/>
    <n v="6.2005000179999996"/>
    <n v="96.476957920000004"/>
    <n v="1.527338152"/>
    <n v="1.995703929"/>
    <n v="0"/>
    <n v="16"/>
    <n v="412.93603563722979"/>
    <n v="68.680000309999997"/>
    <n v="2"/>
    <n v="85.495601199999996"/>
    <n v="31"/>
    <n v="69"/>
  </r>
  <r>
    <s v="Estonia"/>
    <x v="1"/>
    <n v="1326.5389399999999"/>
    <n v="69.229003910000003"/>
    <n v="99.59078178"/>
    <n v="0"/>
    <n v="0.40921822320000001"/>
    <n v="0"/>
    <s v="NAN"/>
    <s v="NAN"/>
    <s v="NAN"/>
    <s v="NAN"/>
    <n v="99.98545421"/>
    <n v="0"/>
    <n v="1.454579307E-2"/>
    <n v="0"/>
    <n v="16"/>
    <n v="918.34969464027245"/>
    <n v="30.770996089999997"/>
    <n v="2"/>
    <n v="99.59078178"/>
    <n v="69"/>
    <n v="31"/>
  </r>
  <r>
    <s v="Trinidad and Tobago"/>
    <x v="1"/>
    <n v="1399.490967"/>
    <n v="53.2140007"/>
    <n v="98.875170769999997"/>
    <n v="1.1248292310000001"/>
    <n v="0"/>
    <n v="0"/>
    <s v="NAN"/>
    <s v="NAN"/>
    <s v="NAN"/>
    <s v="NAN"/>
    <s v="NAN"/>
    <s v="NAN"/>
    <s v="NAN"/>
    <s v="NAN"/>
    <n v="16"/>
    <n v="744.72513297581668"/>
    <n v="46.7859993"/>
    <n v="2"/>
    <n v="98.875170769999997"/>
    <n v="53"/>
    <n v="47"/>
  </r>
  <r>
    <s v="Bahrain"/>
    <x v="1"/>
    <n v="1701.5830080000001"/>
    <n v="89.506004329999996"/>
    <n v="100"/>
    <n v="0"/>
    <n v="0"/>
    <n v="0"/>
    <s v="NAN"/>
    <s v="NAN"/>
    <s v="NAN"/>
    <s v="NAN"/>
    <s v="NAN"/>
    <s v="NAN"/>
    <s v="NAN"/>
    <s v="NAN"/>
    <n v="16"/>
    <n v="1523.0189608190242"/>
    <n v="10.493995670000004"/>
    <n v="2"/>
    <n v="100"/>
    <n v="90"/>
    <n v="10"/>
  </r>
  <r>
    <s v="Latvia"/>
    <x v="1"/>
    <n v="1886.2020259999999"/>
    <n v="68.315002440000001"/>
    <n v="98.782601150000005"/>
    <n v="0.68230074240000005"/>
    <n v="0.53509810369999999"/>
    <n v="0"/>
    <n v="98.579223139999996"/>
    <n v="0"/>
    <n v="1.4207768599999999"/>
    <n v="0"/>
    <n v="98.876924689999996"/>
    <n v="0.99875681510000003"/>
    <n v="0.1243184908"/>
    <n v="0"/>
    <n v="16"/>
    <n v="1288.5589600852295"/>
    <n v="31.684997559999999"/>
    <n v="2"/>
    <n v="98.782601150000005"/>
    <n v="68"/>
    <n v="32"/>
  </r>
  <r>
    <s v="Guinea-Bissau"/>
    <x v="4"/>
    <n v="1967.998047"/>
    <n v="44.195999149999999"/>
    <n v="59.016912210000001"/>
    <n v="14.03457137"/>
    <n v="26.6263769"/>
    <n v="0.3221395192"/>
    <n v="49.831905300000003"/>
    <n v="9.2857730259999993"/>
    <n v="40.316451290000003"/>
    <n v="0.56587038450000005"/>
    <n v="70.614347910000006"/>
    <n v="20.03063358"/>
    <n v="9.3406252839999997"/>
    <n v="1.4393226929999999E-2"/>
    <n v="16"/>
    <n v="869.77640012413656"/>
    <n v="55.804000850000001"/>
    <n v="2"/>
    <n v="59.016912210000001"/>
    <n v="44"/>
    <n v="56"/>
  </r>
  <r>
    <s v="Slovenia"/>
    <x v="1"/>
    <n v="2078.931885"/>
    <n v="55.118003850000001"/>
    <n v="99.5"/>
    <n v="0"/>
    <n v="0.5"/>
    <n v="0"/>
    <s v="NAN"/>
    <s v="NAN"/>
    <s v="NAN"/>
    <s v="NAN"/>
    <s v="NAN"/>
    <s v="NAN"/>
    <s v="NAN"/>
    <s v="NAN"/>
    <n v="16"/>
    <n v="1145.8657564131775"/>
    <n v="44.881996149999999"/>
    <n v="3"/>
    <n v="99.5"/>
    <n v="55"/>
    <n v="45"/>
  </r>
  <r>
    <s v="North Macedonia"/>
    <x v="2"/>
    <n v="2083.3798830000001"/>
    <n v="58.481998439999998"/>
    <n v="97.742815789999995"/>
    <n v="1.6349941400000001"/>
    <n v="0.57422847619999995"/>
    <n v="4.796159706E-2"/>
    <n v="97.468714570000003"/>
    <n v="1.505202232"/>
    <n v="0.91056319819999998"/>
    <n v="0.11552"/>
    <n v="97.937402989999995"/>
    <n v="1.7271369539999999"/>
    <n v="0.33546005629999998"/>
    <n v="0"/>
    <n v="16"/>
    <n v="1218.4021906753337"/>
    <n v="41.518001560000002"/>
    <n v="3"/>
    <n v="97.742815789999995"/>
    <n v="58"/>
    <n v="42"/>
  </r>
  <r>
    <s v="Lesotho"/>
    <x v="3"/>
    <n v="2142.251953"/>
    <n v="29.027999879999999"/>
    <n v="72.176039270000004"/>
    <n v="10.40592597"/>
    <n v="12.21725464"/>
    <n v="5.2007801159999998"/>
    <n v="63.650354819999997"/>
    <n v="13.55843013"/>
    <n v="15.73132479"/>
    <n v="7.0598902539999999"/>
    <n v="93.020908550000001"/>
    <n v="2.698211997"/>
    <n v="3.625530038"/>
    <n v="0.65534941999999996"/>
    <n v="16"/>
    <n v="621.85289434613765"/>
    <n v="70.972000120000004"/>
    <n v="3"/>
    <n v="72.176039270000004"/>
    <n v="29"/>
    <n v="71"/>
  </r>
  <r>
    <s v="Gabon"/>
    <x v="2"/>
    <n v="2225.7280270000001"/>
    <n v="90.092002870000002"/>
    <n v="85.341930599999998"/>
    <n v="7.7352631030000003"/>
    <n v="6.9228083570000001"/>
    <s v="NAN"/>
    <n v="44.745889009999999"/>
    <n v="10.511148589999999"/>
    <n v="44.742962400000003"/>
    <s v="NAN"/>
    <n v="89.806539169999994"/>
    <n v="7.4299807600000003"/>
    <n v="2.7634800720000001"/>
    <s v="NAN"/>
    <n v="16"/>
    <n v="2005.2029579632344"/>
    <n v="9.9079971299999983"/>
    <n v="3"/>
    <n v="85.341930599999998"/>
    <n v="90"/>
    <n v="10"/>
  </r>
  <r>
    <s v="Botswana"/>
    <x v="2"/>
    <n v="2351.625"/>
    <n v="70.876998900000004"/>
    <n v="92.213563070000006"/>
    <n v="4.7230389700000002"/>
    <n v="1.7325264760000001"/>
    <n v="1.330871481"/>
    <n v="79.04372386"/>
    <n v="15.154947180000001"/>
    <n v="1.5961191560000001"/>
    <n v="4.2052098100000004"/>
    <n v="97.624980579999999"/>
    <n v="0.43662003220000001"/>
    <n v="1.788579159"/>
    <n v="0.14982022810000001"/>
    <n v="16"/>
    <n v="1666.7612253821251"/>
    <n v="29.123001099999996"/>
    <n v="3"/>
    <n v="92.213563070000006"/>
    <n v="71"/>
    <n v="29"/>
  </r>
  <r>
    <s v="Gambia"/>
    <x v="4"/>
    <n v="2416.6640630000002"/>
    <n v="62.581996920000002"/>
    <n v="80.940407140000005"/>
    <n v="8.5973913910000004"/>
    <n v="10.352852070000001"/>
    <n v="0.10934939270000001"/>
    <n v="69.18852321"/>
    <n v="16.497832389999999"/>
    <n v="14.24376547"/>
    <n v="6.9878936799999999E-2"/>
    <n v="87.966904270000001"/>
    <n v="3.8736895219999998"/>
    <n v="8.0264572780000005"/>
    <n v="0.13294892529999999"/>
    <n v="16"/>
    <n v="1512.3966294734071"/>
    <n v="37.418003079999998"/>
    <n v="3"/>
    <n v="80.940407140000005"/>
    <n v="63"/>
    <n v="37"/>
  </r>
  <r>
    <s v="Namibia"/>
    <x v="2"/>
    <n v="2540.9160160000001"/>
    <n v="52.033000950000002"/>
    <n v="84.270036279999999"/>
    <n v="7.0876275099999999"/>
    <n v="3.740143722"/>
    <n v="4.9021924849999996"/>
    <n v="71.256167430000005"/>
    <n v="11.97218925"/>
    <n v="7.0818037589999996"/>
    <n v="9.6898395629999996"/>
    <n v="96.266965350000007"/>
    <n v="2.5847589649999998"/>
    <n v="0.65961026379999999"/>
    <n v="0.4886654211"/>
    <n v="16"/>
    <n v="1322.1148547439821"/>
    <n v="47.966999049999998"/>
    <n v="3"/>
    <n v="84.270036279999999"/>
    <n v="52"/>
    <n v="48"/>
  </r>
  <r>
    <s v="Lithuania"/>
    <x v="1"/>
    <n v="2722.2910160000001"/>
    <n v="68.045997619999994"/>
    <n v="98.013347240000002"/>
    <n v="0"/>
    <n v="1.9866527599999999"/>
    <n v="0"/>
    <n v="93.78278023"/>
    <n v="0"/>
    <n v="6.2172197709999999"/>
    <n v="0"/>
    <n v="100"/>
    <n v="0"/>
    <n v="0"/>
    <n v="0"/>
    <n v="16"/>
    <n v="1852.4100799568339"/>
    <n v="31.954002380000006"/>
    <n v="3"/>
    <n v="98.013347240000002"/>
    <n v="68"/>
    <n v="32"/>
  </r>
  <r>
    <s v="Puerto Rico"/>
    <x v="1"/>
    <n v="2860.8400879999999"/>
    <n v="93.581001279999995"/>
    <n v="100"/>
    <n v="0"/>
    <n v="0"/>
    <n v="0"/>
    <s v="NAN"/>
    <s v="NAN"/>
    <s v="NAN"/>
    <s v="NAN"/>
    <s v="NAN"/>
    <s v="NAN"/>
    <s v="NAN"/>
    <s v="NAN"/>
    <n v="16"/>
    <n v="2677.2027993700331"/>
    <n v="6.4189987200000047"/>
    <n v="3"/>
    <n v="100"/>
    <n v="94"/>
    <n v="6"/>
  </r>
  <r>
    <s v="Albania"/>
    <x v="2"/>
    <n v="2877.8000489999999"/>
    <n v="62.111999509999997"/>
    <n v="95.068038830000006"/>
    <n v="1.8846560919999999"/>
    <n v="3.0473050810000002"/>
    <n v="0"/>
    <n v="94.091358060000005"/>
    <n v="2.3052649550000002"/>
    <n v="3.6033769859999998"/>
    <n v="0"/>
    <n v="95.663809119999996"/>
    <n v="1.62808683"/>
    <n v="2.7081040540000001"/>
    <n v="0"/>
    <n v="16"/>
    <n v="1787.4591523336596"/>
    <n v="37.888000490000003"/>
    <n v="3"/>
    <n v="95.068038830000006"/>
    <n v="62"/>
    <n v="38"/>
  </r>
  <r>
    <s v="Qatar"/>
    <x v="1"/>
    <n v="2881.0600589999999"/>
    <n v="99.23500061"/>
    <n v="99.568101940000005"/>
    <n v="0"/>
    <n v="0.4318980637"/>
    <n v="0"/>
    <s v="NAN"/>
    <s v="NAN"/>
    <s v="NAN"/>
    <s v="NAN"/>
    <s v="NAN"/>
    <s v="NAN"/>
    <s v="NAN"/>
    <s v="NAN"/>
    <n v="16"/>
    <n v="2859.0199671231162"/>
    <n v="0.76499938999999983"/>
    <n v="3"/>
    <n v="99.568101940000005"/>
    <n v="99"/>
    <n v="1"/>
  </r>
  <r>
    <s v="Jamaica"/>
    <x v="2"/>
    <n v="2961.1608890000002"/>
    <n v="56.311000819999997"/>
    <n v="91.029944499999999"/>
    <n v="5.3675709139999999"/>
    <n v="1.8640102030000001"/>
    <n v="1.7384743789999999"/>
    <n v="85.39991216"/>
    <n v="8.4907373709999998"/>
    <n v="2.5689718949999998"/>
    <n v="3.540378574"/>
    <n v="95.398015909999998"/>
    <n v="2.944456223"/>
    <n v="1.317064322"/>
    <n v="0.34046355"/>
    <n v="16"/>
    <n v="1667.4593324863094"/>
    <n v="43.688999180000003"/>
    <n v="3"/>
    <n v="91.029944499999999"/>
    <n v="56"/>
    <n v="44"/>
  </r>
  <r>
    <s v="Armenia"/>
    <x v="2"/>
    <n v="2963.2338869999999"/>
    <n v="63.312999730000001"/>
    <n v="99.971180689999997"/>
    <n v="0"/>
    <n v="2.8819308009999999E-2"/>
    <n v="0"/>
    <n v="100"/>
    <n v="0"/>
    <n v="0"/>
    <n v="0"/>
    <n v="99.954481220000005"/>
    <n v="0"/>
    <n v="4.5518783639999998E-2"/>
    <n v="0"/>
    <n v="16"/>
    <n v="1876.1122628755784"/>
    <n v="36.687000269999999"/>
    <n v="3"/>
    <n v="99.971180689999997"/>
    <n v="63"/>
    <n v="37"/>
  </r>
  <r>
    <s v="Mongolia"/>
    <x v="3"/>
    <n v="3278.2919919999999"/>
    <n v="68.656997680000003"/>
    <n v="85.495625270000005"/>
    <n v="2.1464289299999999"/>
    <n v="6.6333667140000001"/>
    <n v="5.7245790809999999"/>
    <n v="61.070751139999999"/>
    <n v="3.0841705720000001"/>
    <n v="17.580781160000001"/>
    <n v="18.264297129999999"/>
    <n v="96.645965579999995"/>
    <n v="1.718335079"/>
    <n v="1.635699341"/>
    <n v="0"/>
    <n v="16"/>
    <n v="2250.7768568910656"/>
    <n v="31.343002319999997"/>
    <n v="4"/>
    <n v="85.495625270000005"/>
    <n v="69"/>
    <n v="31"/>
  </r>
  <r>
    <s v="Bosnia and Herzegovina"/>
    <x v="2"/>
    <n v="3280.8149410000001"/>
    <n v="49.020000459999999"/>
    <n v="96.113897620000003"/>
    <n v="3.8236639380000002"/>
    <n v="6.2438437520000001E-2"/>
    <n v="0"/>
    <n v="97.333333330000002"/>
    <n v="2.6666666669999999"/>
    <n v="0"/>
    <n v="0"/>
    <n v="94.845704400000002"/>
    <n v="5.0269222060000001"/>
    <n v="0.12737339280000001"/>
    <n v="0"/>
    <n v="16"/>
    <n v="1608.2554991699487"/>
    <n v="50.979999540000001"/>
    <n v="4"/>
    <n v="96.113897620000003"/>
    <n v="49"/>
    <n v="51"/>
  </r>
  <r>
    <s v="Uruguay"/>
    <x v="1"/>
    <n v="3473.7270509999998"/>
    <n v="95.51499939"/>
    <n v="99.495757560000001"/>
    <n v="0.50424244119999995"/>
    <n v="0"/>
    <n v="0"/>
    <n v="95.300830000000005"/>
    <n v="4.6991699999999996"/>
    <n v="0"/>
    <n v="0"/>
    <n v="99.692734439999995"/>
    <n v="0.30726556170000002"/>
    <n v="0"/>
    <n v="0"/>
    <n v="16"/>
    <n v="3317.9303715729147"/>
    <n v="4.4850006100000002"/>
    <n v="4"/>
    <n v="99.495757560000001"/>
    <n v="96"/>
    <n v="4"/>
  </r>
  <r>
    <s v="Georgia"/>
    <x v="2"/>
    <n v="3989.1750489999999"/>
    <n v="59.452995299999998"/>
    <n v="97.348139700000004"/>
    <n v="0"/>
    <n v="2.6327613790000002"/>
    <n v="1.9098923269999998E-2"/>
    <n v="94.271884200000002"/>
    <n v="0"/>
    <n v="5.7039236180000001"/>
    <n v="2.4192183450000002E-2"/>
    <n v="99.446153940000002"/>
    <n v="0"/>
    <n v="0.53822074200000003"/>
    <n v="1.5625315859999999E-2"/>
    <n v="16"/>
    <n v="2371.6840543907429"/>
    <n v="40.547004700000002"/>
    <n v="4"/>
    <n v="97.348139700000004"/>
    <n v="59"/>
    <n v="41"/>
  </r>
  <r>
    <s v="Republic of Moldova"/>
    <x v="2"/>
    <n v="4033.9628910000001"/>
    <n v="42.849002839999997"/>
    <n v="90.569962239999995"/>
    <n v="1.519776762"/>
    <n v="7.910260997"/>
    <n v="0"/>
    <n v="85.481038119999994"/>
    <n v="1.52256302"/>
    <n v="12.996398859999999"/>
    <n v="0"/>
    <n v="97.357444479999998"/>
    <n v="1.516060408"/>
    <n v="1.1264951110000001"/>
    <n v="0"/>
    <n v="16"/>
    <n v="1728.5128737291359"/>
    <n v="57.150997160000003"/>
    <n v="5"/>
    <n v="90.569962239999995"/>
    <n v="43"/>
    <n v="57"/>
  </r>
  <r>
    <s v="Croatia"/>
    <x v="1"/>
    <n v="4105.2680659999996"/>
    <n v="57.552997589999997"/>
    <s v="NAN"/>
    <s v="NAN"/>
    <s v="NAN"/>
    <s v="NAN"/>
    <s v="NAN"/>
    <s v="NAN"/>
    <s v="NAN"/>
    <s v="NAN"/>
    <n v="100"/>
    <n v="0"/>
    <n v="0"/>
    <n v="0"/>
    <n v="16"/>
    <n v="2362.7048310880195"/>
    <n v="42.447002410000003"/>
    <n v="5"/>
    <s v="NAN"/>
    <n v="58"/>
    <n v="42"/>
  </r>
  <r>
    <s v="Kuwait"/>
    <x v="1"/>
    <n v="4270.5629879999997"/>
    <n v="100"/>
    <n v="100"/>
    <n v="0"/>
    <n v="0"/>
    <n v="0"/>
    <s v="NAN"/>
    <s v="NAN"/>
    <s v="NAN"/>
    <s v="NAN"/>
    <s v="NAN"/>
    <s v="NAN"/>
    <s v="NAN"/>
    <s v="NAN"/>
    <n v="16"/>
    <n v="4270.5629879999997"/>
    <n v="0"/>
    <n v="5"/>
    <n v="100"/>
    <n v="100"/>
    <n v="0"/>
  </r>
  <r>
    <s v="Panama"/>
    <x v="1"/>
    <n v="4314.7680659999996"/>
    <n v="68.414001459999994"/>
    <n v="94.372544360000006"/>
    <n v="1.8734805919999999"/>
    <n v="2.2623042469999999"/>
    <n v="1.491670799"/>
    <n v="86.323083260000004"/>
    <n v="1.791982583"/>
    <n v="7.1623643420000001"/>
    <n v="4.7225698109999996"/>
    <n v="98.088892670000007"/>
    <n v="1.9111073329999999"/>
    <n v="0"/>
    <n v="0"/>
    <n v="16"/>
    <n v="2951.9054876688533"/>
    <n v="31.585998540000006"/>
    <n v="5"/>
    <n v="94.372544360000006"/>
    <n v="68"/>
    <n v="32"/>
  </r>
  <r>
    <s v="Mauritania"/>
    <x v="3"/>
    <n v="4649.6601559999999"/>
    <n v="55.326995850000003"/>
    <n v="71.681049229999999"/>
    <n v="13.476891930000001"/>
    <n v="14.820326809999999"/>
    <n v="2.173203433E-2"/>
    <n v="49.911338899999997"/>
    <n v="18.49039689"/>
    <n v="31.549617300000001"/>
    <n v="4.8646907220000001E-2"/>
    <n v="89.258694649999995"/>
    <n v="9.4288080829999998"/>
    <n v="1.3124972699999999"/>
    <n v="0"/>
    <n v="16"/>
    <n v="2572.5172815492238"/>
    <n v="44.673004149999997"/>
    <n v="5"/>
    <n v="71.681049229999999"/>
    <n v="55"/>
    <n v="45"/>
  </r>
  <r>
    <s v="New Zealand"/>
    <x v="1"/>
    <n v="4822.2329099999997"/>
    <n v="86.698997500000004"/>
    <n v="100.00000129999999"/>
    <n v="0"/>
    <n v="0"/>
    <n v="0"/>
    <n v="100"/>
    <n v="0"/>
    <n v="0"/>
    <n v="0"/>
    <n v="100"/>
    <n v="0"/>
    <n v="0"/>
    <n v="0"/>
    <n v="16"/>
    <n v="4180.8275900850776"/>
    <n v="13.301002499999996"/>
    <n v="5"/>
    <n v="100"/>
    <n v="87"/>
    <n v="13"/>
  </r>
  <r>
    <s v="Central African Republic"/>
    <x v="4"/>
    <n v="4829.7641599999997"/>
    <n v="42.197998050000002"/>
    <n v="37.202402050000003"/>
    <n v="25.682373479999999"/>
    <n v="33.53911377"/>
    <n v="3.5761107079999999"/>
    <n v="28.106594149999999"/>
    <n v="19.405889899999998"/>
    <n v="46.373073009999999"/>
    <n v="6.1144429440000003"/>
    <n v="49.661664950000002"/>
    <n v="34.279780090000003"/>
    <n v="15.95940214"/>
    <n v="9.915281712E-2"/>
    <n v="16"/>
    <n v="2038.0637860563988"/>
    <n v="57.802001949999998"/>
    <n v="5"/>
    <n v="37.202402050000003"/>
    <n v="42"/>
    <n v="58"/>
  </r>
  <r>
    <s v="Ireland"/>
    <x v="1"/>
    <n v="4937.7958980000003"/>
    <n v="63.652999880000003"/>
    <n v="97.399706510000001"/>
    <n v="0"/>
    <n v="2.6002934849999999"/>
    <n v="0"/>
    <n v="98.134920750000006"/>
    <n v="0"/>
    <n v="1.8650792469999999"/>
    <n v="0"/>
    <n v="96.979886030000003"/>
    <n v="0"/>
    <n v="3.0201139659999998"/>
    <n v="0"/>
    <n v="16"/>
    <n v="3143.0552170285855"/>
    <n v="36.347000119999997"/>
    <n v="5"/>
    <n v="97.399706510000001"/>
    <n v="64"/>
    <n v="36"/>
  </r>
  <r>
    <s v="Liberia"/>
    <x v="4"/>
    <n v="5057.6767579999996"/>
    <n v="52.088996889999997"/>
    <n v="75.261791590000001"/>
    <n v="8.7006574749999999"/>
    <n v="3.488080869"/>
    <n v="12.549470060000001"/>
    <n v="64.100216889999999"/>
    <n v="6.5377757970000001"/>
    <n v="3.3837098750000001"/>
    <n v="25.978297439999999"/>
    <n v="85.528109630000003"/>
    <n v="10.69005698"/>
    <n v="3.58408039"/>
    <n v="0.19775300060000001"/>
    <n v="16"/>
    <n v="2634.4930891808722"/>
    <n v="47.911003110000003"/>
    <n v="6"/>
    <n v="75.261791590000001"/>
    <n v="52"/>
    <n v="48"/>
  </r>
  <r>
    <s v="Costa Rica"/>
    <x v="2"/>
    <n v="5094.1137699999999"/>
    <n v="80.770996089999997"/>
    <n v="99.810536929999998"/>
    <n v="0.18945947460000001"/>
    <n v="3.5944518969999999E-6"/>
    <n v="0"/>
    <n v="99.646249999999995"/>
    <n v="0.35375000000000001"/>
    <n v="0"/>
    <n v="0"/>
    <n v="99.849652860000006"/>
    <n v="0.15034714290000001"/>
    <n v="0"/>
    <n v="0"/>
    <n v="16"/>
    <n v="4114.5664339868517"/>
    <n v="19.229003910000003"/>
    <n v="6"/>
    <n v="99.810536929999998"/>
    <n v="81"/>
    <n v="19"/>
  </r>
  <r>
    <s v="West Bank and Gaza Strip"/>
    <x v="3"/>
    <n v="5101.4160160000001"/>
    <n v="76.718994140000007"/>
    <n v="97.880397220000006"/>
    <n v="1.029979486"/>
    <n v="1.089623295"/>
    <s v="NAN"/>
    <n v="98.715556419999999"/>
    <n v="0.31740062730000002"/>
    <n v="0.96704295760000003"/>
    <s v="NAN"/>
    <n v="97.626964430000001"/>
    <n v="1.246217358"/>
    <n v="1.126818208"/>
    <s v="NAN"/>
    <n v="16"/>
    <n v="3913.7550543720617"/>
    <n v="23.281005859999993"/>
    <n v="6"/>
    <n v="97.880397220000006"/>
    <n v="77"/>
    <n v="23"/>
  </r>
  <r>
    <s v="Oman"/>
    <x v="1"/>
    <n v="5106.6220700000003"/>
    <n v="86.275993349999993"/>
    <n v="92.168024689999996"/>
    <n v="7.5414198929999996"/>
    <n v="0.26040520360000002"/>
    <n v="3.0150217449999999E-2"/>
    <n v="76.250779910000006"/>
    <n v="21.632121130000002"/>
    <n v="1.897409218"/>
    <n v="0.21968973750000001"/>
    <n v="94.7"/>
    <n v="5.3"/>
    <n v="0"/>
    <n v="0"/>
    <n v="16"/>
    <n v="4405.788917522832"/>
    <n v="13.724006650000007"/>
    <n v="6"/>
    <n v="92.168024689999996"/>
    <n v="86"/>
    <n v="14"/>
  </r>
  <r>
    <s v="Norway"/>
    <x v="1"/>
    <n v="5421.2421880000002"/>
    <n v="82.973991389999995"/>
    <n v="99.999995499999997"/>
    <n v="0"/>
    <n v="4.5034074529999998E-6"/>
    <n v="0"/>
    <n v="100"/>
    <n v="0"/>
    <n v="0"/>
    <n v="0"/>
    <n v="100"/>
    <n v="0"/>
    <n v="0"/>
    <n v="0"/>
    <n v="16"/>
    <n v="4498.221026302167"/>
    <n v="17.026008610000005"/>
    <n v="6"/>
    <n v="99.999995499999997"/>
    <n v="83"/>
    <n v="17"/>
  </r>
  <r>
    <s v="Slovakia"/>
    <x v="1"/>
    <n v="5459.6430659999996"/>
    <n v="53.759998320000001"/>
    <n v="99.787698579999997"/>
    <n v="0.2123014241"/>
    <n v="0"/>
    <n v="0"/>
    <n v="100"/>
    <n v="0"/>
    <n v="0"/>
    <n v="0"/>
    <n v="99.605094059999999"/>
    <n v="0.39490593740000002"/>
    <n v="0"/>
    <n v="0"/>
    <n v="16"/>
    <n v="2935.1040205595964"/>
    <n v="46.240001679999999"/>
    <n v="6"/>
    <n v="99.787698579999997"/>
    <n v="54"/>
    <n v="46"/>
  </r>
  <r>
    <s v="Congo"/>
    <x v="3"/>
    <n v="5518.091797"/>
    <n v="67.829002380000006"/>
    <n v="73.78451158"/>
    <n v="10.46117203"/>
    <n v="9.5591807220000007"/>
    <n v="6.1951356640000004"/>
    <n v="45.724413179999999"/>
    <n v="10.6323901"/>
    <n v="24.405169730000001"/>
    <n v="19.238026990000002"/>
    <n v="87.093296159999994"/>
    <n v="10.37996439"/>
    <n v="2.5177899969999999"/>
    <n v="8.9494520549999994E-3"/>
    <n v="16"/>
    <n v="3742.8666163177149"/>
    <n v="32.170997619999994"/>
    <n v="6"/>
    <n v="73.78451158"/>
    <n v="68"/>
    <n v="32"/>
  </r>
  <r>
    <s v="Finland"/>
    <x v="1"/>
    <n v="5540.7177730000003"/>
    <n v="85.517005920000003"/>
    <n v="100.0000033"/>
    <n v="0"/>
    <n v="0"/>
    <n v="0"/>
    <n v="100"/>
    <n v="0"/>
    <n v="0"/>
    <n v="0"/>
    <n v="100"/>
    <n v="0"/>
    <n v="0"/>
    <n v="0"/>
    <n v="16"/>
    <n v="4738.2559459469021"/>
    <n v="14.482994079999997"/>
    <n v="6"/>
    <n v="100"/>
    <n v="86"/>
    <n v="14"/>
  </r>
  <r>
    <s v="Denmark"/>
    <x v="1"/>
    <n v="5792.203125"/>
    <n v="88.116004939999996"/>
    <n v="100.00000110000001"/>
    <n v="0"/>
    <n v="0"/>
    <n v="0"/>
    <n v="100"/>
    <n v="0"/>
    <n v="0"/>
    <n v="0"/>
    <n v="100"/>
    <n v="0"/>
    <n v="0"/>
    <n v="0"/>
    <n v="16"/>
    <n v="5103.8579917598336"/>
    <n v="11.883995060000004"/>
    <n v="6"/>
    <n v="100"/>
    <n v="88"/>
    <n v="12"/>
  </r>
  <r>
    <s v="Singapore"/>
    <x v="1"/>
    <n v="5850.3427730000003"/>
    <n v="100"/>
    <n v="100"/>
    <n v="0"/>
    <n v="0"/>
    <n v="0"/>
    <s v="NAN"/>
    <s v="NAN"/>
    <s v="NAN"/>
    <s v="NAN"/>
    <n v="100"/>
    <n v="0"/>
    <n v="0"/>
    <n v="0"/>
    <n v="16"/>
    <n v="5850.3427730000003"/>
    <n v="0"/>
    <n v="6"/>
    <n v="100"/>
    <n v="100"/>
    <n v="0"/>
  </r>
  <r>
    <s v="Turkmenistan"/>
    <x v="2"/>
    <n v="6031.1870120000003"/>
    <n v="52.516002659999998"/>
    <n v="100"/>
    <n v="0"/>
    <n v="0"/>
    <n v="0"/>
    <n v="100"/>
    <n v="0"/>
    <n v="0"/>
    <n v="0"/>
    <n v="100"/>
    <n v="0"/>
    <n v="0"/>
    <n v="0"/>
    <n v="16"/>
    <n v="3167.3383316514942"/>
    <n v="47.483997340000002"/>
    <n v="7"/>
    <n v="100"/>
    <n v="53"/>
    <n v="47"/>
  </r>
  <r>
    <s v="El Salvador"/>
    <x v="3"/>
    <n v="6486.201172"/>
    <n v="73.444000239999994"/>
    <n v="97.946575409999994"/>
    <n v="0.20726323190000001"/>
    <n v="0.31517399689999998"/>
    <n v="1.530987366"/>
    <n v="93.454395079999998"/>
    <n v="0.78047620490000003"/>
    <n v="0"/>
    <n v="5.7651287120000001"/>
    <n v="99.570870009999993"/>
    <n v="0"/>
    <n v="0.42912999439999999"/>
    <n v="0"/>
    <n v="16"/>
    <n v="4763.7256043305624"/>
    <n v="26.555999760000006"/>
    <n v="7"/>
    <n v="97.946575409999994"/>
    <n v="73"/>
    <n v="27"/>
  </r>
  <r>
    <s v="Kyrgyzstan"/>
    <x v="0"/>
    <n v="6524.1909180000002"/>
    <n v="36.855998990000003"/>
    <n v="91.699305219999999"/>
    <n v="1.900734111"/>
    <n v="1.8656486999999999"/>
    <n v="4.5343119649999997"/>
    <n v="87.258429000000007"/>
    <n v="2.606070485"/>
    <n v="2.9545936840000002"/>
    <n v="7.1809068319999998"/>
    <n v="99.307692309999993"/>
    <n v="0.6923076923"/>
    <n v="0"/>
    <n v="0"/>
    <n v="16"/>
    <n v="2404.5557388437524"/>
    <n v="63.144001009999997"/>
    <n v="7"/>
    <n v="91.699305219999999"/>
    <n v="37"/>
    <n v="63"/>
  </r>
  <r>
    <s v="Nicaragua"/>
    <x v="3"/>
    <n v="6624.5541990000002"/>
    <n v="59.012001040000001"/>
    <n v="81.708753799999997"/>
    <n v="1.506645682"/>
    <n v="13.530531140000001"/>
    <n v="3.2540693780000001"/>
    <n v="59.107446629999998"/>
    <n v="3.5209742849999999"/>
    <n v="29.780173680000001"/>
    <n v="7.5914054000000002"/>
    <n v="97.406956609999995"/>
    <n v="0.10755231429999999"/>
    <n v="2.244007656"/>
    <n v="0.24148342289999999"/>
    <n v="16"/>
    <n v="3909.281992809244"/>
    <n v="40.987998959999999"/>
    <n v="7"/>
    <n v="81.708753799999997"/>
    <n v="59"/>
    <n v="41"/>
  </r>
  <r>
    <s v="Lebanon"/>
    <x v="3"/>
    <n v="6825.4418949999999"/>
    <n v="88.924995420000002"/>
    <n v="92.6"/>
    <n v="7.4"/>
    <n v="0"/>
    <n v="0"/>
    <s v="NAN"/>
    <s v="NAN"/>
    <s v="NAN"/>
    <s v="NAN"/>
    <s v="NAN"/>
    <s v="NAN"/>
    <s v="NAN"/>
    <s v="NAN"/>
    <n v="16"/>
    <n v="6069.5238925235108"/>
    <n v="11.075004579999998"/>
    <n v="7"/>
    <n v="92.6"/>
    <n v="89"/>
    <n v="11"/>
  </r>
  <r>
    <s v="Libya"/>
    <x v="2"/>
    <n v="6871.2871089999999"/>
    <n v="80.691001889999995"/>
    <n v="99.891523800000002"/>
    <n v="0"/>
    <n v="0.1084762012"/>
    <n v="0"/>
    <s v="NAN"/>
    <s v="NAN"/>
    <s v="NAN"/>
    <s v="NAN"/>
    <s v="NAN"/>
    <s v="NAN"/>
    <s v="NAN"/>
    <s v="NAN"/>
    <n v="16"/>
    <n v="5544.510410990516"/>
    <n v="19.308998110000005"/>
    <n v="7"/>
    <n v="99.891523800000002"/>
    <n v="81"/>
    <n v="19"/>
  </r>
  <r>
    <s v="Bulgaria"/>
    <x v="2"/>
    <n v="6948.4448240000002"/>
    <n v="75.685997009999994"/>
    <n v="99.011416940000004"/>
    <n v="0"/>
    <n v="0.98858306070000002"/>
    <n v="0"/>
    <n v="97.401287969999998"/>
    <n v="0"/>
    <n v="2.5987120309999998"/>
    <n v="0"/>
    <n v="99.528670399999996"/>
    <n v="0"/>
    <n v="0.47132960070000002"/>
    <n v="0"/>
    <n v="16"/>
    <n v="5258.9997417341392"/>
    <n v="24.314002990000006"/>
    <n v="7"/>
    <n v="99.011416940000004"/>
    <n v="76"/>
    <n v="24"/>
  </r>
  <r>
    <s v="Paraguay"/>
    <x v="2"/>
    <n v="7132.5297849999997"/>
    <n v="62.182994839999999"/>
    <n v="99.593466329999998"/>
    <n v="0.40653024389999998"/>
    <n v="3.4229177000000001E-6"/>
    <n v="0"/>
    <n v="99.111227529999994"/>
    <n v="0.88877246840000002"/>
    <n v="0"/>
    <n v="0"/>
    <n v="99.886748539999999"/>
    <n v="0.11325146429999999"/>
    <n v="0"/>
    <n v="0"/>
    <n v="16"/>
    <n v="4435.2206281680128"/>
    <n v="37.817005160000001"/>
    <n v="8"/>
    <n v="99.593466329999998"/>
    <n v="62"/>
    <n v="38"/>
  </r>
  <r>
    <s v="Lao People's Democratic Republic"/>
    <x v="3"/>
    <n v="7275.5561520000001"/>
    <n v="36.290000919999997"/>
    <n v="85.219743179999995"/>
    <n v="3.566857739"/>
    <n v="10.62886799"/>
    <n v="0.58453109380000001"/>
    <n v="78.472959419999995"/>
    <n v="5.5985837859999998"/>
    <n v="15.010969599999999"/>
    <n v="0.91748719570000004"/>
    <n v="97.064262220000003"/>
    <n v="0"/>
    <n v="2.935737778"/>
    <n v="0"/>
    <n v="16"/>
    <n v="2640.2993944959167"/>
    <n v="63.709999080000003"/>
    <n v="8"/>
    <n v="85.219743179999995"/>
    <n v="36"/>
    <n v="64"/>
  </r>
  <r>
    <s v="China, Hong Kong SAR"/>
    <x v="1"/>
    <n v="7496.9877930000002"/>
    <n v="100"/>
    <n v="100"/>
    <n v="0"/>
    <n v="0"/>
    <n v="0"/>
    <s v="NAN"/>
    <s v="NAN"/>
    <s v="NAN"/>
    <s v="NAN"/>
    <n v="100"/>
    <n v="0"/>
    <n v="0"/>
    <n v="0"/>
    <n v="16"/>
    <n v="7496.9877930000002"/>
    <n v="0"/>
    <n v="8"/>
    <n v="100"/>
    <n v="100"/>
    <n v="0"/>
  </r>
  <r>
    <s v="Sierra Leone"/>
    <x v="4"/>
    <n v="7976.9848629999997"/>
    <n v="42.923000340000002"/>
    <n v="63.766285619999998"/>
    <n v="9.0233163570000006"/>
    <n v="15.5639457"/>
    <n v="11.646452330000001"/>
    <n v="52.752702669999998"/>
    <n v="5.2211368890000003"/>
    <n v="23.142949089999998"/>
    <n v="18.88321135"/>
    <n v="78.411637659999997"/>
    <n v="14.079277429999999"/>
    <n v="5.4857354369999998"/>
    <n v="2.0233494749999998"/>
    <n v="16"/>
    <n v="3423.9612398672384"/>
    <n v="57.076999659999998"/>
    <n v="8"/>
    <n v="63.766285619999998"/>
    <n v="43"/>
    <n v="57"/>
  </r>
  <r>
    <s v="Togo"/>
    <x v="4"/>
    <n v="8278.7373050000006"/>
    <n v="42.799999239999998"/>
    <n v="68.58372009"/>
    <n v="6.065434765"/>
    <n v="14.16432245"/>
    <n v="11.18652269"/>
    <n v="52.117552750000002"/>
    <n v="8.1875420190000003"/>
    <n v="20.7910842"/>
    <n v="18.90382103"/>
    <n v="90.589910009999997"/>
    <n v="3.2293480560000001"/>
    <n v="5.3079905280000004"/>
    <n v="0.87275140490000003"/>
    <n v="16"/>
    <n v="3543.2995036215966"/>
    <n v="57.200000760000002"/>
    <n v="9"/>
    <n v="68.58372009"/>
    <n v="43"/>
    <n v="57"/>
  </r>
  <r>
    <s v="Switzerland"/>
    <x v="1"/>
    <n v="8654.6181639999995"/>
    <n v="73.915000919999997"/>
    <n v="100.0000028"/>
    <n v="0"/>
    <n v="0"/>
    <n v="0"/>
    <n v="100"/>
    <n v="0"/>
    <n v="0"/>
    <n v="0"/>
    <n v="100"/>
    <n v="0"/>
    <n v="0"/>
    <n v="0"/>
    <n v="16"/>
    <n v="6397.0610955430866"/>
    <n v="26.084999080000003"/>
    <n v="9"/>
    <n v="100"/>
    <n v="74"/>
    <n v="26"/>
  </r>
  <r>
    <s v="Israel"/>
    <x v="1"/>
    <n v="8655.5410159999992"/>
    <n v="92.58699799"/>
    <n v="100"/>
    <n v="0"/>
    <n v="0"/>
    <n v="0"/>
    <n v="100"/>
    <n v="0"/>
    <n v="0"/>
    <n v="0"/>
    <n v="100"/>
    <n v="0"/>
    <n v="0"/>
    <n v="0"/>
    <n v="16"/>
    <n v="8013.9055865075443"/>
    <n v="7.4130020099999996"/>
    <n v="9"/>
    <n v="100"/>
    <n v="93"/>
    <n v="7"/>
  </r>
  <r>
    <s v="Serbia"/>
    <x v="2"/>
    <n v="8737.3701170000004"/>
    <n v="56.445999149999999"/>
    <n v="95.29552932"/>
    <n v="4.244199279"/>
    <n v="0.44372047780000001"/>
    <n v="1.6550926470000001E-2"/>
    <n v="95.844974750000006"/>
    <n v="3.545864028"/>
    <n v="0.57116028659999996"/>
    <n v="3.8000931410000001E-2"/>
    <n v="94.871569890000004"/>
    <n v="4.7830378649999998"/>
    <n v="0.3453922445"/>
    <n v="0"/>
    <n v="16"/>
    <n v="4931.8958619741743"/>
    <n v="43.554000850000001"/>
    <n v="9"/>
    <n v="95.29552932"/>
    <n v="56"/>
    <n v="44"/>
  </r>
  <r>
    <s v="Papua New Guinea"/>
    <x v="3"/>
    <n v="8947.0273440000001"/>
    <n v="13.34500027"/>
    <n v="45.344017520000001"/>
    <n v="2.128564452"/>
    <n v="22.157624949999999"/>
    <n v="30.369793080000001"/>
    <n v="39.071343669999997"/>
    <n v="2.4298502929999999"/>
    <n v="24.431800859999999"/>
    <n v="34.067005170000002"/>
    <n v="86.075271639999997"/>
    <n v="0.17218226079999999"/>
    <n v="7.3903855639999998"/>
    <n v="6.3621605319999999"/>
    <n v="16"/>
    <n v="1193.9808232137736"/>
    <n v="86.65499973"/>
    <n v="9"/>
    <n v="45.344017520000001"/>
    <n v="13"/>
    <n v="87"/>
  </r>
  <r>
    <s v="Austria"/>
    <x v="1"/>
    <n v="9006.4003909999992"/>
    <n v="58.748001100000003"/>
    <n v="100"/>
    <n v="0"/>
    <n v="0"/>
    <n v="0"/>
    <n v="100"/>
    <n v="0"/>
    <n v="0"/>
    <n v="0"/>
    <n v="100"/>
    <n v="0"/>
    <n v="0"/>
    <n v="0"/>
    <n v="16"/>
    <n v="5291.0802007750844"/>
    <n v="41.251998899999997"/>
    <n v="10"/>
    <n v="100"/>
    <n v="59"/>
    <n v="41"/>
  </r>
  <r>
    <s v="Belarus"/>
    <x v="2"/>
    <n v="9449.3212889999995"/>
    <n v="79.483001709999996"/>
    <n v="96.534726079999999"/>
    <n v="3.3721195499999999"/>
    <n v="9.3154368370000004E-2"/>
    <n v="0"/>
    <n v="98.564122310000002"/>
    <n v="0.9955971951"/>
    <n v="0.4402804931"/>
    <n v="0"/>
    <n v="96.010873619999998"/>
    <n v="3.9855726439999999"/>
    <n v="3.5537319770000001E-3"/>
    <n v="0"/>
    <n v="16"/>
    <n v="7510.604201719264"/>
    <n v="20.516998290000004"/>
    <n v="10"/>
    <n v="96.534726079999999"/>
    <n v="79"/>
    <n v="21"/>
  </r>
  <r>
    <s v="Tajikistan"/>
    <x v="3"/>
    <n v="9537.6416019999997"/>
    <n v="27.505998609999999"/>
    <n v="81.852415019999995"/>
    <n v="2.5683639349999998"/>
    <n v="3.4218570050000001"/>
    <n v="12.157364039999999"/>
    <n v="76.643599199999997"/>
    <n v="3.2071439279999998"/>
    <n v="4.1407069480000001"/>
    <n v="16.00854992"/>
    <n v="95.580623860000003"/>
    <n v="0.88481447629999999"/>
    <n v="1.5272683229999999"/>
    <n v="2.0072933389999998"/>
    <n v="16"/>
    <n v="2623.4235664729017"/>
    <n v="72.494001389999994"/>
    <n v="10"/>
    <n v="81.852415019999995"/>
    <n v="28"/>
    <n v="72"/>
  </r>
  <r>
    <s v="Hungary"/>
    <x v="1"/>
    <n v="9660.3496090000008"/>
    <n v="71.942001340000004"/>
    <n v="99.999997469999997"/>
    <n v="0"/>
    <n v="2.5272441919999999E-6"/>
    <n v="0"/>
    <n v="100"/>
    <n v="0"/>
    <n v="0"/>
    <n v="0"/>
    <n v="100"/>
    <n v="0"/>
    <n v="0"/>
    <n v="0"/>
    <n v="16"/>
    <n v="6949.8488451554658"/>
    <n v="28.057998659999996"/>
    <n v="10"/>
    <n v="99.999997469999997"/>
    <n v="72"/>
    <n v="28"/>
  </r>
  <r>
    <s v="United Arab Emirates"/>
    <x v="1"/>
    <n v="9890.4003909999992"/>
    <n v="87.047996519999998"/>
    <n v="99.965596000000005"/>
    <n v="0"/>
    <n v="3.4403999999999997E-2"/>
    <n v="0"/>
    <s v="NAN"/>
    <s v="NAN"/>
    <s v="NAN"/>
    <s v="NAN"/>
    <s v="NAN"/>
    <s v="NAN"/>
    <s v="NAN"/>
    <s v="NAN"/>
    <n v="16"/>
    <n v="8609.3953881717443"/>
    <n v="12.952003480000002"/>
    <n v="10"/>
    <n v="99.965596000000005"/>
    <n v="87"/>
    <n v="13"/>
  </r>
  <r>
    <s v="Honduras"/>
    <x v="3"/>
    <n v="9904.6083980000003"/>
    <n v="58.358997340000002"/>
    <n v="95.689221130000007"/>
    <n v="0.4256206085"/>
    <n v="3.8851582640000002"/>
    <n v="0"/>
    <n v="89.875799549999996"/>
    <n v="0.80670950789999996"/>
    <n v="9.3174909459999995"/>
    <n v="0"/>
    <n v="99.837282810000005"/>
    <n v="0.15370152619999999"/>
    <n v="9.0156632960000007E-3"/>
    <n v="0"/>
    <n v="16"/>
    <n v="5780.2301515262379"/>
    <n v="41.641002659999998"/>
    <n v="10"/>
    <n v="95.689221130000007"/>
    <n v="58"/>
    <n v="42"/>
  </r>
  <r>
    <s v="Sweden"/>
    <x v="1"/>
    <n v="10099.26953"/>
    <n v="87.97699738"/>
    <n v="99.826867629999995"/>
    <n v="0"/>
    <n v="0.17313237349999999"/>
    <n v="0"/>
    <n v="99.719374740000006"/>
    <n v="0"/>
    <n v="0.28062526259999998"/>
    <n v="0"/>
    <n v="99.841557679999994"/>
    <n v="0"/>
    <n v="0.1584423157"/>
    <n v="0"/>
    <n v="16"/>
    <n v="8885.0340898072373"/>
    <n v="12.02300262"/>
    <n v="11"/>
    <n v="99.826867629999995"/>
    <n v="88"/>
    <n v="12"/>
  </r>
  <r>
    <s v="Azerbaijan"/>
    <x v="2"/>
    <n v="10139.174800000001"/>
    <n v="56.397003169999998"/>
    <n v="96.043376129999999"/>
    <n v="1.04278118"/>
    <n v="2.9138426879999999"/>
    <n v="0"/>
    <n v="90.925797950000003"/>
    <n v="2.3915356710000002"/>
    <n v="6.6826663770000003"/>
    <n v="0"/>
    <n v="100"/>
    <n v="0"/>
    <n v="0"/>
    <n v="0"/>
    <n v="16"/>
    <n v="5718.1907333678409"/>
    <n v="43.602996830000002"/>
    <n v="11"/>
    <n v="96.043376129999999"/>
    <n v="56"/>
    <n v="44"/>
  </r>
  <r>
    <s v="Portugal"/>
    <x v="1"/>
    <n v="10196.70703"/>
    <n v="66.309997559999999"/>
    <n v="99.911993670000001"/>
    <n v="0"/>
    <n v="8.8006333689999994E-2"/>
    <n v="0"/>
    <n v="99.738776090000002"/>
    <n v="0"/>
    <n v="0.26122391220000002"/>
    <n v="0"/>
    <n v="100"/>
    <n v="0"/>
    <n v="0"/>
    <n v="0"/>
    <n v="16"/>
    <n v="6761.4361827933481"/>
    <n v="33.690002440000001"/>
    <n v="11"/>
    <n v="99.911993670000001"/>
    <n v="66"/>
    <n v="34"/>
  </r>
  <r>
    <s v="Jordan"/>
    <x v="2"/>
    <n v="10203.139649999999"/>
    <n v="91.417999269999996"/>
    <n v="98.940302959999997"/>
    <n v="0.1462147369"/>
    <n v="0.8536474704"/>
    <n v="5.9834831790000001E-2"/>
    <n v="97.311478690000001"/>
    <n v="0.62394659450000001"/>
    <n v="2.0247147160000001"/>
    <n v="3.986E-2"/>
    <n v="99.093212589999993"/>
    <n v="0.1013669408"/>
    <n v="0.74371047069999996"/>
    <n v="6.1710000000000001E-2"/>
    <n v="16"/>
    <n v="9327.50613075408"/>
    <n v="8.5820007300000043"/>
    <n v="11"/>
    <n v="98.940302959999997"/>
    <n v="91"/>
    <n v="9"/>
  </r>
  <r>
    <s v="Greece"/>
    <x v="1"/>
    <n v="10423.05566"/>
    <n v="79.715003969999998"/>
    <n v="100.00000230000001"/>
    <n v="0"/>
    <n v="0"/>
    <n v="0"/>
    <n v="100"/>
    <n v="0"/>
    <n v="0"/>
    <n v="0"/>
    <n v="100"/>
    <n v="0"/>
    <n v="0"/>
    <n v="0"/>
    <n v="16"/>
    <n v="8308.7392331643096"/>
    <n v="20.284996030000002"/>
    <n v="11"/>
    <n v="100"/>
    <n v="80"/>
    <n v="20"/>
  </r>
  <r>
    <s v="Czech Republic"/>
    <x v="1"/>
    <n v="10708.98242"/>
    <n v="74.061004639999993"/>
    <n v="99.880591670000001"/>
    <n v="0"/>
    <n v="0.11940833250000001"/>
    <n v="0"/>
    <n v="99.817599299999998"/>
    <n v="0"/>
    <n v="0.18240069649999999"/>
    <n v="0"/>
    <n v="99.902650929999993"/>
    <n v="0"/>
    <n v="9.7349067900000003E-2"/>
    <n v="0"/>
    <n v="16"/>
    <n v="7931.1799669729835"/>
    <n v="25.938995360000007"/>
    <n v="11"/>
    <n v="99.880591670000001"/>
    <n v="74"/>
    <n v="26"/>
  </r>
  <r>
    <s v="Dominican Republic"/>
    <x v="2"/>
    <n v="10847.9043"/>
    <n v="82.540000919999997"/>
    <n v="96.686811919999997"/>
    <n v="0.46703865039999998"/>
    <n v="1.2694287829999999"/>
    <n v="1.5767206439999999"/>
    <n v="90.304464370000005"/>
    <n v="1.3853155079999999"/>
    <n v="1.1151181269999999"/>
    <n v="7.1951019909999996"/>
    <n v="98.036891580000002"/>
    <n v="0.27279203590000001"/>
    <n v="1.3020733959999999"/>
    <n v="0.38824299220000003"/>
    <n v="16"/>
    <n v="8953.8603090207198"/>
    <n v="17.459999080000003"/>
    <n v="11"/>
    <n v="96.686811919999997"/>
    <n v="83"/>
    <n v="17"/>
  </r>
  <r>
    <s v="South Sudan"/>
    <x v="4"/>
    <n v="11193.728520000001"/>
    <n v="20.198999400000002"/>
    <n v="40.95092717"/>
    <n v="37.426962869999997"/>
    <n v="13.537555190000001"/>
    <n v="8.0845547619999998"/>
    <n v="33.593628809999998"/>
    <n v="42.164380680000001"/>
    <n v="14.111096160000001"/>
    <n v="10.13089435"/>
    <n v="70.017704449999997"/>
    <n v="18.710660919999999"/>
    <n v="11.27163464"/>
    <n v="0"/>
    <n v="16"/>
    <n v="2261.0211565924292"/>
    <n v="79.801000599999995"/>
    <n v="12"/>
    <n v="40.95092717"/>
    <n v="20"/>
    <n v="80"/>
  </r>
  <r>
    <s v="Cuba"/>
    <x v="2"/>
    <n v="11326.61621"/>
    <n v="77.194000239999994"/>
    <n v="97.002696159999999"/>
    <n v="1.471384542"/>
    <n v="1.252811506"/>
    <n v="0.27310779629999998"/>
    <n v="94.386651139999998"/>
    <n v="2.591752445"/>
    <n v="1.9059729350000001"/>
    <n v="1.115623477"/>
    <n v="97.775576639999997"/>
    <n v="1.1403859000000001"/>
    <n v="1.059840374"/>
    <n v="2.4197084109999999E-2"/>
    <n v="16"/>
    <n v="8743.4681443312784"/>
    <n v="22.805999760000006"/>
    <n v="12"/>
    <n v="97.002696159999999"/>
    <n v="77"/>
    <n v="23"/>
  </r>
  <r>
    <s v="Haiti"/>
    <x v="3"/>
    <n v="11402.5332"/>
    <n v="57.087997440000002"/>
    <n v="66.695308400000002"/>
    <n v="9.8145436519999993"/>
    <n v="23.490147950000001"/>
    <n v="0"/>
    <n v="42.845700100000002"/>
    <n v="13.25598695"/>
    <n v="43.898312949999998"/>
    <n v="0"/>
    <n v="84.622621289999998"/>
    <n v="7.2276738790000001"/>
    <n v="8.1497048349999996"/>
    <n v="0"/>
    <n v="16"/>
    <n v="6509.4778613111503"/>
    <n v="42.912002559999998"/>
    <n v="12"/>
    <n v="66.695308400000002"/>
    <n v="57"/>
    <n v="43"/>
  </r>
  <r>
    <s v="Belgium"/>
    <x v="1"/>
    <n v="11589.61621"/>
    <n v="98.078994750000007"/>
    <n v="99.999996449999998"/>
    <n v="0"/>
    <n v="3.5547967910000002E-6"/>
    <n v="0"/>
    <n v="100"/>
    <n v="0"/>
    <n v="0"/>
    <n v="0"/>
    <n v="100"/>
    <n v="0"/>
    <n v="0"/>
    <n v="0"/>
    <n v="16"/>
    <n v="11366.97907415105"/>
    <n v="1.9210052499999932"/>
    <n v="12"/>
    <n v="99.999996449999998"/>
    <n v="98"/>
    <n v="2"/>
  </r>
  <r>
    <s v="Bolivia (Plurinational State of)"/>
    <x v="3"/>
    <n v="11673.0293"/>
    <n v="70.123001099999996"/>
    <n v="93.390071629999994"/>
    <n v="0.13659052960000001"/>
    <n v="1.575010843"/>
    <n v="4.8983269969999998"/>
    <n v="79.936642829999997"/>
    <n v="0.24473640820000001"/>
    <n v="3.9541336930000002"/>
    <n v="15.864487069999999"/>
    <n v="99.122118319999998"/>
    <n v="9.0513289469999994E-2"/>
    <n v="0.56134538079999996"/>
    <n v="0.22602301120000001"/>
    <n v="16"/>
    <n v="8185.4784644423216"/>
    <n v="29.876998900000004"/>
    <n v="12"/>
    <n v="93.390071629999994"/>
    <n v="70"/>
    <n v="30"/>
  </r>
  <r>
    <s v="Tunisia"/>
    <x v="3"/>
    <n v="11818.61816"/>
    <n v="69.568000789999999"/>
    <n v="97.54330899"/>
    <n v="1.63135067"/>
    <n v="0.82534033780000005"/>
    <n v="0"/>
    <n v="93.936231930000005"/>
    <n v="3.3516873569999999"/>
    <n v="2.71208071"/>
    <n v="0"/>
    <n v="99.121197629999998"/>
    <n v="0.87880236840000003"/>
    <n v="0"/>
    <n v="0"/>
    <n v="16"/>
    <n v="8221.9763749158828"/>
    <n v="30.431999210000001"/>
    <n v="12"/>
    <n v="97.54330899"/>
    <n v="70"/>
    <n v="30"/>
  </r>
  <r>
    <s v="Burundi"/>
    <x v="4"/>
    <n v="11890.78125"/>
    <n v="13.708000180000001"/>
    <n v="62.207122249999998"/>
    <n v="19.439693139999999"/>
    <n v="14.758259689999999"/>
    <n v="3.5949249129999998"/>
    <n v="57.685765269999997"/>
    <n v="21.251482129999999"/>
    <n v="16.896752379999999"/>
    <n v="4.1660002189999998"/>
    <n v="90.669110860000004"/>
    <n v="8.0344628690000004"/>
    <n v="1.2964262689999999"/>
    <n v="0"/>
    <n v="16"/>
    <n v="1629.9883151534063"/>
    <n v="86.291999820000001"/>
    <n v="12"/>
    <n v="62.207122249999998"/>
    <n v="14"/>
    <n v="86"/>
  </r>
  <r>
    <s v="Benin"/>
    <x v="3"/>
    <n v="12123.19824"/>
    <n v="48.414997100000001"/>
    <n v="65.414122989999996"/>
    <n v="9.317535586"/>
    <n v="21.97254088"/>
    <n v="3.2958005469999998"/>
    <n v="58.052267989999997"/>
    <n v="12.705205039999999"/>
    <n v="23.977968329999999"/>
    <n v="5.2645586340000001"/>
    <n v="73.258000039999999"/>
    <n v="5.7080563529999999"/>
    <n v="19.835806810000001"/>
    <n v="1.1981367940000001"/>
    <n v="16"/>
    <n v="5869.446076323251"/>
    <n v="51.585002899999999"/>
    <n v="13"/>
    <n v="65.414122989999996"/>
    <n v="48"/>
    <n v="52"/>
  </r>
  <r>
    <s v="Rwanda"/>
    <x v="4"/>
    <n v="12952.208979999999"/>
    <n v="17.432001110000002"/>
    <n v="60.41450115"/>
    <n v="22.3207193"/>
    <n v="13.15480415"/>
    <n v="4.1099754009999998"/>
    <n v="55.642468229999999"/>
    <n v="25.08014133"/>
    <n v="14.778867719999999"/>
    <n v="4.4985227139999999"/>
    <n v="83.017599300000001"/>
    <n v="9.2505062509999991"/>
    <n v="5.4623030569999997"/>
    <n v="2.2695913939999999"/>
    <n v="16"/>
    <n v="2257.8292131631197"/>
    <n v="82.567998889999998"/>
    <n v="13"/>
    <n v="60.41450115"/>
    <n v="17"/>
    <n v="83"/>
  </r>
  <r>
    <s v="Guinea"/>
    <x v="4"/>
    <n v="13132.79199"/>
    <n v="36.875"/>
    <n v="63.961788740000003"/>
    <n v="21.281591500000001"/>
    <n v="6.2961194059999999"/>
    <n v="8.4605003540000006"/>
    <n v="50.74817899"/>
    <n v="26.14432944"/>
    <n v="9.7047191430000002"/>
    <n v="13.402772430000001"/>
    <n v="86.581690069999993"/>
    <n v="12.957241529999999"/>
    <n v="0.46106839799999999"/>
    <n v="0"/>
    <n v="16"/>
    <n v="4842.7170463125003"/>
    <n v="63.125"/>
    <n v="14"/>
    <n v="63.961788740000003"/>
    <n v="37"/>
    <n v="63"/>
  </r>
  <r>
    <s v="Zimbabwe"/>
    <x v="3"/>
    <n v="14862.92676"/>
    <n v="32.242000580000003"/>
    <n v="62.666457610000002"/>
    <n v="14.1975397"/>
    <n v="16.277855450000001"/>
    <n v="6.8581472420000003"/>
    <n v="48.282428850000002"/>
    <n v="18.590984670000001"/>
    <n v="23.013646550000001"/>
    <n v="10.112939920000001"/>
    <n v="92.89512895"/>
    <n v="4.9645177570000003"/>
    <n v="2.1222986740000001"/>
    <n v="1.805461538E-2"/>
    <n v="16"/>
    <n v="4792.1049321641758"/>
    <n v="67.757999420000004"/>
    <n v="15"/>
    <n v="62.666457610000002"/>
    <n v="32"/>
    <n v="68"/>
  </r>
  <r>
    <s v="Somalia"/>
    <x v="4"/>
    <n v="15893.21875"/>
    <n v="46.140998840000002"/>
    <n v="56.476973389999998"/>
    <n v="27.704199559999999"/>
    <n v="13.41704303"/>
    <n v="2.4017840210000001"/>
    <n v="37.075862819999998"/>
    <n v="36.643249580000003"/>
    <n v="21.821495460000001"/>
    <n v="4.4593921429999996"/>
    <n v="79.123305740000006"/>
    <n v="17.269915560000001"/>
    <n v="3.6067787029999998"/>
    <n v="0"/>
    <n v="16"/>
    <n v="7333.2898790761628"/>
    <n v="53.859001159999998"/>
    <n v="16"/>
    <n v="56.476973389999998"/>
    <n v="46"/>
    <n v="54"/>
  </r>
  <r>
    <s v="Chad"/>
    <x v="4"/>
    <n v="16425.859380000002"/>
    <n v="23.520000459999999"/>
    <n v="46.187534790000001"/>
    <n v="14.74028929"/>
    <n v="31.562457139999999"/>
    <n v="7.5097187840000004"/>
    <n v="37.575215249999999"/>
    <n v="14.35396111"/>
    <n v="38.524967609999997"/>
    <n v="9.5458560269999992"/>
    <n v="74.192223089999999"/>
    <n v="15.99651381"/>
    <n v="8.9224527210000009"/>
    <n v="0.88881038430000003"/>
    <n v="16"/>
    <n v="3863.3622017349535"/>
    <n v="76.479999539999994"/>
    <n v="17"/>
    <n v="46.187534790000001"/>
    <n v="24"/>
    <n v="76"/>
  </r>
  <r>
    <s v="Cambodia"/>
    <x v="3"/>
    <n v="16718.970700000002"/>
    <n v="24.23200035"/>
    <n v="71.219884969999995"/>
    <n v="13.90222204"/>
    <n v="5.6772185579999999"/>
    <n v="9.2006744339999997"/>
    <n v="65.067155830000004"/>
    <n v="15.51772278"/>
    <n v="7.4928993070000001"/>
    <n v="11.92222209"/>
    <n v="90.458077169999996"/>
    <n v="8.8509147200000005"/>
    <n v="0"/>
    <n v="0.69100811439999998"/>
    <n v="16"/>
    <n v="4051.3410385403977"/>
    <n v="75.767999650000007"/>
    <n v="17"/>
    <n v="71.219884969999995"/>
    <n v="24"/>
    <n v="76"/>
  </r>
  <r>
    <s v="Senegal"/>
    <x v="3"/>
    <n v="16743.929690000001"/>
    <n v="48.122001650000001"/>
    <n v="84.905237790000001"/>
    <n v="2.3872175090000001"/>
    <n v="12.60781566"/>
    <n v="9.9729040419999998E-2"/>
    <n v="75.242928199999994"/>
    <n v="4.052382433"/>
    <n v="20.512451739999999"/>
    <n v="0.1922376314"/>
    <n v="95.321700939999999"/>
    <n v="0.59208365669999996"/>
    <n v="4.0862154019999997"/>
    <n v="0"/>
    <n v="16"/>
    <n v="8057.5141216966404"/>
    <n v="51.877998349999999"/>
    <n v="17"/>
    <n v="84.905237790000001"/>
    <n v="48"/>
    <n v="52"/>
  </r>
  <r>
    <s v="Netherlands"/>
    <x v="1"/>
    <n v="17134.873049999998"/>
    <n v="92.236000059999995"/>
    <n v="99.999999290000005"/>
    <n v="0"/>
    <n v="7.1240862099999999E-7"/>
    <n v="0"/>
    <n v="100"/>
    <n v="0"/>
    <n v="0"/>
    <n v="0"/>
    <n v="100"/>
    <n v="0"/>
    <n v="0"/>
    <n v="0"/>
    <n v="16"/>
    <n v="15804.52151667892"/>
    <n v="7.763999940000005"/>
    <n v="18"/>
    <n v="99.999999290000005"/>
    <n v="92"/>
    <n v="8"/>
  </r>
  <r>
    <s v="Syrian Arab Republic"/>
    <x v="4"/>
    <n v="17500.65625"/>
    <n v="55.475002289999999"/>
    <n v="93.925857179999994"/>
    <n v="5.8737307679999997"/>
    <n v="0.20041205419999999"/>
    <n v="0"/>
    <n v="92.082745000000003"/>
    <n v="7.9172549999999999"/>
    <n v="0"/>
    <n v="0"/>
    <n v="95.405164360000001"/>
    <n v="4.2335701170000002"/>
    <n v="0.36126552499999998"/>
    <n v="0"/>
    <n v="16"/>
    <n v="9708.4894554525272"/>
    <n v="44.524997710000001"/>
    <n v="18"/>
    <n v="93.925857179999994"/>
    <n v="55"/>
    <n v="45"/>
  </r>
  <r>
    <s v="Ecuador"/>
    <x v="2"/>
    <n v="17643.060549999998"/>
    <n v="64.166000370000006"/>
    <n v="95.359763560000005"/>
    <n v="3.451463449E-3"/>
    <n v="2.6044853890000002"/>
    <n v="2.032299589"/>
    <n v="87.050744949999995"/>
    <n v="9.6318110219999996E-3"/>
    <n v="7.2681954900000001"/>
    <n v="5.6714277470000001"/>
    <n v="100"/>
    <n v="0"/>
    <n v="0"/>
    <n v="0"/>
    <n v="16"/>
    <n v="11320.846297792325"/>
    <n v="35.833999629999994"/>
    <n v="18"/>
    <n v="95.359763560000005"/>
    <n v="64"/>
    <n v="36"/>
  </r>
  <r>
    <s v="Guatemala"/>
    <x v="2"/>
    <n v="17915.566409999999"/>
    <n v="51.835998539999999"/>
    <n v="94.006428270000001"/>
    <n v="1.034150511"/>
    <n v="3.2159118150000001"/>
    <n v="1.7435094040000001"/>
    <n v="90.119329800000003"/>
    <n v="1.8491699989999999"/>
    <n v="4.5834386909999996"/>
    <n v="3.4480615079999999"/>
    <n v="97.618169440000003"/>
    <n v="0.27686600569999997"/>
    <n v="1.94525887"/>
    <n v="0.15970568490000001"/>
    <n v="16"/>
    <n v="9286.7127427203286"/>
    <n v="48.164001460000001"/>
    <n v="18"/>
    <n v="94.006428270000001"/>
    <n v="52"/>
    <n v="48"/>
  </r>
  <r>
    <s v="Zambia"/>
    <x v="4"/>
    <n v="18383.95508"/>
    <n v="44.6289978"/>
    <n v="65.412383570000003"/>
    <n v="6.1539390200000001"/>
    <n v="21.576840709999999"/>
    <n v="6.8568367060000002"/>
    <n v="48.22728833"/>
    <n v="8.3317036130000002"/>
    <n v="31.608654439999999"/>
    <n v="11.832353619999999"/>
    <n v="86.733854660000006"/>
    <n v="3.4519961939999999"/>
    <n v="9.1304141049999998"/>
    <n v="0.68373504630000004"/>
    <n v="16"/>
    <n v="8204.5749082061884"/>
    <n v="55.3710022"/>
    <n v="19"/>
    <n v="65.412383570000003"/>
    <n v="45"/>
    <n v="55"/>
  </r>
  <r>
    <s v="Kazakhstan"/>
    <x v="2"/>
    <n v="18776.707030000001"/>
    <n v="57.671001429999997"/>
    <n v="95.434970320000005"/>
    <n v="1.9414250390000001"/>
    <n v="2.5459569339999999"/>
    <n v="7.7647704710000001E-2"/>
    <n v="91.939252339999996"/>
    <n v="1.862616064"/>
    <n v="6.0146930489999999"/>
    <n v="0.18343854379999999"/>
    <n v="98.000731329999994"/>
    <n v="1.999268673"/>
    <n v="0"/>
    <n v="0"/>
    <n v="16"/>
    <n v="10828.714979778211"/>
    <n v="42.328998570000003"/>
    <n v="19"/>
    <n v="95.434970320000005"/>
    <n v="58"/>
    <n v="42"/>
  </r>
  <r>
    <s v="Chile"/>
    <x v="1"/>
    <n v="19116.208979999999"/>
    <n v="87.72699738"/>
    <n v="99.999998719999994"/>
    <n v="0"/>
    <n v="1.2771393330000001E-6"/>
    <n v="0"/>
    <n v="100"/>
    <n v="0"/>
    <n v="0"/>
    <n v="0"/>
    <n v="100"/>
    <n v="0"/>
    <n v="0"/>
    <n v="0"/>
    <n v="16"/>
    <n v="16770.076151039924"/>
    <n v="12.27300262"/>
    <n v="20"/>
    <n v="99.999998719999994"/>
    <n v="88"/>
    <n v="12"/>
  </r>
  <r>
    <s v="Malawi"/>
    <x v="4"/>
    <n v="19129.95508"/>
    <n v="17.42700005"/>
    <n v="70.047728509999999"/>
    <n v="21.95081497"/>
    <n v="5.7763044069999996"/>
    <n v="2.2251521099999998"/>
    <n v="66.585043760000005"/>
    <n v="24.414158029999999"/>
    <n v="6.3838741460000001"/>
    <n v="2.6169240660000002"/>
    <n v="86.454698210000004"/>
    <n v="10.278948249999999"/>
    <n v="2.8975039960000002"/>
    <n v="0.36884954460000002"/>
    <n v="16"/>
    <n v="3333.7772813565775"/>
    <n v="82.572999949999996"/>
    <n v="20"/>
    <n v="70.047728509999999"/>
    <n v="17"/>
    <n v="83"/>
  </r>
  <r>
    <s v="Romania"/>
    <x v="1"/>
    <n v="19237.681639999999"/>
    <n v="54.194000240000001"/>
    <n v="100"/>
    <n v="0"/>
    <n v="0"/>
    <n v="0"/>
    <n v="100"/>
    <n v="0"/>
    <n v="0"/>
    <n v="0"/>
    <n v="100"/>
    <n v="0"/>
    <n v="0"/>
    <n v="0"/>
    <n v="16"/>
    <n v="10425.669234152037"/>
    <n v="45.805999759999999"/>
    <n v="20"/>
    <n v="100"/>
    <n v="54"/>
    <n v="46"/>
  </r>
  <r>
    <s v="Mali"/>
    <x v="4"/>
    <n v="20250.833979999999"/>
    <n v="43.909004209999999"/>
    <n v="82.547291029999997"/>
    <n v="3.8547345270000002"/>
    <n v="12.246971350000001"/>
    <n v="1.3510030900000001"/>
    <n v="72.080895209999994"/>
    <n v="3.7824122299999998"/>
    <n v="21.72810084"/>
    <n v="2.4085917170000002"/>
    <n v="95.917454750000005"/>
    <n v="3.947121723"/>
    <n v="0.13542353139999999"/>
    <n v="0"/>
    <n v="16"/>
    <n v="8891.9395448383093"/>
    <n v="56.090995790000001"/>
    <n v="21"/>
    <n v="82.547291029999997"/>
    <n v="44"/>
    <n v="56"/>
  </r>
  <r>
    <s v="Burkina Faso"/>
    <x v="4"/>
    <n v="20903.277340000001"/>
    <n v="30.60700035"/>
    <n v="47.214854459999998"/>
    <n v="31.2730034"/>
    <n v="21.15863263"/>
    <n v="0.35350950240000001"/>
    <n v="32.718258900000002"/>
    <n v="38.626902540000003"/>
    <n v="28.3404457"/>
    <n v="0.31439286259999999"/>
    <n v="80.081918540000004"/>
    <n v="14.60004919"/>
    <n v="4.8758364869999999"/>
    <n v="0.44219578050000002"/>
    <n v="16"/>
    <n v="6397.8661686152709"/>
    <n v="69.392999650000007"/>
    <n v="21"/>
    <n v="47.214854459999998"/>
    <n v="31"/>
    <n v="69"/>
  </r>
  <r>
    <s v="Sri Lanka"/>
    <x v="3"/>
    <n v="21413.25"/>
    <n v="18.71299934"/>
    <n v="92.227579370000001"/>
    <n v="0.59545814949999998"/>
    <n v="5.3489270639999997"/>
    <n v="1.82803542"/>
    <n v="90.537435700000003"/>
    <n v="0.70320990380000004"/>
    <n v="6.5104886119999996"/>
    <n v="2.2488657820000002"/>
    <n v="99.569380190000004"/>
    <n v="0.12739779009999999"/>
    <n v="0.3032220202"/>
    <n v="0"/>
    <n v="16"/>
    <n v="4007.0613311725501"/>
    <n v="81.287000660000004"/>
    <n v="22"/>
    <n v="92.227579370000001"/>
    <n v="19"/>
    <n v="81"/>
  </r>
  <r>
    <s v="Niger"/>
    <x v="4"/>
    <n v="24206.636719999999"/>
    <n v="16.625999449999998"/>
    <n v="46.911797470000003"/>
    <n v="21.653898699999999"/>
    <n v="27.027512439999999"/>
    <n v="4.4067913919999997"/>
    <n v="39.154159319999998"/>
    <n v="23.987740389999999"/>
    <n v="31.991506480000002"/>
    <n v="4.8665938129999997"/>
    <n v="85.813839759999993"/>
    <n v="9.9504408289999997"/>
    <n v="2.1346877800000001"/>
    <n v="2.1010316339999999"/>
    <n v="16"/>
    <n v="4024.5952879306974"/>
    <n v="83.374000550000005"/>
    <n v="25"/>
    <n v="46.911797470000003"/>
    <n v="17"/>
    <n v="83"/>
  </r>
  <r>
    <s v="Australia"/>
    <x v="1"/>
    <n v="25499.880860000001"/>
    <n v="86.240997309999997"/>
    <n v="99.969811820000004"/>
    <n v="0"/>
    <n v="3.0188178730000001E-2"/>
    <n v="0"/>
    <n v="100"/>
    <n v="0"/>
    <n v="0"/>
    <n v="0"/>
    <n v="99.965000000000003"/>
    <n v="0"/>
    <n v="3.5000000000000003E-2"/>
    <n v="0"/>
    <n v="16"/>
    <n v="21991.351566525806"/>
    <n v="13.759002690000003"/>
    <n v="26"/>
    <n v="99.969811820000004"/>
    <n v="86"/>
    <n v="14"/>
  </r>
  <r>
    <s v="Democratic People's Republic of Korea"/>
    <x v="4"/>
    <n v="25778.814450000002"/>
    <n v="62.381000520000001"/>
    <n v="93.843843030000002"/>
    <n v="0.68313118719999999"/>
    <n v="5.2096927800000001"/>
    <n v="0.26333300580000002"/>
    <n v="88.753624880000004"/>
    <n v="0.3564402606"/>
    <n v="10.189934859999999"/>
    <n v="0.7"/>
    <n v="96.913510439999996"/>
    <n v="0.88014287989999995"/>
    <n v="2.206346677"/>
    <n v="0"/>
    <n v="16"/>
    <n v="16081.082376104336"/>
    <n v="37.618999479999999"/>
    <n v="26"/>
    <n v="93.843843030000002"/>
    <n v="62"/>
    <n v="38"/>
  </r>
  <r>
    <s v="Côte d'Ivoire"/>
    <x v="3"/>
    <n v="26378.275389999999"/>
    <n v="51.70599747"/>
    <n v="70.909070389999997"/>
    <n v="8.9354217019999993"/>
    <n v="14.192441609999999"/>
    <n v="5.9630662929999998"/>
    <n v="55.722446859999998"/>
    <n v="13.343168289999999"/>
    <n v="23.17527956"/>
    <n v="7.7591052889999998"/>
    <n v="85.093553290000003"/>
    <n v="4.8185351560000003"/>
    <n v="5.8023665600000003"/>
    <n v="4.2855449940000003"/>
    <n v="16"/>
    <n v="13639.150405783032"/>
    <n v="48.29400253"/>
    <n v="27"/>
    <n v="70.909070389999997"/>
    <n v="52"/>
    <n v="48"/>
  </r>
  <r>
    <s v="Cameroon"/>
    <x v="3"/>
    <n v="26545.863280000001"/>
    <n v="57.560005189999998"/>
    <n v="65.720418179999996"/>
    <n v="12.874748629999999"/>
    <n v="15.00100626"/>
    <n v="6.4038269269999999"/>
    <n v="43.527581120000001"/>
    <n v="12.67259943"/>
    <n v="30.12380645"/>
    <n v="13.676012999999999"/>
    <n v="82.083584860000002"/>
    <n v="13.023796770000001"/>
    <n v="3.8507013510000001"/>
    <n v="1.041917019"/>
    <n v="16"/>
    <n v="15279.800281698304"/>
    <n v="42.439994810000002"/>
    <n v="27"/>
    <n v="65.720418179999996"/>
    <n v="58"/>
    <n v="42"/>
  </r>
  <r>
    <s v="Madagascar"/>
    <x v="4"/>
    <n v="27691.019530000001"/>
    <n v="38.534000399999996"/>
    <n v="53.385884910000001"/>
    <n v="2.7179729799999999"/>
    <n v="32.311459669999998"/>
    <n v="11.58468244"/>
    <n v="36.406420279999999"/>
    <n v="1.601776163"/>
    <n v="43.953893450000002"/>
    <n v="18.037910109999999"/>
    <n v="80.470006940000005"/>
    <n v="4.4984302979999997"/>
    <n v="13.74049434"/>
    <n v="1.291068417"/>
    <n v="16"/>
    <n v="10670.457576454277"/>
    <n v="61.465999600000004"/>
    <n v="28"/>
    <n v="53.385884910000001"/>
    <n v="39"/>
    <n v="61"/>
  </r>
  <r>
    <s v="Venezuela (Bolivarian Republic of)"/>
    <x v="0"/>
    <n v="28435.943360000001"/>
    <n v="88.278999330000005"/>
    <n v="93.685800709999995"/>
    <n v="0.4707829181"/>
    <n v="5.8434163730000002"/>
    <s v="NAN"/>
    <s v="NAN"/>
    <s v="NAN"/>
    <s v="NAN"/>
    <s v="NAN"/>
    <s v="NAN"/>
    <s v="NAN"/>
    <s v="NAN"/>
    <s v="NAN"/>
    <n v="16"/>
    <n v="25102.966248253582"/>
    <n v="11.721000669999995"/>
    <n v="29"/>
    <n v="93.685800709999995"/>
    <n v="88"/>
    <n v="12"/>
  </r>
  <r>
    <s v="Nepal"/>
    <x v="3"/>
    <n v="29136.808590000001"/>
    <n v="20.57600021"/>
    <n v="90.074541789999998"/>
    <n v="3.979825725"/>
    <n v="4.699081176"/>
    <n v="1.246551314"/>
    <n v="90.203271650000005"/>
    <n v="4.2073482459999996"/>
    <n v="4.2690239510000003"/>
    <n v="1.320356149"/>
    <n v="89.577633160000005"/>
    <n v="3.1015814110000002"/>
    <n v="6.359123168"/>
    <n v="0.96166225849999998"/>
    <n v="16"/>
    <n v="5995.1897966656979"/>
    <n v="79.423999789999996"/>
    <n v="30"/>
    <n v="90.074541789999998"/>
    <n v="21"/>
    <n v="79"/>
  </r>
  <r>
    <s v="Yemen"/>
    <x v="4"/>
    <n v="29825.96875"/>
    <n v="37.907997129999998"/>
    <n v="60.663569840000001"/>
    <n v="28.9627418"/>
    <n v="7.77785276"/>
    <n v="2.595835594"/>
    <n v="50.681334370000002"/>
    <n v="33.53021373"/>
    <n v="11.60782393"/>
    <n v="4.1806279780000004"/>
    <n v="77.014129339999997"/>
    <n v="21.481379369999999"/>
    <n v="1.5044912859999999"/>
    <n v="0"/>
    <n v="16"/>
    <n v="11306.427377744696"/>
    <n v="62.092002870000002"/>
    <n v="30"/>
    <n v="60.663569840000001"/>
    <n v="38"/>
    <n v="62"/>
  </r>
  <r>
    <s v="Ghana"/>
    <x v="3"/>
    <n v="31072.945309999999"/>
    <n v="57.348999020000001"/>
    <n v="85.790996649999997"/>
    <n v="6.5860621129999997"/>
    <n v="2.8122161760000002"/>
    <n v="4.8107250580000001"/>
    <n v="71.892750050000004"/>
    <n v="11.934548270000001"/>
    <n v="4.9993564829999997"/>
    <n v="11.173345189999999"/>
    <n v="96.127259519999996"/>
    <n v="2.6083424549999998"/>
    <n v="1.1856138030000001"/>
    <n v="7.8784218190000005E-2"/>
    <n v="16"/>
    <n v="17820.023101317038"/>
    <n v="42.651000979999999"/>
    <n v="32"/>
    <n v="85.790996649999997"/>
    <n v="57"/>
    <n v="43"/>
  </r>
  <r>
    <s v="Mozambique"/>
    <x v="4"/>
    <n v="31255.435549999998"/>
    <n v="37.073997499999997"/>
    <n v="63.369425630000002"/>
    <n v="9.9757845070000002"/>
    <n v="16.726145110000001"/>
    <n v="9.9286447590000009"/>
    <n v="48.8666865"/>
    <n v="12.64088359"/>
    <n v="23.686256400000001"/>
    <n v="14.80617352"/>
    <n v="87.98504792"/>
    <n v="5.4522910270000002"/>
    <n v="4.9126846439999996"/>
    <n v="1.649976404"/>
    <n v="16"/>
    <n v="11587.63939442111"/>
    <n v="62.926002500000003"/>
    <n v="32"/>
    <n v="63.369425630000002"/>
    <n v="37"/>
    <n v="63"/>
  </r>
  <r>
    <s v="Malaysia"/>
    <x v="2"/>
    <n v="32365.998049999998"/>
    <n v="77.159996030000002"/>
    <n v="97.09990707"/>
    <n v="0.35453968650000001"/>
    <n v="2.5455532409999999"/>
    <s v="NAN"/>
    <n v="90.197448120000004"/>
    <n v="0.54445139710000001"/>
    <n v="9.2581004779999994"/>
    <s v="NAN"/>
    <n v="99.14309591"/>
    <n v="0.29832426049999999"/>
    <n v="0.46857983190000002"/>
    <n v="0.09"/>
    <n v="16"/>
    <n v="24973.602810449876"/>
    <n v="22.840003969999998"/>
    <n v="33"/>
    <n v="97.09990707"/>
    <n v="77"/>
    <n v="23"/>
  </r>
  <r>
    <s v="Angola"/>
    <x v="3"/>
    <n v="32866.269529999998"/>
    <n v="66.824996949999999"/>
    <n v="57.167737619999997"/>
    <n v="9.2873499190000004"/>
    <n v="19.450825340000002"/>
    <n v="14.094087119999999"/>
    <n v="27.808226609999998"/>
    <n v="8.7404883889999994"/>
    <n v="22.933152580000002"/>
    <n v="40.518132420000001"/>
    <n v="71.743148619999999"/>
    <n v="9.5588374890000001"/>
    <n v="17.722034730000001"/>
    <n v="0.97597916289999997"/>
    <n v="16"/>
    <n v="21962.883611001278"/>
    <n v="33.175003050000001"/>
    <n v="33"/>
    <n v="57.167737619999997"/>
    <n v="67"/>
    <n v="33"/>
  </r>
  <r>
    <s v="Peru"/>
    <x v="2"/>
    <n v="32971.847659999999"/>
    <n v="78.297004700000002"/>
    <n v="93.139366210000006"/>
    <n v="0.84955935110000003"/>
    <n v="4.1504683489999996"/>
    <n v="1.8606060870000001"/>
    <n v="80.79943849"/>
    <n v="1.5969437710000001"/>
    <n v="9.6126911629999992"/>
    <n v="7.9909265779999998"/>
    <n v="96.559844080000005"/>
    <n v="0.64239323559999995"/>
    <n v="2.6364086929999999"/>
    <n v="0.1613539953"/>
    <n v="16"/>
    <n v="25815.96911202704"/>
    <n v="21.702995299999998"/>
    <n v="33"/>
    <n v="93.139366210000006"/>
    <n v="78"/>
    <n v="22"/>
  </r>
  <r>
    <s v="Uzbekistan"/>
    <x v="3"/>
    <n v="33469.199220000002"/>
    <n v="50.415996550000003"/>
    <n v="97.828784850000005"/>
    <n v="0"/>
    <n v="0.22384422000000001"/>
    <n v="1.947370925"/>
    <n v="96.072582359999998"/>
    <n v="0"/>
    <n v="0"/>
    <n v="3.927417637"/>
    <n v="99.556005560000003"/>
    <n v="0"/>
    <n v="0.44399444339999999"/>
    <n v="0"/>
    <n v="16"/>
    <n v="16873.830324067829"/>
    <n v="49.584003449999997"/>
    <n v="34"/>
    <n v="97.828784850000005"/>
    <n v="50"/>
    <n v="50"/>
  </r>
  <r>
    <s v="Saudi Arabia"/>
    <x v="1"/>
    <n v="34813.867189999997"/>
    <n v="84.287002560000005"/>
    <n v="100"/>
    <n v="0"/>
    <n v="0"/>
    <n v="0"/>
    <s v="NAN"/>
    <s v="NAN"/>
    <s v="NAN"/>
    <s v="NAN"/>
    <s v="NAN"/>
    <s v="NAN"/>
    <s v="NAN"/>
    <s v="NAN"/>
    <n v="16"/>
    <n v="29343.5651296703"/>
    <n v="15.712997439999995"/>
    <n v="35"/>
    <n v="100"/>
    <n v="84"/>
    <n v="16"/>
  </r>
  <r>
    <s v="Morocco"/>
    <x v="3"/>
    <n v="36910.558590000001"/>
    <n v="63.531997680000003"/>
    <n v="90.402344679999999"/>
    <n v="5.2635496010000002"/>
    <n v="2.8776725000000001"/>
    <n v="1.456433219"/>
    <n v="77.346128960000001"/>
    <n v="12.03707816"/>
    <n v="6.6230633729999999"/>
    <n v="3.9937295019999999"/>
    <n v="97.896746010000001"/>
    <n v="1.375477117"/>
    <n v="0.72777687589999995"/>
    <n v="0"/>
    <n v="16"/>
    <n v="23450.015227073844"/>
    <n v="36.468002319999997"/>
    <n v="37"/>
    <n v="90.402344679999999"/>
    <n v="64"/>
    <n v="36"/>
  </r>
  <r>
    <s v="Canada"/>
    <x v="1"/>
    <n v="37742.15625"/>
    <n v="81.562004090000002"/>
    <n v="99.221810660000003"/>
    <n v="0"/>
    <n v="0.77818933690000003"/>
    <n v="0"/>
    <n v="99.060495900000006"/>
    <n v="0"/>
    <n v="0.9395041006"/>
    <n v="0"/>
    <n v="99.258277660000005"/>
    <n v="0"/>
    <n v="0.74172233710000002"/>
    <n v="0"/>
    <n v="16"/>
    <n v="30783.259024279192"/>
    <n v="18.437995909999998"/>
    <n v="38"/>
    <n v="99.221810660000003"/>
    <n v="82"/>
    <n v="18"/>
  </r>
  <r>
    <s v="Poland"/>
    <x v="1"/>
    <n v="37846.605470000002"/>
    <n v="60.043003079999998"/>
    <n v="99.966591550000004"/>
    <n v="0"/>
    <n v="3.3408445289999998E-2"/>
    <n v="0"/>
    <n v="100"/>
    <n v="0"/>
    <n v="0"/>
    <n v="0"/>
    <n v="99.944354840000003"/>
    <n v="0"/>
    <n v="5.5645161290000002E-2"/>
    <n v="0"/>
    <n v="16"/>
    <n v="22724.238488027549"/>
    <n v="39.956996920000002"/>
    <n v="38"/>
    <n v="99.966591550000004"/>
    <n v="60"/>
    <n v="40"/>
  </r>
  <r>
    <s v="Afghanistan"/>
    <x v="4"/>
    <n v="38928.339840000001"/>
    <n v="26.025999070000001"/>
    <n v="75.091413250000002"/>
    <n v="1.447541688"/>
    <n v="14.56026288"/>
    <n v="8.9007821739999997"/>
    <n v="66.32791521"/>
    <n v="1.9568248509999999"/>
    <n v="19.68294895"/>
    <n v="12.03231098"/>
    <n v="100"/>
    <n v="0"/>
    <n v="0"/>
    <n v="0"/>
    <n v="16"/>
    <n v="10131.489364724839"/>
    <n v="73.974000930000003"/>
    <n v="39"/>
    <n v="75.091413250000002"/>
    <n v="26"/>
    <n v="74"/>
  </r>
  <r>
    <s v="Iraq"/>
    <x v="2"/>
    <n v="40222.503909999999"/>
    <n v="70.892997739999998"/>
    <n v="98.359903250000002"/>
    <n v="0.89216034950000001"/>
    <n v="2.427900808E-6"/>
    <n v="0.74793397129999994"/>
    <n v="94.831146779999997"/>
    <n v="2.5992513389999998"/>
    <n v="0"/>
    <n v="2.5696018770000002"/>
    <n v="99.808731030000004"/>
    <n v="0.19126897000000001"/>
    <n v="0"/>
    <n v="0"/>
    <n v="16"/>
    <n v="28514.93878788771"/>
    <n v="29.107002260000002"/>
    <n v="41"/>
    <n v="98.359903250000002"/>
    <n v="71"/>
    <n v="29"/>
  </r>
  <r>
    <s v="Ukraine"/>
    <x v="3"/>
    <n v="43733.757810000003"/>
    <n v="69.608001709999996"/>
    <n v="93.928281949999999"/>
    <n v="5.671978717"/>
    <n v="7.5904501289999995E-2"/>
    <n v="0.32383483600000001"/>
    <n v="100"/>
    <n v="0"/>
    <n v="0"/>
    <n v="0"/>
    <n v="91.277270110000003"/>
    <n v="8.1484577900000001"/>
    <n v="0.1090456533"/>
    <n v="0.46522644460000001"/>
    <n v="16"/>
    <n v="30442.19488423206"/>
    <n v="30.391998290000004"/>
    <n v="44"/>
    <n v="93.928281949999999"/>
    <n v="70"/>
    <n v="30"/>
  </r>
  <r>
    <s v="Sudan"/>
    <x v="4"/>
    <n v="43849.269529999998"/>
    <n v="35.252998349999999"/>
    <n v="60.448675600000001"/>
    <n v="26.670019750000002"/>
    <n v="3.6502178750000001"/>
    <n v="9.2310867739999996"/>
    <n v="53.19902707"/>
    <n v="27.457644510000002"/>
    <n v="5.6376600080000001"/>
    <n v="13.70566842"/>
    <n v="73.763659559999994"/>
    <n v="25.223439859999999"/>
    <n v="0"/>
    <n v="1.012900581"/>
    <n v="16"/>
    <n v="15458.18226389795"/>
    <n v="64.747001650000001"/>
    <n v="44"/>
    <n v="60.448675600000001"/>
    <n v="35"/>
    <n v="65"/>
  </r>
  <r>
    <s v="Algeria"/>
    <x v="3"/>
    <n v="43851.042970000002"/>
    <n v="73.733001709999996"/>
    <n v="94.43732996"/>
    <n v="4.9858808420000003"/>
    <n v="0.53183666380000005"/>
    <n v="4.495253272E-2"/>
    <n v="90.037537909999998"/>
    <n v="8.79672214"/>
    <n v="0.99460302810000001"/>
    <n v="0.17113692580000001"/>
    <n v="96.004735859999997"/>
    <n v="3.628288591"/>
    <n v="0.36697554780000002"/>
    <n v="0"/>
    <n v="16"/>
    <n v="32332.690262922937"/>
    <n v="26.266998290000004"/>
    <n v="44"/>
    <n v="94.43732996"/>
    <n v="74"/>
    <n v="26"/>
  </r>
  <r>
    <s v="Argentina"/>
    <x v="2"/>
    <n v="45195.777340000001"/>
    <n v="92.111000059999995"/>
    <s v="NAN"/>
    <s v="NAN"/>
    <s v="NAN"/>
    <s v="NAN"/>
    <s v="NAN"/>
    <s v="NAN"/>
    <s v="NAN"/>
    <s v="NAN"/>
    <n v="99.790420650000002"/>
    <n v="0"/>
    <n v="0.20957935010000001"/>
    <n v="0"/>
    <n v="16"/>
    <n v="41630.282492764862"/>
    <n v="7.888999940000005"/>
    <n v="46"/>
    <s v="NAN"/>
    <n v="92"/>
    <n v="8"/>
  </r>
  <r>
    <s v="Uganda"/>
    <x v="4"/>
    <n v="45741"/>
    <n v="24.95400047"/>
    <n v="55.855049209999997"/>
    <n v="27.282859999999999"/>
    <n v="12.16590654"/>
    <n v="4.6961842520000001"/>
    <n v="48.231189579999999"/>
    <n v="31.784694259999998"/>
    <n v="14.076160610000001"/>
    <n v="5.9079555460000002"/>
    <n v="78.782851800000003"/>
    <n v="13.74416783"/>
    <n v="6.4210441329999997"/>
    <n v="1.0519362379999999"/>
    <n v="16"/>
    <n v="11414.2093549827"/>
    <n v="75.045999530000003"/>
    <n v="46"/>
    <n v="55.855049209999997"/>
    <n v="25"/>
    <n v="75"/>
  </r>
  <r>
    <s v="Spain"/>
    <x v="1"/>
    <n v="46754.78125"/>
    <n v="80.809997559999999"/>
    <n v="99.925612610000002"/>
    <n v="0"/>
    <n v="7.4387391420000004E-2"/>
    <n v="0"/>
    <n v="100"/>
    <n v="0"/>
    <n v="0"/>
    <n v="0"/>
    <n v="99.907945209999994"/>
    <n v="0"/>
    <n v="9.2054794519999997E-2"/>
    <n v="0"/>
    <n v="16"/>
    <n v="37782.537587308339"/>
    <n v="19.190002440000001"/>
    <n v="47"/>
    <n v="99.925612610000002"/>
    <n v="81"/>
    <n v="19"/>
  </r>
  <r>
    <s v="Colombia"/>
    <x v="2"/>
    <n v="50882.882810000003"/>
    <n v="81.424995420000002"/>
    <n v="97.491657110000006"/>
    <n v="0.18615215909999999"/>
    <n v="0.95361622280000002"/>
    <n v="1.3685745119999999"/>
    <n v="86.767072819999996"/>
    <n v="0.73122820160000002"/>
    <n v="5.13386897"/>
    <n v="7.3678300050000001"/>
    <n v="99.938192799999996"/>
    <n v="6.18072E-2"/>
    <n v="0"/>
    <n v="0"/>
    <n v="16"/>
    <n v="41431.384997606474"/>
    <n v="18.575004579999998"/>
    <n v="51"/>
    <n v="97.491657110000006"/>
    <n v="81"/>
    <n v="19"/>
  </r>
  <r>
    <s v="Republic of Korea"/>
    <x v="1"/>
    <n v="51269.183590000001"/>
    <n v="81.414001459999994"/>
    <n v="99.931396649999996"/>
    <n v="0"/>
    <n v="6.8603352960000002E-2"/>
    <n v="0"/>
    <s v="NAN"/>
    <s v="NAN"/>
    <s v="NAN"/>
    <s v="NAN"/>
    <s v="NAN"/>
    <s v="NAN"/>
    <s v="NAN"/>
    <s v="NAN"/>
    <n v="16"/>
    <n v="41740.29387649268"/>
    <n v="18.585998540000006"/>
    <n v="52"/>
    <n v="99.931396649999996"/>
    <n v="81"/>
    <n v="19"/>
  </r>
  <r>
    <s v="Kenya"/>
    <x v="3"/>
    <n v="53771.300779999998"/>
    <n v="27.994998930000001"/>
    <n v="61.632891579999999"/>
    <n v="9.54187005"/>
    <n v="9.7800875240000007"/>
    <n v="19.045150840000002"/>
    <n v="51.779978929999999"/>
    <n v="11.569004189999999"/>
    <n v="12.519113219999999"/>
    <n v="24.131903659999999"/>
    <n v="86.975231449999995"/>
    <n v="4.327944725"/>
    <n v="2.7351426299999999"/>
    <n v="5.9616811930000004"/>
    <n v="16"/>
    <n v="15053.275078008082"/>
    <n v="72.005001069999992"/>
    <n v="54"/>
    <n v="61.632891579999999"/>
    <n v="28"/>
    <n v="72"/>
  </r>
  <r>
    <s v="Myanmar"/>
    <x v="3"/>
    <n v="54409.792970000002"/>
    <n v="31.14100075"/>
    <n v="83.718191910000002"/>
    <n v="1.595436949"/>
    <n v="5.1094247800000003"/>
    <n v="9.5769463619999993"/>
    <n v="78.422564690000002"/>
    <n v="2.3169621419999999"/>
    <n v="6.5923936940000001"/>
    <n v="12.66807947"/>
    <n v="95.427886060000006"/>
    <n v="0"/>
    <n v="1.8302830059999999"/>
    <n v="2.741830931"/>
    <n v="16"/>
    <n v="16943.754036861148"/>
    <n v="68.858999249999997"/>
    <n v="55"/>
    <n v="83.718191910000002"/>
    <n v="31"/>
    <n v="69"/>
  </r>
  <r>
    <s v="South Africa"/>
    <x v="2"/>
    <n v="59308.691409999999"/>
    <n v="67.354003910000003"/>
    <n v="93.885057439999997"/>
    <n v="2.7727361859999999"/>
    <n v="1.410816657"/>
    <n v="1.9313897120000001"/>
    <n v="83.329481180000002"/>
    <n v="6.9773593590000003"/>
    <n v="3.7769992870000002"/>
    <n v="5.9161601729999997"/>
    <n v="99.001264840000005"/>
    <n v="0.73478540299999995"/>
    <n v="0.26394975469999998"/>
    <n v="0"/>
    <n v="16"/>
    <n v="39946.778331261237"/>
    <n v="32.645996089999997"/>
    <n v="60"/>
    <n v="93.885057439999997"/>
    <n v="67"/>
    <n v="33"/>
  </r>
  <r>
    <s v="United Republic of Tanzania"/>
    <x v="3"/>
    <n v="59734.214840000001"/>
    <n v="35.227001190000003"/>
    <n v="60.716797589999999"/>
    <n v="11.29007067"/>
    <n v="14.51775136"/>
    <n v="13.475380380000001"/>
    <n v="45.446965339999998"/>
    <n v="13.98368881"/>
    <n v="21.21996133"/>
    <n v="19.349384520000001"/>
    <n v="88.793924899999993"/>
    <n v="6.3372311659999996"/>
    <n v="2.1941787860000002"/>
    <n v="2.6746651520000002"/>
    <n v="16"/>
    <n v="21042.572572523957"/>
    <n v="64.77299880999999"/>
    <n v="60"/>
    <n v="60.716797589999999"/>
    <n v="35"/>
    <n v="65"/>
  </r>
  <r>
    <s v="Italy"/>
    <x v="1"/>
    <n v="60461.828130000002"/>
    <n v="71.038993840000003"/>
    <n v="99.91703407"/>
    <n v="0"/>
    <n v="8.2965925910000002E-2"/>
    <n v="0"/>
    <s v="NAN"/>
    <s v="NAN"/>
    <s v="NAN"/>
    <s v="NAN"/>
    <s v="NAN"/>
    <s v="NAN"/>
    <s v="NAN"/>
    <s v="NAN"/>
    <n v="16"/>
    <n v="42951.474360822096"/>
    <n v="28.961006159999997"/>
    <n v="61"/>
    <n v="99.91703407"/>
    <n v="71"/>
    <n v="29"/>
  </r>
  <r>
    <s v="France"/>
    <x v="1"/>
    <n v="65273.511720000002"/>
    <n v="80.974998470000003"/>
    <n v="99.999998500000004"/>
    <n v="0"/>
    <n v="1.49610841E-6"/>
    <n v="0"/>
    <n v="100"/>
    <n v="0"/>
    <n v="0"/>
    <n v="0"/>
    <n v="100"/>
    <n v="0"/>
    <n v="0"/>
    <n v="0"/>
    <n v="16"/>
    <n v="52855.225116585272"/>
    <n v="19.025001529999997"/>
    <n v="66"/>
    <n v="99.999998500000004"/>
    <n v="81"/>
    <n v="19"/>
  </r>
  <r>
    <s v="United Kingdom"/>
    <x v="1"/>
    <n v="67886.007809999996"/>
    <n v="83.902999879999996"/>
    <n v="99.999998559999995"/>
    <n v="0"/>
    <n v="1.4385328199999999E-6"/>
    <n v="0"/>
    <n v="100"/>
    <n v="0"/>
    <n v="0"/>
    <n v="0"/>
    <n v="100"/>
    <n v="0"/>
    <n v="0"/>
    <n v="0"/>
    <n v="16"/>
    <n v="56958.397051361084"/>
    <n v="16.097000120000004"/>
    <n v="68"/>
    <n v="99.999998559999995"/>
    <n v="84"/>
    <n v="16"/>
  </r>
  <r>
    <s v="Thailand"/>
    <x v="2"/>
    <n v="69799.976559999996"/>
    <n v="51.430000309999997"/>
    <n v="100"/>
    <n v="0"/>
    <n v="0"/>
    <n v="0"/>
    <n v="100"/>
    <n v="0"/>
    <n v="0"/>
    <n v="0"/>
    <n v="100"/>
    <n v="0"/>
    <n v="0"/>
    <n v="0"/>
    <n v="16"/>
    <n v="35898.128161187924"/>
    <n v="48.569999690000003"/>
    <n v="70"/>
    <n v="100"/>
    <n v="51"/>
    <n v="49"/>
  </r>
  <r>
    <s v="Germany"/>
    <x v="1"/>
    <n v="83783.945309999996"/>
    <n v="77.453002929999997"/>
    <n v="100.00000230000001"/>
    <n v="0"/>
    <n v="0"/>
    <n v="0"/>
    <n v="100"/>
    <n v="0"/>
    <n v="0"/>
    <n v="0"/>
    <n v="100"/>
    <n v="0"/>
    <n v="0"/>
    <n v="0"/>
    <n v="16"/>
    <n v="64893.181615823887"/>
    <n v="22.546997070000003"/>
    <n v="84"/>
    <n v="100"/>
    <n v="77"/>
    <n v="23"/>
  </r>
  <r>
    <s v="Iran (Islamic Republic of)"/>
    <x v="3"/>
    <n v="83992.953129999994"/>
    <n v="75.874000550000005"/>
    <n v="97.482636330000005"/>
    <n v="1.938311229"/>
    <n v="0.51379736310000002"/>
    <n v="6.5255081849999994E-2"/>
    <n v="93.828735379999998"/>
    <n v="4.2979487650000001"/>
    <n v="1.602839669"/>
    <n v="0.27047619049999999"/>
    <n v="98.644486720000003"/>
    <n v="1.1880066709999999"/>
    <n v="0.1675066077"/>
    <n v="0"/>
    <n v="16"/>
    <n v="63728.813719817445"/>
    <n v="24.125999449999995"/>
    <n v="84"/>
    <n v="97.482636330000005"/>
    <n v="76"/>
    <n v="24"/>
  </r>
  <r>
    <s v="Turkey"/>
    <x v="2"/>
    <n v="84339.070309999996"/>
    <n v="76.105003359999998"/>
    <n v="97.014269159999998"/>
    <n v="2.0230780749999999"/>
    <n v="0.73767495449999998"/>
    <n v="0.2249778093"/>
    <n v="96.025169770000005"/>
    <n v="2.684574639"/>
    <n v="0.78825559109999999"/>
    <n v="0.502"/>
    <n v="97.324817830000001"/>
    <n v="1.8153852029999999"/>
    <n v="0.72179696339999999"/>
    <n v="0.13800000000000001"/>
    <n v="16"/>
    <n v="64186.252293218262"/>
    <n v="23.894996640000002"/>
    <n v="85"/>
    <n v="97.014269159999998"/>
    <n v="76"/>
    <n v="24"/>
  </r>
  <r>
    <s v="Democratic Republic of the Congo"/>
    <x v="3"/>
    <n v="89561.40625"/>
    <n v="45.638000490000003"/>
    <n v="45.952126960000001"/>
    <n v="13.44122447"/>
    <n v="32.542316069999998"/>
    <n v="8.0643324950000004"/>
    <n v="21.98279234"/>
    <n v="12.68294146"/>
    <n v="51.215981669999998"/>
    <n v="14.11828453"/>
    <n v="74.503354779999995"/>
    <n v="14.34445818"/>
    <n v="10.29905862"/>
    <n v="0.85312841309999998"/>
    <n v="16"/>
    <n v="40874.035023225893"/>
    <n v="54.361999509999997"/>
    <n v="90"/>
    <n v="45.952126960000001"/>
    <n v="46"/>
    <n v="54"/>
  </r>
  <r>
    <s v="Viet Nam"/>
    <x v="3"/>
    <n v="97338.585940000004"/>
    <n v="37.340000150000002"/>
    <n v="96.884356870000005"/>
    <n v="0"/>
    <n v="3.1156431260000002"/>
    <n v="0"/>
    <n v="95.514538439999995"/>
    <n v="0"/>
    <n v="4.4854615600000001"/>
    <n v="0"/>
    <n v="99.183040009999999"/>
    <n v="0"/>
    <n v="0.81695998700000005"/>
    <n v="0"/>
    <n v="16"/>
    <n v="36346.228136003883"/>
    <n v="62.659999849999998"/>
    <n v="98"/>
    <n v="96.884356870000005"/>
    <n v="37"/>
    <n v="63"/>
  </r>
  <r>
    <s v="Egypt"/>
    <x v="3"/>
    <n v="102334.4063"/>
    <n v="42.783000950000002"/>
    <n v="99.440175960000005"/>
    <n v="0.23760910860000001"/>
    <n v="0.3222149265"/>
    <n v="0"/>
    <n v="99.332835149999994"/>
    <n v="0.33594182239999998"/>
    <n v="0.33122303190000002"/>
    <n v="0"/>
    <n v="99.583731099999994"/>
    <n v="0.10610120670000001"/>
    <n v="0.31016769430000002"/>
    <n v="0"/>
    <n v="16"/>
    <n v="43781.730019505863"/>
    <n v="57.216999049999998"/>
    <n v="103"/>
    <n v="99.440175960000005"/>
    <n v="43"/>
    <n v="57"/>
  </r>
  <r>
    <s v="Philippines"/>
    <x v="3"/>
    <n v="109581.08590000001"/>
    <n v="47.407997129999998"/>
    <n v="94.109034559999998"/>
    <n v="2.8564861370000001"/>
    <n v="3.0344793069999998"/>
    <n v="0"/>
    <n v="91.06193322"/>
    <n v="3.9595204279999998"/>
    <n v="4.978546347"/>
    <n v="0"/>
    <n v="97.489332500000003"/>
    <n v="1.632836465"/>
    <n v="0.87783103600000001"/>
    <n v="0"/>
    <n v="16"/>
    <n v="51950.198058494832"/>
    <n v="52.592002870000002"/>
    <n v="110"/>
    <n v="94.109034559999998"/>
    <n v="47"/>
    <n v="53"/>
  </r>
  <r>
    <s v="Ethiopia"/>
    <x v="4"/>
    <n v="114963.58590000001"/>
    <n v="21.69499969"/>
    <n v="49.615572739999998"/>
    <n v="26.740719639999998"/>
    <n v="18.635060129999999"/>
    <n v="5.0086474860000001"/>
    <n v="40.03013919"/>
    <n v="30.186683339999998"/>
    <n v="23.49561327"/>
    <n v="6.2875642029999996"/>
    <n v="84.212828160000001"/>
    <n v="14.30300858"/>
    <n v="1.0915823549999999"/>
    <n v="0.39258089600000001"/>
    <n v="16"/>
    <n v="24941.349604617884"/>
    <n v="78.305000309999997"/>
    <n v="115"/>
    <n v="49.615572739999998"/>
    <n v="22"/>
    <n v="78"/>
  </r>
  <r>
    <s v="Japan"/>
    <x v="1"/>
    <n v="126476.46090000001"/>
    <n v="91.781997680000003"/>
    <n v="99.078912450000004"/>
    <n v="0"/>
    <n v="0.92108754670000004"/>
    <n v="0"/>
    <s v="NAN"/>
    <s v="NAN"/>
    <s v="NAN"/>
    <s v="NAN"/>
    <s v="NAN"/>
    <s v="NAN"/>
    <s v="NAN"/>
    <s v="NAN"/>
    <n v="16"/>
    <n v="116082.62240898411"/>
    <n v="8.2180023199999965"/>
    <n v="127"/>
    <n v="99.078912450000004"/>
    <n v="92"/>
    <n v="8"/>
  </r>
  <r>
    <s v="Mexico"/>
    <x v="2"/>
    <n v="128932.75"/>
    <n v="80.730995179999994"/>
    <n v="99.679568279999998"/>
    <n v="0"/>
    <n v="0.3204317169"/>
    <n v="0"/>
    <n v="98.337068930000001"/>
    <n v="0"/>
    <n v="1.6629310669999999"/>
    <n v="0"/>
    <n v="100"/>
    <n v="0"/>
    <n v="0"/>
    <n v="0"/>
    <n v="16"/>
    <n v="104088.69218794144"/>
    <n v="19.269004820000006"/>
    <n v="129"/>
    <n v="99.679568279999998"/>
    <n v="81"/>
    <n v="19"/>
  </r>
  <r>
    <s v="Russian Federation"/>
    <x v="2"/>
    <n v="145934.45310000001"/>
    <n v="74.754005430000007"/>
    <n v="96.992548069999998"/>
    <n v="0.62199637659999996"/>
    <n v="2.3854555500000001"/>
    <s v="NAN"/>
    <n v="91.544101960000006"/>
    <n v="1.5831635129999999"/>
    <n v="6.8727345309999999"/>
    <s v="NAN"/>
    <n v="98.832599610000003"/>
    <n v="0.29738996870000001"/>
    <n v="0.67001042359999996"/>
    <n v="0.2"/>
    <n v="16"/>
    <n v="109091.84899461482"/>
    <n v="25.245994569999993"/>
    <n v="146"/>
    <n v="96.992548069999998"/>
    <n v="75"/>
    <n v="25"/>
  </r>
  <r>
    <s v="Bangladesh"/>
    <x v="3"/>
    <n v="164689.39060000001"/>
    <n v="38.177001949999998"/>
    <n v="97.697960249999994"/>
    <n v="1.1564258780000001"/>
    <n v="0.46265570020000002"/>
    <n v="0.68295817349999999"/>
    <n v="97.88023776"/>
    <n v="0.85810498040000005"/>
    <n v="0.31648024139999997"/>
    <n v="0.94517701509999996"/>
    <n v="97.402777970000002"/>
    <n v="1.6395201210000001"/>
    <n v="0.69937521469999997"/>
    <n v="0.25832669339999997"/>
    <n v="16"/>
    <n v="62873.471860805119"/>
    <n v="61.822998050000002"/>
    <n v="165"/>
    <n v="97.697960249999994"/>
    <n v="38"/>
    <n v="62"/>
  </r>
  <r>
    <s v="Nigeria"/>
    <x v="3"/>
    <n v="206139.5938"/>
    <n v="51.958000179999999"/>
    <n v="77.609053380000006"/>
    <n v="4.9793993429999999"/>
    <n v="11.79691148"/>
    <n v="5.6146357939999998"/>
    <n v="61.658210029999999"/>
    <n v="7.1289245829999999"/>
    <n v="20.924875350000001"/>
    <n v="10.28799004"/>
    <n v="92.357705190000004"/>
    <n v="2.9918806500000001"/>
    <n v="3.356908786"/>
    <n v="1.2935053700000001"/>
    <n v="16"/>
    <n v="107106.01051765526"/>
    <n v="48.041999820000001"/>
    <n v="207"/>
    <n v="77.609053380000006"/>
    <n v="52"/>
    <n v="48"/>
  </r>
  <r>
    <s v="Brazil"/>
    <x v="2"/>
    <n v="212559.4063"/>
    <n v="87.072998049999995"/>
    <n v="99.320852990000006"/>
    <n v="0.12654900390000001"/>
    <n v="0.55259800989999996"/>
    <s v="NAN"/>
    <n v="95.945259530000001"/>
    <n v="0.97895091540000001"/>
    <n v="3.0757895510000002"/>
    <s v="NAN"/>
    <n v="99.822001310000005"/>
    <n v="0"/>
    <n v="0.1779986949"/>
    <n v="0"/>
    <n v="16"/>
    <n v="185081.84770269057"/>
    <n v="12.927001950000005"/>
    <n v="213"/>
    <n v="99.320852990000006"/>
    <n v="87"/>
    <n v="13"/>
  </r>
  <r>
    <s v="Pakistan"/>
    <x v="3"/>
    <n v="220892.32810000001"/>
    <n v="37.165000919999997"/>
    <n v="90.148965079999996"/>
    <n v="3.8222795249999999"/>
    <n v="4.4133075740000001"/>
    <n v="1.61544782"/>
    <n v="88.599860759999999"/>
    <n v="3.852278117"/>
    <n v="5.1745965089999997"/>
    <n v="2.3732646169999998"/>
    <n v="92.768049849999997"/>
    <n v="3.7715611619999998"/>
    <n v="3.126184571"/>
    <n v="0.33420442230000003"/>
    <n v="16"/>
    <n v="82094.635770574416"/>
    <n v="62.834999080000003"/>
    <n v="221"/>
    <n v="90.148965079999996"/>
    <n v="37"/>
    <n v="63"/>
  </r>
  <r>
    <s v="Indonesia"/>
    <x v="3"/>
    <n v="273523.625"/>
    <n v="56.640998840000002"/>
    <n v="92.415349610000007"/>
    <n v="0.85547463349999997"/>
    <n v="5.553871666"/>
    <n v="1.175304087"/>
    <n v="85.667962380000006"/>
    <n v="1.1780912299999999"/>
    <n v="10.61491462"/>
    <n v="2.539031772"/>
    <n v="97.580512069999997"/>
    <n v="0.60850983449999996"/>
    <n v="1.679615139"/>
    <n v="0.13136295880000001"/>
    <n v="16"/>
    <n v="154926.51326337596"/>
    <n v="43.359001159999998"/>
    <n v="274"/>
    <n v="92.415349610000007"/>
    <n v="57"/>
    <n v="43"/>
  </r>
  <r>
    <s v="United States of America"/>
    <x v="1"/>
    <n v="331002.65629999997"/>
    <n v="82.664001459999994"/>
    <n v="99.883526680000003"/>
    <n v="0"/>
    <n v="0.1164733182"/>
    <n v="0"/>
    <n v="99.670787340000004"/>
    <n v="0"/>
    <n v="0.3292126628"/>
    <n v="0"/>
    <n v="99.928144470000007"/>
    <n v="0"/>
    <n v="7.1855529599999995E-2"/>
    <n v="0"/>
    <n v="16"/>
    <n v="273620.04063647072"/>
    <n v="17.335998540000006"/>
    <n v="332"/>
    <n v="99.883526680000003"/>
    <n v="83"/>
    <n v="17"/>
  </r>
  <r>
    <s v="India"/>
    <x v="3"/>
    <n v="1380004.375"/>
    <n v="34.926002500000003"/>
    <n v="90.489525029999996"/>
    <n v="4.9836025619999997"/>
    <n v="3.9631539450000002"/>
    <n v="0.56371846260000003"/>
    <n v="88.782503129999995"/>
    <n v="5.9022100540000002"/>
    <n v="4.5763757299999996"/>
    <n v="0.73891108559999996"/>
    <n v="93.670036300000007"/>
    <n v="3.2720560270000001"/>
    <n v="2.8206075230000001"/>
    <n v="0.2373001538"/>
    <n v="16"/>
    <n v="481980.3625126094"/>
    <n v="65.07399749999999"/>
    <n v="1381"/>
    <n v="90.489525029999996"/>
    <n v="35"/>
    <n v="65"/>
  </r>
  <r>
    <s v="China"/>
    <x v="2"/>
    <n v="1463140.5"/>
    <n v="61.713088990000003"/>
    <n v="94.261110590000001"/>
    <n v="0.8147213297"/>
    <n v="4.725451938"/>
    <n v="0.19871614409999999"/>
    <n v="89.661233510000002"/>
    <n v="1.832679086"/>
    <n v="8.5060874089999992"/>
    <n v="0"/>
    <n v="97.11488267"/>
    <n v="0.1831784927"/>
    <n v="2.3799388399999999"/>
    <n v="0.32200000000000001"/>
    <n v="16"/>
    <n v="902949.19881373097"/>
    <n v="38.286911009999997"/>
    <n v="1464"/>
    <n v="94.261110590000001"/>
    <n v="62"/>
    <n v="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Saint Barthelemy"/>
    <x v="0"/>
    <n v="9.8849999999999998"/>
    <n v="100"/>
    <n v="100"/>
    <n v="0"/>
    <n v="0"/>
    <n v="0"/>
    <s v="NAN"/>
    <s v="NAN"/>
    <s v="NAN"/>
    <s v="NAN"/>
    <n v="100"/>
    <n v="0"/>
    <n v="0"/>
    <n v="0"/>
    <n v="16"/>
    <n v="9.8849999999999998"/>
    <n v="0"/>
    <n v="1"/>
    <n v="100"/>
    <n v="100"/>
    <n v="0"/>
  </r>
  <r>
    <s v="Nauru"/>
    <x v="1"/>
    <n v="10.833999629999999"/>
    <n v="100"/>
    <n v="100"/>
    <n v="0"/>
    <n v="0"/>
    <n v="0"/>
    <s v="NAN"/>
    <s v="NAN"/>
    <s v="NAN"/>
    <s v="NAN"/>
    <n v="100"/>
    <n v="0"/>
    <n v="0"/>
    <n v="0"/>
    <n v="16"/>
    <n v="10.833999629999999"/>
    <n v="0"/>
    <n v="1"/>
    <n v="100"/>
    <n v="100"/>
    <n v="0"/>
  </r>
  <r>
    <s v="Gibraltar"/>
    <x v="1"/>
    <n v="33.691001890000003"/>
    <n v="100"/>
    <n v="100"/>
    <n v="0"/>
    <n v="0"/>
    <n v="0"/>
    <s v="NAN"/>
    <s v="NAN"/>
    <s v="NAN"/>
    <s v="NAN"/>
    <n v="100"/>
    <n v="0"/>
    <n v="0"/>
    <n v="0"/>
    <n v="16"/>
    <n v="33.691001890000003"/>
    <n v="0"/>
    <n v="1"/>
    <n v="100"/>
    <n v="100"/>
    <n v="0"/>
  </r>
  <r>
    <s v="Saint Martin (French part)"/>
    <x v="1"/>
    <n v="38.658999999999999"/>
    <n v="100"/>
    <n v="99.999271390000004"/>
    <n v="0"/>
    <n v="7.2861055070000001E-4"/>
    <n v="0"/>
    <s v="NAN"/>
    <s v="NAN"/>
    <s v="NAN"/>
    <s v="NAN"/>
    <n v="99.999271390000004"/>
    <n v="0"/>
    <n v="7.2861055070000001E-4"/>
    <n v="0"/>
    <n v="16"/>
    <n v="38.658999999999999"/>
    <n v="0"/>
    <n v="1"/>
    <n v="99.999271390000004"/>
    <n v="100"/>
    <n v="0"/>
  </r>
  <r>
    <s v="Monaco"/>
    <x v="1"/>
    <n v="39.243999479999999"/>
    <n v="100"/>
    <n v="100"/>
    <n v="0"/>
    <n v="0"/>
    <n v="0"/>
    <s v="NAN"/>
    <s v="NAN"/>
    <s v="NAN"/>
    <s v="NAN"/>
    <n v="100"/>
    <n v="0"/>
    <n v="0"/>
    <n v="0"/>
    <n v="16"/>
    <n v="39.243999479999999"/>
    <n v="0"/>
    <n v="1"/>
    <n v="100"/>
    <n v="100"/>
    <n v="0"/>
  </r>
  <r>
    <s v="Bermuda"/>
    <x v="1"/>
    <n v="62.272998809999997"/>
    <n v="100"/>
    <n v="99.903140019999995"/>
    <n v="0"/>
    <n v="9.6859982940000006E-2"/>
    <n v="0"/>
    <s v="NAN"/>
    <s v="NAN"/>
    <s v="NAN"/>
    <s v="NAN"/>
    <n v="99.903140019999995"/>
    <n v="0"/>
    <n v="9.6859982940000006E-2"/>
    <n v="0"/>
    <n v="16"/>
    <n v="62.272998809999997"/>
    <n v="0"/>
    <n v="1"/>
    <n v="99.903140019999995"/>
    <n v="100"/>
    <n v="0"/>
  </r>
  <r>
    <s v="China, Macao SAR"/>
    <x v="1"/>
    <n v="649.34198000000004"/>
    <n v="100"/>
    <n v="100"/>
    <n v="0"/>
    <n v="0"/>
    <n v="0"/>
    <s v="NAN"/>
    <s v="NAN"/>
    <s v="NAN"/>
    <s v="NAN"/>
    <n v="100"/>
    <n v="0"/>
    <n v="0"/>
    <n v="0"/>
    <n v="16"/>
    <n v="649.34198000000004"/>
    <n v="0"/>
    <n v="1"/>
    <n v="100"/>
    <n v="100"/>
    <n v="0"/>
  </r>
  <r>
    <s v="Réunion"/>
    <x v="0"/>
    <n v="895.30798340000001"/>
    <n v="99.659004210000006"/>
    <n v="100"/>
    <n v="0"/>
    <n v="0"/>
    <n v="0"/>
    <s v="NAN"/>
    <s v="NAN"/>
    <s v="NAN"/>
    <s v="NAN"/>
    <s v="NAN"/>
    <s v="NAN"/>
    <s v="NAN"/>
    <s v="NAN"/>
    <n v="16"/>
    <n v="892.25502086907215"/>
    <n v="0.3409957899999938"/>
    <n v="1"/>
    <n v="100"/>
    <n v="100"/>
    <n v="0"/>
  </r>
  <r>
    <s v="Kuwait"/>
    <x v="1"/>
    <n v="4270.5629879999997"/>
    <n v="100"/>
    <n v="100"/>
    <n v="0"/>
    <n v="0"/>
    <n v="0"/>
    <s v="NAN"/>
    <s v="NAN"/>
    <s v="NAN"/>
    <s v="NAN"/>
    <s v="NAN"/>
    <s v="NAN"/>
    <s v="NAN"/>
    <s v="NAN"/>
    <n v="16"/>
    <n v="4270.5629879999997"/>
    <n v="0"/>
    <n v="5"/>
    <n v="100"/>
    <n v="100"/>
    <n v="0"/>
  </r>
  <r>
    <s v="Singapore"/>
    <x v="1"/>
    <n v="5850.3427730000003"/>
    <n v="100"/>
    <n v="100"/>
    <n v="0"/>
    <n v="0"/>
    <n v="0"/>
    <s v="NAN"/>
    <s v="NAN"/>
    <s v="NAN"/>
    <s v="NAN"/>
    <n v="100"/>
    <n v="0"/>
    <n v="0"/>
    <n v="0"/>
    <n v="16"/>
    <n v="5850.3427730000003"/>
    <n v="0"/>
    <n v="6"/>
    <n v="100"/>
    <n v="100"/>
    <n v="0"/>
  </r>
  <r>
    <s v="China, Hong Kong SAR"/>
    <x v="1"/>
    <n v="7496.9877930000002"/>
    <n v="100"/>
    <n v="100"/>
    <n v="0"/>
    <n v="0"/>
    <n v="0"/>
    <s v="NAN"/>
    <s v="NAN"/>
    <s v="NAN"/>
    <s v="NAN"/>
    <n v="100"/>
    <n v="0"/>
    <n v="0"/>
    <n v="0"/>
    <n v="16"/>
    <n v="7496.9877930000002"/>
    <n v="0"/>
    <n v="8"/>
    <n v="100"/>
    <n v="100"/>
    <n v="0"/>
  </r>
  <r>
    <s v="Qatar"/>
    <x v="1"/>
    <n v="2881.0600589999999"/>
    <n v="99.23500061"/>
    <n v="99.568101940000005"/>
    <n v="0"/>
    <n v="0.4318980637"/>
    <n v="0"/>
    <s v="NAN"/>
    <s v="NAN"/>
    <s v="NAN"/>
    <s v="NAN"/>
    <s v="NAN"/>
    <s v="NAN"/>
    <s v="NAN"/>
    <s v="NAN"/>
    <n v="16"/>
    <n v="2859.0199671231162"/>
    <n v="0.76499938999999983"/>
    <n v="3"/>
    <n v="99.568101940000005"/>
    <n v="99"/>
    <n v="1"/>
  </r>
  <r>
    <s v="Guadeloupe"/>
    <x v="0"/>
    <n v="400.12701420000002"/>
    <n v="98.498992920000006"/>
    <n v="99.803126039999995"/>
    <n v="0"/>
    <n v="0.19687396130000001"/>
    <n v="0"/>
    <s v="NAN"/>
    <s v="NAN"/>
    <s v="NAN"/>
    <s v="NAN"/>
    <s v="NAN"/>
    <s v="NAN"/>
    <s v="NAN"/>
    <s v="NAN"/>
    <n v="16"/>
    <n v="394.12107938786545"/>
    <n v="1.5010070799999937"/>
    <n v="1"/>
    <n v="99.803126039999995"/>
    <n v="98"/>
    <n v="2"/>
  </r>
  <r>
    <s v="Belgium"/>
    <x v="1"/>
    <n v="11589.61621"/>
    <n v="98.078994750000007"/>
    <n v="99.999996449999998"/>
    <n v="0"/>
    <n v="3.5547967910000002E-6"/>
    <n v="0"/>
    <n v="100"/>
    <n v="0"/>
    <n v="0"/>
    <n v="0"/>
    <n v="100"/>
    <n v="0"/>
    <n v="0"/>
    <n v="0"/>
    <n v="16"/>
    <n v="11366.97907415105"/>
    <n v="1.9210052499999932"/>
    <n v="12"/>
    <n v="99.999996449999998"/>
    <n v="98"/>
    <n v="2"/>
  </r>
  <r>
    <s v="San Marino"/>
    <x v="1"/>
    <n v="33.937999730000001"/>
    <n v="97.499000550000005"/>
    <n v="100"/>
    <n v="0"/>
    <n v="0"/>
    <n v="0"/>
    <s v="NAN"/>
    <s v="NAN"/>
    <s v="NAN"/>
    <s v="NAN"/>
    <s v="NAN"/>
    <s v="NAN"/>
    <s v="NAN"/>
    <s v="NAN"/>
    <n v="16"/>
    <n v="33.089210543411703"/>
    <n v="2.5009994499999948"/>
    <n v="1"/>
    <n v="100"/>
    <n v="97"/>
    <n v="3"/>
  </r>
  <r>
    <s v="United States Virgin Islands"/>
    <x v="1"/>
    <n v="104.4229965"/>
    <n v="95.939002990000006"/>
    <n v="98.71826738"/>
    <n v="0"/>
    <n v="1.281732624"/>
    <n v="0"/>
    <s v="NAN"/>
    <s v="NAN"/>
    <s v="NAN"/>
    <s v="NAN"/>
    <s v="NAN"/>
    <s v="NAN"/>
    <s v="NAN"/>
    <s v="NAN"/>
    <n v="16"/>
    <n v="100.1823817343826"/>
    <n v="4.0609970099999941"/>
    <n v="1"/>
    <n v="98.71826738"/>
    <n v="96"/>
    <n v="4"/>
  </r>
  <r>
    <s v="Uruguay"/>
    <x v="1"/>
    <n v="3473.7270509999998"/>
    <n v="95.51499939"/>
    <n v="99.495757560000001"/>
    <n v="0.50424244119999995"/>
    <n v="0"/>
    <n v="0"/>
    <n v="95.300830000000005"/>
    <n v="4.6991699999999996"/>
    <n v="0"/>
    <n v="0"/>
    <n v="99.692734439999995"/>
    <n v="0.30726556170000002"/>
    <n v="0"/>
    <n v="0"/>
    <n v="16"/>
    <n v="3317.9303715729147"/>
    <n v="4.4850006100000002"/>
    <n v="4"/>
    <n v="99.495757560000001"/>
    <n v="96"/>
    <n v="4"/>
  </r>
  <r>
    <s v="Guam"/>
    <x v="1"/>
    <n v="168.78300479999999"/>
    <n v="94.938003539999997"/>
    <n v="99.6952"/>
    <n v="0"/>
    <n v="0.30480000000000002"/>
    <n v="0"/>
    <s v="NAN"/>
    <s v="NAN"/>
    <s v="NAN"/>
    <s v="NAN"/>
    <s v="NAN"/>
    <s v="NAN"/>
    <s v="NAN"/>
    <s v="NAN"/>
    <n v="16"/>
    <n v="160.23921507194234"/>
    <n v="5.0619964600000031"/>
    <n v="1"/>
    <n v="99.6952"/>
    <n v="95"/>
    <n v="5"/>
  </r>
  <r>
    <s v="Malta"/>
    <x v="1"/>
    <n v="441.53900149999998"/>
    <n v="94.744003300000003"/>
    <n v="100.0000004"/>
    <n v="0"/>
    <n v="0"/>
    <n v="0"/>
    <n v="100"/>
    <n v="0"/>
    <n v="0"/>
    <n v="0"/>
    <n v="100"/>
    <n v="0"/>
    <n v="0"/>
    <n v="0"/>
    <n v="16"/>
    <n v="418.33172615194707"/>
    <n v="5.2559966999999972"/>
    <n v="1"/>
    <n v="100"/>
    <n v="95"/>
    <n v="5"/>
  </r>
  <r>
    <s v="Iceland"/>
    <x v="1"/>
    <n v="341.25"/>
    <n v="93.897994999999995"/>
    <n v="99.999997210000004"/>
    <n v="0"/>
    <n v="2.7946500150000002E-6"/>
    <n v="0"/>
    <n v="100"/>
    <n v="0"/>
    <n v="0"/>
    <n v="0"/>
    <n v="100"/>
    <n v="0"/>
    <n v="0"/>
    <n v="0"/>
    <n v="16"/>
    <n v="320.42690793749995"/>
    <n v="6.1020050000000055"/>
    <n v="1"/>
    <n v="99.999997210000004"/>
    <n v="94"/>
    <n v="6"/>
  </r>
  <r>
    <s v="Puerto Rico"/>
    <x v="1"/>
    <n v="2860.8400879999999"/>
    <n v="93.581001279999995"/>
    <n v="100"/>
    <n v="0"/>
    <n v="0"/>
    <n v="0"/>
    <s v="NAN"/>
    <s v="NAN"/>
    <s v="NAN"/>
    <s v="NAN"/>
    <s v="NAN"/>
    <s v="NAN"/>
    <s v="NAN"/>
    <s v="NAN"/>
    <n v="16"/>
    <n v="2677.2027993700331"/>
    <n v="6.4189987200000047"/>
    <n v="3"/>
    <n v="100"/>
    <n v="94"/>
    <n v="6"/>
  </r>
  <r>
    <s v="Israel"/>
    <x v="1"/>
    <n v="8655.5410159999992"/>
    <n v="92.58699799"/>
    <n v="100"/>
    <n v="0"/>
    <n v="0"/>
    <n v="0"/>
    <n v="100"/>
    <n v="0"/>
    <n v="0"/>
    <n v="0"/>
    <n v="100"/>
    <n v="0"/>
    <n v="0"/>
    <n v="0"/>
    <n v="16"/>
    <n v="8013.9055865075443"/>
    <n v="7.4130020099999996"/>
    <n v="9"/>
    <n v="100"/>
    <n v="93"/>
    <n v="7"/>
  </r>
  <r>
    <s v="Northern Mariana Islands"/>
    <x v="1"/>
    <n v="57.556999210000001"/>
    <n v="91.797996519999998"/>
    <n v="100"/>
    <n v="0"/>
    <n v="0"/>
    <n v="0"/>
    <s v="NAN"/>
    <s v="NAN"/>
    <s v="NAN"/>
    <s v="NAN"/>
    <s v="NAN"/>
    <s v="NAN"/>
    <s v="NAN"/>
    <s v="NAN"/>
    <n v="16"/>
    <n v="52.836172131812226"/>
    <n v="8.2020034800000019"/>
    <n v="1"/>
    <n v="100"/>
    <n v="92"/>
    <n v="8"/>
  </r>
  <r>
    <s v="Netherlands"/>
    <x v="1"/>
    <n v="17134.873049999998"/>
    <n v="92.236000059999995"/>
    <n v="99.999999290000005"/>
    <n v="0"/>
    <n v="7.1240862099999999E-7"/>
    <n v="0"/>
    <n v="100"/>
    <n v="0"/>
    <n v="0"/>
    <n v="0"/>
    <n v="100"/>
    <n v="0"/>
    <n v="0"/>
    <n v="0"/>
    <n v="16"/>
    <n v="15804.52151667892"/>
    <n v="7.763999940000005"/>
    <n v="18"/>
    <n v="99.999999290000005"/>
    <n v="92"/>
    <n v="8"/>
  </r>
  <r>
    <s v="Argentina"/>
    <x v="2"/>
    <n v="45195.777340000001"/>
    <n v="92.111000059999995"/>
    <s v="NAN"/>
    <s v="NAN"/>
    <s v="NAN"/>
    <s v="NAN"/>
    <s v="NAN"/>
    <s v="NAN"/>
    <s v="NAN"/>
    <s v="NAN"/>
    <n v="99.790420650000002"/>
    <n v="0"/>
    <n v="0.20957935010000001"/>
    <n v="0"/>
    <n v="16"/>
    <n v="41630.282492764862"/>
    <n v="7.888999940000005"/>
    <n v="46"/>
    <s v="NAN"/>
    <n v="92"/>
    <n v="8"/>
  </r>
  <r>
    <s v="Japan"/>
    <x v="1"/>
    <n v="126476.46090000001"/>
    <n v="91.781997680000003"/>
    <n v="99.078912450000004"/>
    <n v="0"/>
    <n v="0.92108754670000004"/>
    <n v="0"/>
    <s v="NAN"/>
    <s v="NAN"/>
    <s v="NAN"/>
    <s v="NAN"/>
    <s v="NAN"/>
    <s v="NAN"/>
    <s v="NAN"/>
    <s v="NAN"/>
    <n v="16"/>
    <n v="116082.62240898411"/>
    <n v="8.2180023199999965"/>
    <n v="127"/>
    <n v="99.078912450000004"/>
    <n v="92"/>
    <n v="8"/>
  </r>
  <r>
    <s v="Luxembourg"/>
    <x v="1"/>
    <n v="625.97601320000001"/>
    <n v="91.452995299999998"/>
    <n v="99.879932539999999"/>
    <n v="0"/>
    <n v="0.1200674649"/>
    <n v="0"/>
    <n v="98.595238100000003"/>
    <n v="0"/>
    <n v="1.404761905"/>
    <n v="0"/>
    <n v="100"/>
    <n v="0"/>
    <n v="0"/>
    <n v="0"/>
    <n v="16"/>
    <n v="572.47381393092337"/>
    <n v="8.5470047000000022"/>
    <n v="1"/>
    <n v="99.879932539999999"/>
    <n v="91"/>
    <n v="9"/>
  </r>
  <r>
    <s v="Jordan"/>
    <x v="2"/>
    <n v="10203.139649999999"/>
    <n v="91.417999269999996"/>
    <n v="98.940302959999997"/>
    <n v="0.1462147369"/>
    <n v="0.8536474704"/>
    <n v="5.9834831790000001E-2"/>
    <n v="97.311478690000001"/>
    <n v="0.62394659450000001"/>
    <n v="2.0247147160000001"/>
    <n v="3.986E-2"/>
    <n v="99.093212589999993"/>
    <n v="0.1013669408"/>
    <n v="0.74371047069999996"/>
    <n v="6.1710000000000001E-2"/>
    <n v="16"/>
    <n v="9327.50613075408"/>
    <n v="8.5820007300000043"/>
    <n v="11"/>
    <n v="98.940302959999997"/>
    <n v="91"/>
    <n v="9"/>
  </r>
  <r>
    <s v="Saint Pierre and Miquelon"/>
    <x v="0"/>
    <n v="5.795000076"/>
    <n v="89.96199799"/>
    <n v="91.4"/>
    <n v="0"/>
    <n v="8.6"/>
    <n v="0"/>
    <s v="NAN"/>
    <s v="NAN"/>
    <s v="NAN"/>
    <s v="NAN"/>
    <s v="NAN"/>
    <s v="NAN"/>
    <s v="NAN"/>
    <s v="NAN"/>
    <n v="16"/>
    <n v="5.2132978518916184"/>
    <n v="10.03800201"/>
    <n v="1"/>
    <n v="91.4"/>
    <n v="90"/>
    <n v="10"/>
  </r>
  <r>
    <s v="Bahrain"/>
    <x v="1"/>
    <n v="1701.5830080000001"/>
    <n v="89.506004329999996"/>
    <n v="100"/>
    <n v="0"/>
    <n v="0"/>
    <n v="0"/>
    <s v="NAN"/>
    <s v="NAN"/>
    <s v="NAN"/>
    <s v="NAN"/>
    <s v="NAN"/>
    <s v="NAN"/>
    <s v="NAN"/>
    <s v="NAN"/>
    <n v="16"/>
    <n v="1523.0189608190242"/>
    <n v="10.493995670000004"/>
    <n v="2"/>
    <n v="100"/>
    <n v="90"/>
    <n v="10"/>
  </r>
  <r>
    <s v="Gabon"/>
    <x v="2"/>
    <n v="2225.7280270000001"/>
    <n v="90.092002870000002"/>
    <n v="85.341930599999998"/>
    <n v="7.7352631030000003"/>
    <n v="6.9228083570000001"/>
    <s v="NAN"/>
    <n v="44.745889009999999"/>
    <n v="10.511148589999999"/>
    <n v="44.742962400000003"/>
    <s v="NAN"/>
    <n v="89.806539169999994"/>
    <n v="7.4299807600000003"/>
    <n v="2.7634800720000001"/>
    <s v="NAN"/>
    <n v="16"/>
    <n v="2005.2029579632344"/>
    <n v="9.9079971299999983"/>
    <n v="3"/>
    <n v="85.341930599999998"/>
    <n v="90"/>
    <n v="10"/>
  </r>
  <r>
    <s v="Martinique"/>
    <x v="0"/>
    <n v="375.26501459999997"/>
    <n v="89.13999939"/>
    <n v="99.841970779999997"/>
    <n v="0"/>
    <n v="0.15802921580000001"/>
    <n v="0"/>
    <s v="NAN"/>
    <s v="NAN"/>
    <s v="NAN"/>
    <s v="NAN"/>
    <s v="NAN"/>
    <s v="NAN"/>
    <s v="NAN"/>
    <s v="NAN"/>
    <n v="16"/>
    <n v="334.5112317253234"/>
    <n v="10.86000061"/>
    <n v="1"/>
    <n v="99.841970779999997"/>
    <n v="89"/>
    <n v="11"/>
  </r>
  <r>
    <s v="Lebanon"/>
    <x v="3"/>
    <n v="6825.4418949999999"/>
    <n v="88.924995420000002"/>
    <n v="92.6"/>
    <n v="7.4"/>
    <n v="0"/>
    <n v="0"/>
    <s v="NAN"/>
    <s v="NAN"/>
    <s v="NAN"/>
    <s v="NAN"/>
    <s v="NAN"/>
    <s v="NAN"/>
    <s v="NAN"/>
    <s v="NAN"/>
    <n v="16"/>
    <n v="6069.5238925235108"/>
    <n v="11.075004579999998"/>
    <n v="7"/>
    <n v="92.6"/>
    <n v="89"/>
    <n v="11"/>
  </r>
  <r>
    <s v="Andorra"/>
    <x v="1"/>
    <n v="77.26499939"/>
    <n v="87.916000370000006"/>
    <n v="100.00000369999999"/>
    <n v="0"/>
    <n v="0"/>
    <n v="0"/>
    <n v="100"/>
    <n v="0"/>
    <n v="0"/>
    <n v="0"/>
    <n v="100"/>
    <n v="0"/>
    <n v="0"/>
    <n v="0"/>
    <n v="16"/>
    <n v="67.928297149592893"/>
    <n v="12.083999629999994"/>
    <n v="1"/>
    <n v="100"/>
    <n v="88"/>
    <n v="12"/>
  </r>
  <r>
    <s v="Denmark"/>
    <x v="1"/>
    <n v="5792.203125"/>
    <n v="88.116004939999996"/>
    <n v="100.00000110000001"/>
    <n v="0"/>
    <n v="0"/>
    <n v="0"/>
    <n v="100"/>
    <n v="0"/>
    <n v="0"/>
    <n v="0"/>
    <n v="100"/>
    <n v="0"/>
    <n v="0"/>
    <n v="0"/>
    <n v="16"/>
    <n v="5103.8579917598336"/>
    <n v="11.883995060000004"/>
    <n v="6"/>
    <n v="100"/>
    <n v="88"/>
    <n v="12"/>
  </r>
  <r>
    <s v="Sweden"/>
    <x v="1"/>
    <n v="10099.26953"/>
    <n v="87.97699738"/>
    <n v="99.826867629999995"/>
    <n v="0"/>
    <n v="0.17313237349999999"/>
    <n v="0"/>
    <n v="99.719374740000006"/>
    <n v="0"/>
    <n v="0.28062526259999998"/>
    <n v="0"/>
    <n v="99.841557679999994"/>
    <n v="0"/>
    <n v="0.1584423157"/>
    <n v="0"/>
    <n v="16"/>
    <n v="8885.0340898072373"/>
    <n v="12.02300262"/>
    <n v="11"/>
    <n v="99.826867629999995"/>
    <n v="88"/>
    <n v="12"/>
  </r>
  <r>
    <s v="Chile"/>
    <x v="1"/>
    <n v="19116.208979999999"/>
    <n v="87.72699738"/>
    <n v="99.999998719999994"/>
    <n v="0"/>
    <n v="1.2771393330000001E-6"/>
    <n v="0"/>
    <n v="100"/>
    <n v="0"/>
    <n v="0"/>
    <n v="0"/>
    <n v="100"/>
    <n v="0"/>
    <n v="0"/>
    <n v="0"/>
    <n v="16"/>
    <n v="16770.076151039924"/>
    <n v="12.27300262"/>
    <n v="20"/>
    <n v="99.999998719999994"/>
    <n v="88"/>
    <n v="12"/>
  </r>
  <r>
    <s v="Venezuela (Bolivarian Republic of)"/>
    <x v="0"/>
    <n v="28435.943360000001"/>
    <n v="88.278999330000005"/>
    <n v="93.685800709999995"/>
    <n v="0.4707829181"/>
    <n v="5.8434163730000002"/>
    <s v="NAN"/>
    <s v="NAN"/>
    <s v="NAN"/>
    <s v="NAN"/>
    <s v="NAN"/>
    <s v="NAN"/>
    <s v="NAN"/>
    <s v="NAN"/>
    <s v="NAN"/>
    <n v="16"/>
    <n v="25102.966248253582"/>
    <n v="11.721000669999995"/>
    <n v="29"/>
    <n v="93.685800709999995"/>
    <n v="88"/>
    <n v="12"/>
  </r>
  <r>
    <s v="American Samoa"/>
    <x v="2"/>
    <n v="55.196998600000001"/>
    <n v="87.152999879999996"/>
    <n v="99.773771659999994"/>
    <n v="0"/>
    <n v="0.22622834150000001"/>
    <n v="0"/>
    <s v="NAN"/>
    <s v="NAN"/>
    <s v="NAN"/>
    <s v="NAN"/>
    <s v="NAN"/>
    <s v="NAN"/>
    <s v="NAN"/>
    <s v="NAN"/>
    <n v="16"/>
    <n v="48.105840123621597"/>
    <n v="12.847000120000004"/>
    <n v="1"/>
    <n v="99.773771659999994"/>
    <n v="87"/>
    <n v="13"/>
  </r>
  <r>
    <s v="Greenland"/>
    <x v="1"/>
    <n v="56.771999360000002"/>
    <n v="87.282005310000002"/>
    <n v="100.0000017"/>
    <n v="0"/>
    <n v="0"/>
    <n v="0"/>
    <n v="100"/>
    <n v="0"/>
    <n v="0"/>
    <n v="0"/>
    <n v="100"/>
    <n v="0"/>
    <n v="0"/>
    <n v="0"/>
    <n v="16"/>
    <n v="49.551739495988365"/>
    <n v="12.717994689999998"/>
    <n v="1"/>
    <n v="100"/>
    <n v="87"/>
    <n v="13"/>
  </r>
  <r>
    <s v="New Zealand"/>
    <x v="1"/>
    <n v="4822.2329099999997"/>
    <n v="86.698997500000004"/>
    <n v="100.00000129999999"/>
    <n v="0"/>
    <n v="0"/>
    <n v="0"/>
    <n v="100"/>
    <n v="0"/>
    <n v="0"/>
    <n v="0"/>
    <n v="100"/>
    <n v="0"/>
    <n v="0"/>
    <n v="0"/>
    <n v="16"/>
    <n v="4180.8275900850776"/>
    <n v="13.301002499999996"/>
    <n v="5"/>
    <n v="100"/>
    <n v="87"/>
    <n v="13"/>
  </r>
  <r>
    <s v="United Arab Emirates"/>
    <x v="1"/>
    <n v="9890.4003909999992"/>
    <n v="87.047996519999998"/>
    <n v="99.965596000000005"/>
    <n v="0"/>
    <n v="3.4403999999999997E-2"/>
    <n v="0"/>
    <s v="NAN"/>
    <s v="NAN"/>
    <s v="NAN"/>
    <s v="NAN"/>
    <s v="NAN"/>
    <s v="NAN"/>
    <s v="NAN"/>
    <s v="NAN"/>
    <n v="16"/>
    <n v="8609.3953881717443"/>
    <n v="12.952003480000002"/>
    <n v="10"/>
    <n v="99.965596000000005"/>
    <n v="87"/>
    <n v="13"/>
  </r>
  <r>
    <s v="Brazil"/>
    <x v="2"/>
    <n v="212559.4063"/>
    <n v="87.072998049999995"/>
    <n v="99.320852990000006"/>
    <n v="0.12654900390000001"/>
    <n v="0.55259800989999996"/>
    <s v="NAN"/>
    <n v="95.945259530000001"/>
    <n v="0.97895091540000001"/>
    <n v="3.0757895510000002"/>
    <s v="NAN"/>
    <n v="99.822001310000005"/>
    <n v="0"/>
    <n v="0.1779986949"/>
    <n v="0"/>
    <n v="16"/>
    <n v="185081.84770269057"/>
    <n v="12.927001950000005"/>
    <n v="213"/>
    <n v="99.320852990000006"/>
    <n v="87"/>
    <n v="13"/>
  </r>
  <r>
    <s v="French Guiana"/>
    <x v="0"/>
    <n v="298.68200680000001"/>
    <n v="85.819999690000003"/>
    <n v="93.782216349999999"/>
    <n v="0"/>
    <n v="6.2177836519999996"/>
    <n v="0"/>
    <s v="NAN"/>
    <s v="NAN"/>
    <s v="NAN"/>
    <s v="NAN"/>
    <s v="NAN"/>
    <s v="NAN"/>
    <s v="NAN"/>
    <s v="NAN"/>
    <n v="16"/>
    <n v="256.32889730984579"/>
    <n v="14.180000309999997"/>
    <n v="1"/>
    <n v="93.782216349999999"/>
    <n v="86"/>
    <n v="14"/>
  </r>
  <r>
    <s v="Oman"/>
    <x v="1"/>
    <n v="5106.6220700000003"/>
    <n v="86.275993349999993"/>
    <n v="92.168024689999996"/>
    <n v="7.5414198929999996"/>
    <n v="0.26040520360000002"/>
    <n v="3.0150217449999999E-2"/>
    <n v="76.250779910000006"/>
    <n v="21.632121130000002"/>
    <n v="1.897409218"/>
    <n v="0.21968973750000001"/>
    <n v="94.7"/>
    <n v="5.3"/>
    <n v="0"/>
    <n v="0"/>
    <n v="16"/>
    <n v="4405.788917522832"/>
    <n v="13.724006650000007"/>
    <n v="6"/>
    <n v="92.168024689999996"/>
    <n v="86"/>
    <n v="14"/>
  </r>
  <r>
    <s v="Finland"/>
    <x v="1"/>
    <n v="5540.7177730000003"/>
    <n v="85.517005920000003"/>
    <n v="100.0000033"/>
    <n v="0"/>
    <n v="0"/>
    <n v="0"/>
    <n v="100"/>
    <n v="0"/>
    <n v="0"/>
    <n v="0"/>
    <n v="100"/>
    <n v="0"/>
    <n v="0"/>
    <n v="0"/>
    <n v="16"/>
    <n v="4738.2559459469021"/>
    <n v="14.482994079999997"/>
    <n v="6"/>
    <n v="100"/>
    <n v="86"/>
    <n v="14"/>
  </r>
  <r>
    <s v="Australia"/>
    <x v="1"/>
    <n v="25499.880860000001"/>
    <n v="86.240997309999997"/>
    <n v="99.969811820000004"/>
    <n v="0"/>
    <n v="3.0188178730000001E-2"/>
    <n v="0"/>
    <n v="100"/>
    <n v="0"/>
    <n v="0"/>
    <n v="0"/>
    <n v="99.965000000000003"/>
    <n v="0"/>
    <n v="3.5000000000000003E-2"/>
    <n v="0"/>
    <n v="16"/>
    <n v="21991.351566525806"/>
    <n v="13.759002690000003"/>
    <n v="26"/>
    <n v="99.969811820000004"/>
    <n v="86"/>
    <n v="14"/>
  </r>
  <r>
    <s v="Saudi Arabia"/>
    <x v="1"/>
    <n v="34813.867189999997"/>
    <n v="84.287002560000005"/>
    <n v="100"/>
    <n v="0"/>
    <n v="0"/>
    <n v="0"/>
    <s v="NAN"/>
    <s v="NAN"/>
    <s v="NAN"/>
    <s v="NAN"/>
    <s v="NAN"/>
    <s v="NAN"/>
    <s v="NAN"/>
    <s v="NAN"/>
    <n v="16"/>
    <n v="29343.5651296703"/>
    <n v="15.712997439999995"/>
    <n v="35"/>
    <n v="100"/>
    <n v="84"/>
    <n v="16"/>
  </r>
  <r>
    <s v="United Kingdom"/>
    <x v="1"/>
    <n v="67886.007809999996"/>
    <n v="83.902999879999996"/>
    <n v="99.999998559999995"/>
    <n v="0"/>
    <n v="1.4385328199999999E-6"/>
    <n v="0"/>
    <n v="100"/>
    <n v="0"/>
    <n v="0"/>
    <n v="0"/>
    <n v="100"/>
    <n v="0"/>
    <n v="0"/>
    <n v="0"/>
    <n v="16"/>
    <n v="56958.397051361084"/>
    <n v="16.097000120000004"/>
    <n v="68"/>
    <n v="99.999998559999995"/>
    <n v="84"/>
    <n v="16"/>
  </r>
  <r>
    <s v="Norway"/>
    <x v="1"/>
    <n v="5421.2421880000002"/>
    <n v="82.973991389999995"/>
    <n v="99.999995499999997"/>
    <n v="0"/>
    <n v="4.5034074529999998E-6"/>
    <n v="0"/>
    <n v="100"/>
    <n v="0"/>
    <n v="0"/>
    <n v="0"/>
    <n v="100"/>
    <n v="0"/>
    <n v="0"/>
    <n v="0"/>
    <n v="16"/>
    <n v="4498.221026302167"/>
    <n v="17.026008610000005"/>
    <n v="6"/>
    <n v="99.999995499999997"/>
    <n v="83"/>
    <n v="17"/>
  </r>
  <r>
    <s v="Dominican Republic"/>
    <x v="2"/>
    <n v="10847.9043"/>
    <n v="82.540000919999997"/>
    <n v="96.686811919999997"/>
    <n v="0.46703865039999998"/>
    <n v="1.2694287829999999"/>
    <n v="1.5767206439999999"/>
    <n v="90.304464370000005"/>
    <n v="1.3853155079999999"/>
    <n v="1.1151181269999999"/>
    <n v="7.1951019909999996"/>
    <n v="98.036891580000002"/>
    <n v="0.27279203590000001"/>
    <n v="1.3020733959999999"/>
    <n v="0.38824299220000003"/>
    <n v="16"/>
    <n v="8953.8603090207198"/>
    <n v="17.459999080000003"/>
    <n v="11"/>
    <n v="96.686811919999997"/>
    <n v="83"/>
    <n v="17"/>
  </r>
  <r>
    <s v="United States of America"/>
    <x v="1"/>
    <n v="331002.65629999997"/>
    <n v="82.664001459999994"/>
    <n v="99.883526680000003"/>
    <n v="0"/>
    <n v="0.1164733182"/>
    <n v="0"/>
    <n v="99.670787340000004"/>
    <n v="0"/>
    <n v="0.3292126628"/>
    <n v="0"/>
    <n v="99.928144470000007"/>
    <n v="0"/>
    <n v="7.1855529599999995E-2"/>
    <n v="0"/>
    <n v="16"/>
    <n v="273620.04063647072"/>
    <n v="17.335998540000006"/>
    <n v="332"/>
    <n v="99.883526680000003"/>
    <n v="83"/>
    <n v="17"/>
  </r>
  <r>
    <s v="Canada"/>
    <x v="1"/>
    <n v="37742.15625"/>
    <n v="81.562004090000002"/>
    <n v="99.221810660000003"/>
    <n v="0"/>
    <n v="0.77818933690000003"/>
    <n v="0"/>
    <n v="99.060495900000006"/>
    <n v="0"/>
    <n v="0.9395041006"/>
    <n v="0"/>
    <n v="99.258277660000005"/>
    <n v="0"/>
    <n v="0.74172233710000002"/>
    <n v="0"/>
    <n v="16"/>
    <n v="30783.259024279192"/>
    <n v="18.437995909999998"/>
    <n v="38"/>
    <n v="99.221810660000003"/>
    <n v="82"/>
    <n v="18"/>
  </r>
  <r>
    <s v="Palau"/>
    <x v="2"/>
    <n v="18.091999049999998"/>
    <n v="80.987998959999999"/>
    <n v="99.657545499999998"/>
    <n v="0"/>
    <n v="0.34245449839999997"/>
    <n v="0"/>
    <n v="99.756985029999996"/>
    <n v="0"/>
    <n v="0.2430149677"/>
    <n v="0"/>
    <n v="99.634201989999994"/>
    <n v="0"/>
    <n v="0.36579800779999999"/>
    <n v="0"/>
    <n v="16"/>
    <n v="14.652348002457208"/>
    <n v="19.012001040000001"/>
    <n v="1"/>
    <n v="99.657545499999998"/>
    <n v="81"/>
    <n v="19"/>
  </r>
  <r>
    <s v="Costa Rica"/>
    <x v="2"/>
    <n v="5094.1137699999999"/>
    <n v="80.770996089999997"/>
    <n v="99.810536929999998"/>
    <n v="0.18945947460000001"/>
    <n v="3.5944518969999999E-6"/>
    <n v="0"/>
    <n v="99.646249999999995"/>
    <n v="0.35375000000000001"/>
    <n v="0"/>
    <n v="0"/>
    <n v="99.849652860000006"/>
    <n v="0.15034714290000001"/>
    <n v="0"/>
    <n v="0"/>
    <n v="16"/>
    <n v="4114.5664339868517"/>
    <n v="19.229003910000003"/>
    <n v="6"/>
    <n v="99.810536929999998"/>
    <n v="81"/>
    <n v="19"/>
  </r>
  <r>
    <s v="Libya"/>
    <x v="2"/>
    <n v="6871.2871089999999"/>
    <n v="80.691001889999995"/>
    <n v="99.891523800000002"/>
    <n v="0"/>
    <n v="0.1084762012"/>
    <n v="0"/>
    <s v="NAN"/>
    <s v="NAN"/>
    <s v="NAN"/>
    <s v="NAN"/>
    <s v="NAN"/>
    <s v="NAN"/>
    <s v="NAN"/>
    <s v="NAN"/>
    <n v="16"/>
    <n v="5544.510410990516"/>
    <n v="19.308998110000005"/>
    <n v="7"/>
    <n v="99.891523800000002"/>
    <n v="81"/>
    <n v="19"/>
  </r>
  <r>
    <s v="Spain"/>
    <x v="1"/>
    <n v="46754.78125"/>
    <n v="80.809997559999999"/>
    <n v="99.925612610000002"/>
    <n v="0"/>
    <n v="7.4387391420000004E-2"/>
    <n v="0"/>
    <n v="100"/>
    <n v="0"/>
    <n v="0"/>
    <n v="0"/>
    <n v="99.907945209999994"/>
    <n v="0"/>
    <n v="9.2054794519999997E-2"/>
    <n v="0"/>
    <n v="16"/>
    <n v="37782.537587308339"/>
    <n v="19.190002440000001"/>
    <n v="47"/>
    <n v="99.925612610000002"/>
    <n v="81"/>
    <n v="19"/>
  </r>
  <r>
    <s v="Colombia"/>
    <x v="2"/>
    <n v="50882.882810000003"/>
    <n v="81.424995420000002"/>
    <n v="97.491657110000006"/>
    <n v="0.18615215909999999"/>
    <n v="0.95361622280000002"/>
    <n v="1.3685745119999999"/>
    <n v="86.767072819999996"/>
    <n v="0.73122820160000002"/>
    <n v="5.13386897"/>
    <n v="7.3678300050000001"/>
    <n v="99.938192799999996"/>
    <n v="6.18072E-2"/>
    <n v="0"/>
    <n v="0"/>
    <n v="16"/>
    <n v="41431.384997606474"/>
    <n v="18.575004579999998"/>
    <n v="51"/>
    <n v="97.491657110000006"/>
    <n v="81"/>
    <n v="19"/>
  </r>
  <r>
    <s v="Republic of Korea"/>
    <x v="1"/>
    <n v="51269.183590000001"/>
    <n v="81.414001459999994"/>
    <n v="99.931396649999996"/>
    <n v="0"/>
    <n v="6.8603352960000002E-2"/>
    <n v="0"/>
    <s v="NAN"/>
    <s v="NAN"/>
    <s v="NAN"/>
    <s v="NAN"/>
    <s v="NAN"/>
    <s v="NAN"/>
    <s v="NAN"/>
    <s v="NAN"/>
    <n v="16"/>
    <n v="41740.29387649268"/>
    <n v="18.585998540000006"/>
    <n v="52"/>
    <n v="99.931396649999996"/>
    <n v="81"/>
    <n v="19"/>
  </r>
  <r>
    <s v="France"/>
    <x v="1"/>
    <n v="65273.511720000002"/>
    <n v="80.974998470000003"/>
    <n v="99.999998500000004"/>
    <n v="0"/>
    <n v="1.49610841E-6"/>
    <n v="0"/>
    <n v="100"/>
    <n v="0"/>
    <n v="0"/>
    <n v="0"/>
    <n v="100"/>
    <n v="0"/>
    <n v="0"/>
    <n v="0"/>
    <n v="16"/>
    <n v="52855.225116585272"/>
    <n v="19.025001529999997"/>
    <n v="66"/>
    <n v="99.999998500000004"/>
    <n v="81"/>
    <n v="19"/>
  </r>
  <r>
    <s v="Mexico"/>
    <x v="2"/>
    <n v="128932.75"/>
    <n v="80.730995179999994"/>
    <n v="99.679568279999998"/>
    <n v="0"/>
    <n v="0.3204317169"/>
    <n v="0"/>
    <n v="98.337068930000001"/>
    <n v="0"/>
    <n v="1.6629310669999999"/>
    <n v="0"/>
    <n v="100"/>
    <n v="0"/>
    <n v="0"/>
    <n v="0"/>
    <n v="16"/>
    <n v="104088.69218794144"/>
    <n v="19.269004820000006"/>
    <n v="129"/>
    <n v="99.679568279999998"/>
    <n v="81"/>
    <n v="19"/>
  </r>
  <r>
    <s v="Greece"/>
    <x v="1"/>
    <n v="10423.05566"/>
    <n v="79.715003969999998"/>
    <n v="100.00000230000001"/>
    <n v="0"/>
    <n v="0"/>
    <n v="0"/>
    <n v="100"/>
    <n v="0"/>
    <n v="0"/>
    <n v="0"/>
    <n v="100"/>
    <n v="0"/>
    <n v="0"/>
    <n v="0"/>
    <n v="16"/>
    <n v="8308.7392331643096"/>
    <n v="20.284996030000002"/>
    <n v="11"/>
    <n v="100"/>
    <n v="80"/>
    <n v="20"/>
  </r>
  <r>
    <s v="Falkland Islands (Malvinas)"/>
    <x v="0"/>
    <n v="3.4830000399999999"/>
    <n v="78.507995609999995"/>
    <n v="95.308927400000002"/>
    <n v="0"/>
    <n v="4.6910725959999997"/>
    <n v="0"/>
    <n v="78.172942820000003"/>
    <n v="0"/>
    <n v="21.827057180000001"/>
    <n v="0"/>
    <n v="100"/>
    <n v="0"/>
    <n v="0"/>
    <n v="0"/>
    <n v="16"/>
    <n v="2.7344335184994977"/>
    <n v="21.492004390000005"/>
    <n v="1"/>
    <n v="95.308927400000002"/>
    <n v="79"/>
    <n v="21"/>
  </r>
  <r>
    <s v="Belarus"/>
    <x v="2"/>
    <n v="9449.3212889999995"/>
    <n v="79.483001709999996"/>
    <n v="96.534726079999999"/>
    <n v="3.3721195499999999"/>
    <n v="9.3154368370000004E-2"/>
    <n v="0"/>
    <n v="98.564122310000002"/>
    <n v="0.9955971951"/>
    <n v="0.4402804931"/>
    <n v="0"/>
    <n v="96.010873619999998"/>
    <n v="3.9855726439999999"/>
    <n v="3.5537319770000001E-3"/>
    <n v="0"/>
    <n v="16"/>
    <n v="7510.604201719264"/>
    <n v="20.516998290000004"/>
    <n v="10"/>
    <n v="96.534726079999999"/>
    <n v="79"/>
    <n v="21"/>
  </r>
  <r>
    <s v="Marshall Islands"/>
    <x v="2"/>
    <n v="59.194000240000001"/>
    <n v="77.793991090000006"/>
    <n v="88.572046979999996"/>
    <n v="11.387979"/>
    <n v="3.9974025849999997E-2"/>
    <n v="0"/>
    <n v="94.429720000000003"/>
    <n v="5.3902799999999997"/>
    <n v="0.18"/>
    <n v="0"/>
    <n v="86.9"/>
    <n v="13.1"/>
    <n v="0"/>
    <n v="0"/>
    <n v="16"/>
    <n v="46.04937527252018"/>
    <n v="22.206008909999994"/>
    <n v="1"/>
    <n v="88.572046979999996"/>
    <n v="78"/>
    <n v="22"/>
  </r>
  <r>
    <s v="Brunei Darussalam"/>
    <x v="1"/>
    <n v="437.48300169999999"/>
    <n v="78.250007629999999"/>
    <n v="99.900036799999995"/>
    <n v="0"/>
    <n v="9.9963200360000004E-2"/>
    <n v="0"/>
    <s v="NAN"/>
    <s v="NAN"/>
    <s v="NAN"/>
    <s v="NAN"/>
    <n v="99.65"/>
    <n v="0"/>
    <n v="0.35"/>
    <n v="0"/>
    <n v="16"/>
    <n v="342.330482210203"/>
    <n v="21.749992370000001"/>
    <n v="1"/>
    <n v="99.900036799999995"/>
    <n v="78"/>
    <n v="22"/>
  </r>
  <r>
    <s v="Djibouti"/>
    <x v="3"/>
    <n v="988.00201419999996"/>
    <n v="78.061996460000003"/>
    <n v="76.049920209999996"/>
    <n v="14.7574817"/>
    <n v="7.0158760510000002"/>
    <n v="2.1767220379999999"/>
    <n v="47.280732929999999"/>
    <n v="12.061610140000001"/>
    <n v="30.735504679999998"/>
    <n v="9.9221522489999998"/>
    <n v="84.135014929999997"/>
    <n v="15.51511107"/>
    <n v="0.34987400289999998"/>
    <n v="0"/>
    <n v="16"/>
    <n v="771.25409734953269"/>
    <n v="21.938003539999997"/>
    <n v="1"/>
    <n v="76.049920209999996"/>
    <n v="78"/>
    <n v="22"/>
  </r>
  <r>
    <s v="Peru"/>
    <x v="2"/>
    <n v="32971.847659999999"/>
    <n v="78.297004700000002"/>
    <n v="93.139366210000006"/>
    <n v="0.84955935110000003"/>
    <n v="4.1504683489999996"/>
    <n v="1.8606060870000001"/>
    <n v="80.79943849"/>
    <n v="1.5969437710000001"/>
    <n v="9.6126911629999992"/>
    <n v="7.9909265779999998"/>
    <n v="96.559844080000005"/>
    <n v="0.64239323559999995"/>
    <n v="2.6364086929999999"/>
    <n v="0.1613539953"/>
    <n v="16"/>
    <n v="25815.96911202704"/>
    <n v="21.702995299999998"/>
    <n v="33"/>
    <n v="93.139366210000006"/>
    <n v="78"/>
    <n v="22"/>
  </r>
  <r>
    <s v="West Bank and Gaza Strip"/>
    <x v="3"/>
    <n v="5101.4160160000001"/>
    <n v="76.718994140000007"/>
    <n v="97.880397220000006"/>
    <n v="1.029979486"/>
    <n v="1.089623295"/>
    <s v="NAN"/>
    <n v="98.715556419999999"/>
    <n v="0.31740062730000002"/>
    <n v="0.96704295760000003"/>
    <s v="NAN"/>
    <n v="97.626964430000001"/>
    <n v="1.246217358"/>
    <n v="1.126818208"/>
    <s v="NAN"/>
    <n v="16"/>
    <n v="3913.7550543720617"/>
    <n v="23.281005859999993"/>
    <n v="6"/>
    <n v="97.880397220000006"/>
    <n v="77"/>
    <n v="23"/>
  </r>
  <r>
    <s v="Cuba"/>
    <x v="2"/>
    <n v="11326.61621"/>
    <n v="77.194000239999994"/>
    <n v="97.002696159999999"/>
    <n v="1.471384542"/>
    <n v="1.252811506"/>
    <n v="0.27310779629999998"/>
    <n v="94.386651139999998"/>
    <n v="2.591752445"/>
    <n v="1.9059729350000001"/>
    <n v="1.115623477"/>
    <n v="97.775576639999997"/>
    <n v="1.1403859000000001"/>
    <n v="1.059840374"/>
    <n v="2.4197084109999999E-2"/>
    <n v="16"/>
    <n v="8743.4681443312784"/>
    <n v="22.805999760000006"/>
    <n v="12"/>
    <n v="97.002696159999999"/>
    <n v="77"/>
    <n v="23"/>
  </r>
  <r>
    <s v="Malaysia"/>
    <x v="2"/>
    <n v="32365.998049999998"/>
    <n v="77.159996030000002"/>
    <n v="97.09990707"/>
    <n v="0.35453968650000001"/>
    <n v="2.5455532409999999"/>
    <s v="NAN"/>
    <n v="90.197448120000004"/>
    <n v="0.54445139710000001"/>
    <n v="9.2581004779999994"/>
    <s v="NAN"/>
    <n v="99.14309591"/>
    <n v="0.29832426049999999"/>
    <n v="0.46857983190000002"/>
    <n v="0.09"/>
    <n v="16"/>
    <n v="24973.602810449876"/>
    <n v="22.840003969999998"/>
    <n v="33"/>
    <n v="97.09990707"/>
    <n v="77"/>
    <n v="23"/>
  </r>
  <r>
    <s v="Germany"/>
    <x v="1"/>
    <n v="83783.945309999996"/>
    <n v="77.453002929999997"/>
    <n v="100.00000230000001"/>
    <n v="0"/>
    <n v="0"/>
    <n v="0"/>
    <n v="100"/>
    <n v="0"/>
    <n v="0"/>
    <n v="0"/>
    <n v="100"/>
    <n v="0"/>
    <n v="0"/>
    <n v="0"/>
    <n v="16"/>
    <n v="64893.181615823887"/>
    <n v="22.546997070000003"/>
    <n v="84"/>
    <n v="100"/>
    <n v="77"/>
    <n v="23"/>
  </r>
  <r>
    <s v="Bulgaria"/>
    <x v="2"/>
    <n v="6948.4448240000002"/>
    <n v="75.685997009999994"/>
    <n v="99.011416940000004"/>
    <n v="0"/>
    <n v="0.98858306070000002"/>
    <n v="0"/>
    <n v="97.401287969999998"/>
    <n v="0"/>
    <n v="2.5987120309999998"/>
    <n v="0"/>
    <n v="99.528670399999996"/>
    <n v="0"/>
    <n v="0.47132960070000002"/>
    <n v="0"/>
    <n v="16"/>
    <n v="5258.9997417341392"/>
    <n v="24.314002990000006"/>
    <n v="7"/>
    <n v="99.011416940000004"/>
    <n v="76"/>
    <n v="24"/>
  </r>
  <r>
    <s v="Iran (Islamic Republic of)"/>
    <x v="3"/>
    <n v="83992.953129999994"/>
    <n v="75.874000550000005"/>
    <n v="97.482636330000005"/>
    <n v="1.938311229"/>
    <n v="0.51379736310000002"/>
    <n v="6.5255081849999994E-2"/>
    <n v="93.828735379999998"/>
    <n v="4.2979487650000001"/>
    <n v="1.602839669"/>
    <n v="0.27047619049999999"/>
    <n v="98.644486720000003"/>
    <n v="1.1880066709999999"/>
    <n v="0.1675066077"/>
    <n v="0"/>
    <n v="16"/>
    <n v="63728.813719817445"/>
    <n v="24.125999449999995"/>
    <n v="84"/>
    <n v="97.482636330000005"/>
    <n v="76"/>
    <n v="24"/>
  </r>
  <r>
    <s v="Turkey"/>
    <x v="2"/>
    <n v="84339.070309999996"/>
    <n v="76.105003359999998"/>
    <n v="97.014269159999998"/>
    <n v="2.0230780749999999"/>
    <n v="0.73767495449999998"/>
    <n v="0.2249778093"/>
    <n v="96.025169770000005"/>
    <n v="2.684574639"/>
    <n v="0.78825559109999999"/>
    <n v="0.502"/>
    <n v="97.324817830000001"/>
    <n v="1.8153852029999999"/>
    <n v="0.72179696339999999"/>
    <n v="0.13800000000000001"/>
    <n v="16"/>
    <n v="64186.252293218262"/>
    <n v="23.894996640000002"/>
    <n v="85"/>
    <n v="97.014269159999998"/>
    <n v="76"/>
    <n v="24"/>
  </r>
  <r>
    <s v="Cook Islands"/>
    <x v="0"/>
    <n v="17.56399918"/>
    <n v="75.495002749999998"/>
    <n v="99.971610220000002"/>
    <n v="0"/>
    <n v="2.8389782700000001E-2"/>
    <n v="0"/>
    <s v="NAN"/>
    <s v="NAN"/>
    <s v="NAN"/>
    <s v="NAN"/>
    <s v="NAN"/>
    <s v="NAN"/>
    <s v="NAN"/>
    <s v="NAN"/>
    <n v="16"/>
    <n v="13.259941663950977"/>
    <n v="24.504997250000002"/>
    <n v="1"/>
    <n v="99.971610220000002"/>
    <n v="75"/>
    <n v="25"/>
  </r>
  <r>
    <s v="Russian Federation"/>
    <x v="2"/>
    <n v="145934.45310000001"/>
    <n v="74.754005430000007"/>
    <n v="96.992548069999998"/>
    <n v="0.62199637659999996"/>
    <n v="2.3854555500000001"/>
    <s v="NAN"/>
    <n v="91.544101960000006"/>
    <n v="1.5831635129999999"/>
    <n v="6.8727345309999999"/>
    <s v="NAN"/>
    <n v="98.832599610000003"/>
    <n v="0.29738996870000001"/>
    <n v="0.67001042359999996"/>
    <n v="0.2"/>
    <n v="16"/>
    <n v="109091.84899461482"/>
    <n v="25.245994569999993"/>
    <n v="146"/>
    <n v="96.992548069999998"/>
    <n v="75"/>
    <n v="25"/>
  </r>
  <r>
    <s v="Sao Tome and Principe"/>
    <x v="3"/>
    <n v="219.16099550000001"/>
    <n v="74.354003910000003"/>
    <n v="78.22645516"/>
    <n v="20.237982980000002"/>
    <n v="0.44351992839999999"/>
    <n v="1.0920419299999999"/>
    <n v="74.300614490000001"/>
    <n v="19.711842579999999"/>
    <n v="1.7294057039999999"/>
    <n v="4.2581372279999998"/>
    <n v="79.580542899999998"/>
    <n v="20.419457099999999"/>
    <n v="0"/>
    <n v="0"/>
    <n v="16"/>
    <n v="162.95497516326492"/>
    <n v="25.645996089999997"/>
    <n v="1"/>
    <n v="78.22645516"/>
    <n v="74"/>
    <n v="26"/>
  </r>
  <r>
    <s v="Switzerland"/>
    <x v="1"/>
    <n v="8654.6181639999995"/>
    <n v="73.915000919999997"/>
    <n v="100.0000028"/>
    <n v="0"/>
    <n v="0"/>
    <n v="0"/>
    <n v="100"/>
    <n v="0"/>
    <n v="0"/>
    <n v="0"/>
    <n v="100"/>
    <n v="0"/>
    <n v="0"/>
    <n v="0"/>
    <n v="16"/>
    <n v="6397.0610955430866"/>
    <n v="26.084999080000003"/>
    <n v="9"/>
    <n v="100"/>
    <n v="74"/>
    <n v="26"/>
  </r>
  <r>
    <s v="Czech Republic"/>
    <x v="1"/>
    <n v="10708.98242"/>
    <n v="74.061004639999993"/>
    <n v="99.880591670000001"/>
    <n v="0"/>
    <n v="0.11940833250000001"/>
    <n v="0"/>
    <n v="99.817599299999998"/>
    <n v="0"/>
    <n v="0.18240069649999999"/>
    <n v="0"/>
    <n v="99.902650929999993"/>
    <n v="0"/>
    <n v="9.7349067900000003E-2"/>
    <n v="0"/>
    <n v="16"/>
    <n v="7931.1799669729835"/>
    <n v="25.938995360000007"/>
    <n v="11"/>
    <n v="99.880591670000001"/>
    <n v="74"/>
    <n v="26"/>
  </r>
  <r>
    <s v="Algeria"/>
    <x v="3"/>
    <n v="43851.042970000002"/>
    <n v="73.733001709999996"/>
    <n v="94.43732996"/>
    <n v="4.9858808420000003"/>
    <n v="0.53183666380000005"/>
    <n v="4.495253272E-2"/>
    <n v="90.037537909999998"/>
    <n v="8.79672214"/>
    <n v="0.99460302810000001"/>
    <n v="0.17113692580000001"/>
    <n v="96.004735859999997"/>
    <n v="3.628288591"/>
    <n v="0.36697554780000002"/>
    <n v="0"/>
    <n v="16"/>
    <n v="32332.690262922937"/>
    <n v="26.266998290000004"/>
    <n v="44"/>
    <n v="94.43732996"/>
    <n v="74"/>
    <n v="26"/>
  </r>
  <r>
    <s v="El Salvador"/>
    <x v="3"/>
    <n v="6486.201172"/>
    <n v="73.444000239999994"/>
    <n v="97.946575409999994"/>
    <n v="0.20726323190000001"/>
    <n v="0.31517399689999998"/>
    <n v="1.530987366"/>
    <n v="93.454395079999998"/>
    <n v="0.78047620490000003"/>
    <n v="0"/>
    <n v="5.7651287120000001"/>
    <n v="99.570870009999993"/>
    <n v="0"/>
    <n v="0.42912999439999999"/>
    <n v="0"/>
    <n v="16"/>
    <n v="4763.7256043305624"/>
    <n v="26.555999760000006"/>
    <n v="7"/>
    <n v="97.946575409999994"/>
    <n v="73"/>
    <n v="27"/>
  </r>
  <r>
    <s v="New Caledonia"/>
    <x v="1"/>
    <n v="285.4909973"/>
    <n v="71.517997739999998"/>
    <n v="99.305320570000006"/>
    <n v="0"/>
    <n v="0.69467942780000003"/>
    <n v="0"/>
    <s v="NAN"/>
    <s v="NAN"/>
    <s v="NAN"/>
    <s v="NAN"/>
    <s v="NAN"/>
    <s v="NAN"/>
    <s v="NAN"/>
    <s v="NAN"/>
    <n v="16"/>
    <n v="204.17744499691744"/>
    <n v="28.482002260000002"/>
    <n v="1"/>
    <n v="99.305320570000006"/>
    <n v="72"/>
    <n v="28"/>
  </r>
  <r>
    <s v="Hungary"/>
    <x v="1"/>
    <n v="9660.3496090000008"/>
    <n v="71.942001340000004"/>
    <n v="99.999997469999997"/>
    <n v="0"/>
    <n v="2.5272441919999999E-6"/>
    <n v="0"/>
    <n v="100"/>
    <n v="0"/>
    <n v="0"/>
    <n v="0"/>
    <n v="100"/>
    <n v="0"/>
    <n v="0"/>
    <n v="0"/>
    <n v="16"/>
    <n v="6949.8488451554658"/>
    <n v="28.057998659999996"/>
    <n v="10"/>
    <n v="99.999997469999997"/>
    <n v="72"/>
    <n v="28"/>
  </r>
  <r>
    <s v="Botswana"/>
    <x v="2"/>
    <n v="2351.625"/>
    <n v="70.876998900000004"/>
    <n v="92.213563070000006"/>
    <n v="4.7230389700000002"/>
    <n v="1.7325264760000001"/>
    <n v="1.330871481"/>
    <n v="79.04372386"/>
    <n v="15.154947180000001"/>
    <n v="1.5961191560000001"/>
    <n v="4.2052098100000004"/>
    <n v="97.624980579999999"/>
    <n v="0.43662003220000001"/>
    <n v="1.788579159"/>
    <n v="0.14982022810000001"/>
    <n v="16"/>
    <n v="1666.7612253821251"/>
    <n v="29.123001099999996"/>
    <n v="3"/>
    <n v="92.213563070000006"/>
    <n v="71"/>
    <n v="29"/>
  </r>
  <r>
    <s v="Iraq"/>
    <x v="2"/>
    <n v="40222.503909999999"/>
    <n v="70.892997739999998"/>
    <n v="98.359903250000002"/>
    <n v="0.89216034950000001"/>
    <n v="2.427900808E-6"/>
    <n v="0.74793397129999994"/>
    <n v="94.831146779999997"/>
    <n v="2.5992513389999998"/>
    <n v="0"/>
    <n v="2.5696018770000002"/>
    <n v="99.808731030000004"/>
    <n v="0.19126897000000001"/>
    <n v="0"/>
    <n v="0"/>
    <n v="16"/>
    <n v="28514.93878788771"/>
    <n v="29.107002260000002"/>
    <n v="41"/>
    <n v="98.359903250000002"/>
    <n v="71"/>
    <n v="29"/>
  </r>
  <r>
    <s v="Italy"/>
    <x v="1"/>
    <n v="60461.828130000002"/>
    <n v="71.038993840000003"/>
    <n v="99.91703407"/>
    <n v="0"/>
    <n v="8.2965925910000002E-2"/>
    <n v="0"/>
    <s v="NAN"/>
    <s v="NAN"/>
    <s v="NAN"/>
    <s v="NAN"/>
    <s v="NAN"/>
    <s v="NAN"/>
    <s v="NAN"/>
    <s v="NAN"/>
    <n v="16"/>
    <n v="42951.474360822096"/>
    <n v="28.961006159999997"/>
    <n v="61"/>
    <n v="99.91703407"/>
    <n v="71"/>
    <n v="29"/>
  </r>
  <r>
    <s v="Bolivia (Plurinational State of)"/>
    <x v="3"/>
    <n v="11673.0293"/>
    <n v="70.123001099999996"/>
    <n v="93.390071629999994"/>
    <n v="0.13659052960000001"/>
    <n v="1.575010843"/>
    <n v="4.8983269969999998"/>
    <n v="79.936642829999997"/>
    <n v="0.24473640820000001"/>
    <n v="3.9541336930000002"/>
    <n v="15.864487069999999"/>
    <n v="99.122118319999998"/>
    <n v="9.0513289469999994E-2"/>
    <n v="0.56134538079999996"/>
    <n v="0.22602301120000001"/>
    <n v="16"/>
    <n v="8185.4784644423216"/>
    <n v="29.876998900000004"/>
    <n v="12"/>
    <n v="93.390071629999994"/>
    <n v="70"/>
    <n v="30"/>
  </r>
  <r>
    <s v="Tunisia"/>
    <x v="3"/>
    <n v="11818.61816"/>
    <n v="69.568000789999999"/>
    <n v="97.54330899"/>
    <n v="1.63135067"/>
    <n v="0.82534033780000005"/>
    <n v="0"/>
    <n v="93.936231930000005"/>
    <n v="3.3516873569999999"/>
    <n v="2.71208071"/>
    <n v="0"/>
    <n v="99.121197629999998"/>
    <n v="0.87880236840000003"/>
    <n v="0"/>
    <n v="0"/>
    <n v="16"/>
    <n v="8221.9763749158828"/>
    <n v="30.431999210000001"/>
    <n v="12"/>
    <n v="97.54330899"/>
    <n v="70"/>
    <n v="30"/>
  </r>
  <r>
    <s v="Ukraine"/>
    <x v="3"/>
    <n v="43733.757810000003"/>
    <n v="69.608001709999996"/>
    <n v="93.928281949999999"/>
    <n v="5.671978717"/>
    <n v="7.5904501289999995E-2"/>
    <n v="0.32383483600000001"/>
    <n v="100"/>
    <n v="0"/>
    <n v="0"/>
    <n v="0"/>
    <n v="91.277270110000003"/>
    <n v="8.1484577900000001"/>
    <n v="0.1090456533"/>
    <n v="0.46522644460000001"/>
    <n v="16"/>
    <n v="30442.19488423206"/>
    <n v="30.391998290000004"/>
    <n v="44"/>
    <n v="93.928281949999999"/>
    <n v="70"/>
    <n v="30"/>
  </r>
  <r>
    <s v="Estonia"/>
    <x v="1"/>
    <n v="1326.5389399999999"/>
    <n v="69.229003910000003"/>
    <n v="99.59078178"/>
    <n v="0"/>
    <n v="0.40921822320000001"/>
    <n v="0"/>
    <s v="NAN"/>
    <s v="NAN"/>
    <s v="NAN"/>
    <s v="NAN"/>
    <n v="99.98545421"/>
    <n v="0"/>
    <n v="1.454579307E-2"/>
    <n v="0"/>
    <n v="16"/>
    <n v="918.34969464027245"/>
    <n v="30.770996089999997"/>
    <n v="2"/>
    <n v="99.59078178"/>
    <n v="69"/>
    <n v="31"/>
  </r>
  <r>
    <s v="Mongolia"/>
    <x v="3"/>
    <n v="3278.2919919999999"/>
    <n v="68.656997680000003"/>
    <n v="85.495625270000005"/>
    <n v="2.1464289299999999"/>
    <n v="6.6333667140000001"/>
    <n v="5.7245790809999999"/>
    <n v="61.070751139999999"/>
    <n v="3.0841705720000001"/>
    <n v="17.580781160000001"/>
    <n v="18.264297129999999"/>
    <n v="96.645965579999995"/>
    <n v="1.718335079"/>
    <n v="1.635699341"/>
    <n v="0"/>
    <n v="16"/>
    <n v="2250.7768568910656"/>
    <n v="31.343002319999997"/>
    <n v="4"/>
    <n v="85.495625270000005"/>
    <n v="69"/>
    <n v="31"/>
  </r>
  <r>
    <s v="Latvia"/>
    <x v="1"/>
    <n v="1886.2020259999999"/>
    <n v="68.315002440000001"/>
    <n v="98.782601150000005"/>
    <n v="0.68230074240000005"/>
    <n v="0.53509810369999999"/>
    <n v="0"/>
    <n v="98.579223139999996"/>
    <n v="0"/>
    <n v="1.4207768599999999"/>
    <n v="0"/>
    <n v="98.876924689999996"/>
    <n v="0.99875681510000003"/>
    <n v="0.1243184908"/>
    <n v="0"/>
    <n v="16"/>
    <n v="1288.5589600852295"/>
    <n v="31.684997559999999"/>
    <n v="2"/>
    <n v="98.782601150000005"/>
    <n v="68"/>
    <n v="32"/>
  </r>
  <r>
    <s v="Lithuania"/>
    <x v="1"/>
    <n v="2722.2910160000001"/>
    <n v="68.045997619999994"/>
    <n v="98.013347240000002"/>
    <n v="0"/>
    <n v="1.9866527599999999"/>
    <n v="0"/>
    <n v="93.78278023"/>
    <n v="0"/>
    <n v="6.2172197709999999"/>
    <n v="0"/>
    <n v="100"/>
    <n v="0"/>
    <n v="0"/>
    <n v="0"/>
    <n v="16"/>
    <n v="1852.4100799568339"/>
    <n v="31.954002380000006"/>
    <n v="3"/>
    <n v="98.013347240000002"/>
    <n v="68"/>
    <n v="32"/>
  </r>
  <r>
    <s v="Panama"/>
    <x v="1"/>
    <n v="4314.7680659999996"/>
    <n v="68.414001459999994"/>
    <n v="94.372544360000006"/>
    <n v="1.8734805919999999"/>
    <n v="2.2623042469999999"/>
    <n v="1.491670799"/>
    <n v="86.323083260000004"/>
    <n v="1.791982583"/>
    <n v="7.1623643420000001"/>
    <n v="4.7225698109999996"/>
    <n v="98.088892670000007"/>
    <n v="1.9111073329999999"/>
    <n v="0"/>
    <n v="0"/>
    <n v="16"/>
    <n v="2951.9054876688533"/>
    <n v="31.585998540000006"/>
    <n v="5"/>
    <n v="94.372544360000006"/>
    <n v="68"/>
    <n v="32"/>
  </r>
  <r>
    <s v="Congo"/>
    <x v="3"/>
    <n v="5518.091797"/>
    <n v="67.829002380000006"/>
    <n v="73.78451158"/>
    <n v="10.46117203"/>
    <n v="9.5591807220000007"/>
    <n v="6.1951356640000004"/>
    <n v="45.724413179999999"/>
    <n v="10.6323901"/>
    <n v="24.405169730000001"/>
    <n v="19.238026990000002"/>
    <n v="87.093296159999994"/>
    <n v="10.37996439"/>
    <n v="2.5177899969999999"/>
    <n v="8.9494520549999994E-3"/>
    <n v="16"/>
    <n v="3742.8666163177149"/>
    <n v="32.170997619999994"/>
    <n v="6"/>
    <n v="73.78451158"/>
    <n v="68"/>
    <n v="32"/>
  </r>
  <r>
    <s v="Cabo Verde"/>
    <x v="3"/>
    <n v="555.98797609999997"/>
    <n v="66.652000430000001"/>
    <n v="88.769606420000002"/>
    <n v="7.9041508460000003"/>
    <n v="3.2091477159999999"/>
    <n v="0.1170950144"/>
    <n v="80.114525439999994"/>
    <n v="9.9111270220000005"/>
    <n v="9.6232170030000006"/>
    <n v="0.35113053970000002"/>
    <n v="93.1"/>
    <n v="6.9"/>
    <n v="0"/>
    <n v="0"/>
    <n v="16"/>
    <n v="370.57710822092031"/>
    <n v="33.347999569999999"/>
    <n v="1"/>
    <n v="88.769606420000002"/>
    <n v="67"/>
    <n v="33"/>
  </r>
  <r>
    <s v="Montenegro"/>
    <x v="2"/>
    <n v="628.06201169999997"/>
    <n v="67.488006589999998"/>
    <n v="98.856916519999999"/>
    <n v="0.54547882039999995"/>
    <n v="0.59231201099999997"/>
    <n v="5.2926508940000002E-3"/>
    <n v="98.161887539999995"/>
    <n v="0"/>
    <n v="1.821833386"/>
    <n v="1.6279069770000001E-2"/>
    <n v="99.191739589999997"/>
    <n v="0.80826041280000005"/>
    <n v="0"/>
    <n v="0"/>
    <n v="16"/>
    <n v="423.8665318453825"/>
    <n v="32.511993410000002"/>
    <n v="1"/>
    <n v="98.856916519999999"/>
    <n v="67"/>
    <n v="33"/>
  </r>
  <r>
    <s v="Cyprus"/>
    <x v="1"/>
    <n v="1207.360962"/>
    <n v="66.820999150000006"/>
    <n v="99.765173180000005"/>
    <n v="0"/>
    <n v="0.2348268167"/>
    <n v="0"/>
    <n v="99.845761719999999"/>
    <n v="0"/>
    <n v="0.1542382836"/>
    <n v="0"/>
    <n v="99.725158120000003"/>
    <n v="0"/>
    <n v="0.27484188250000002"/>
    <n v="0"/>
    <n v="16"/>
    <n v="806.77065815545188"/>
    <n v="33.179000849999994"/>
    <n v="2"/>
    <n v="99.765173180000005"/>
    <n v="67"/>
    <n v="33"/>
  </r>
  <r>
    <s v="Angola"/>
    <x v="3"/>
    <n v="32866.269529999998"/>
    <n v="66.824996949999999"/>
    <n v="57.167737619999997"/>
    <n v="9.2873499190000004"/>
    <n v="19.450825340000002"/>
    <n v="14.094087119999999"/>
    <n v="27.808226609999998"/>
    <n v="8.7404883889999994"/>
    <n v="22.933152580000002"/>
    <n v="40.518132420000001"/>
    <n v="71.743148619999999"/>
    <n v="9.5588374890000001"/>
    <n v="17.722034730000001"/>
    <n v="0.97597916289999997"/>
    <n v="16"/>
    <n v="21962.883611001278"/>
    <n v="33.175003050000001"/>
    <n v="33"/>
    <n v="57.167737619999997"/>
    <n v="67"/>
    <n v="33"/>
  </r>
  <r>
    <s v="South Africa"/>
    <x v="2"/>
    <n v="59308.691409999999"/>
    <n v="67.354003910000003"/>
    <n v="93.885057439999997"/>
    <n v="2.7727361859999999"/>
    <n v="1.410816657"/>
    <n v="1.9313897120000001"/>
    <n v="83.329481180000002"/>
    <n v="6.9773593590000003"/>
    <n v="3.7769992870000002"/>
    <n v="5.9161601729999997"/>
    <n v="99.001264840000005"/>
    <n v="0.73478540299999995"/>
    <n v="0.26394975469999998"/>
    <n v="0"/>
    <n v="16"/>
    <n v="39946.778331261237"/>
    <n v="32.645996089999997"/>
    <n v="60"/>
    <n v="93.885057439999997"/>
    <n v="67"/>
    <n v="33"/>
  </r>
  <r>
    <s v="Suriname"/>
    <x v="2"/>
    <n v="586.63397220000002"/>
    <n v="66.149002080000002"/>
    <n v="97.989631669999994"/>
    <n v="1.0672469410000001"/>
    <n v="0.37933650730000001"/>
    <n v="0.56378488400000004"/>
    <n v="96.574412629999998"/>
    <n v="1.6002958599999999"/>
    <n v="0.1598017947"/>
    <n v="1.6654897200000001"/>
    <n v="98.713853869999994"/>
    <n v="0.79446523710000005"/>
    <n v="0.49168089250000002"/>
    <n v="0"/>
    <n v="16"/>
    <n v="388.05251847256466"/>
    <n v="33.850997919999998"/>
    <n v="1"/>
    <n v="97.989631669999994"/>
    <n v="66"/>
    <n v="34"/>
  </r>
  <r>
    <s v="Portugal"/>
    <x v="1"/>
    <n v="10196.70703"/>
    <n v="66.309997559999999"/>
    <n v="99.911993670000001"/>
    <n v="0"/>
    <n v="8.8006333689999994E-2"/>
    <n v="0"/>
    <n v="99.738776090000002"/>
    <n v="0"/>
    <n v="0.26122391220000002"/>
    <n v="0"/>
    <n v="100"/>
    <n v="0"/>
    <n v="0"/>
    <n v="0"/>
    <n v="16"/>
    <n v="6761.4361827933481"/>
    <n v="33.690002440000001"/>
    <n v="11"/>
    <n v="99.911993670000001"/>
    <n v="66"/>
    <n v="34"/>
  </r>
  <r>
    <s v="Tuvalu"/>
    <x v="2"/>
    <n v="11.791999819999999"/>
    <n v="64.013999940000005"/>
    <n v="100"/>
    <n v="0"/>
    <n v="0"/>
    <n v="0"/>
    <n v="100"/>
    <n v="0"/>
    <n v="0"/>
    <n v="0"/>
    <n v="100"/>
    <n v="0"/>
    <n v="0"/>
    <n v="0"/>
    <n v="16"/>
    <n v="7.5485307576996004"/>
    <n v="35.986000059999995"/>
    <n v="1"/>
    <n v="100"/>
    <n v="64"/>
    <n v="36"/>
  </r>
  <r>
    <s v="Ireland"/>
    <x v="1"/>
    <n v="4937.7958980000003"/>
    <n v="63.652999880000003"/>
    <n v="97.399706510000001"/>
    <n v="0"/>
    <n v="2.6002934849999999"/>
    <n v="0"/>
    <n v="98.134920750000006"/>
    <n v="0"/>
    <n v="1.8650792469999999"/>
    <n v="0"/>
    <n v="96.979886030000003"/>
    <n v="0"/>
    <n v="3.0201139659999998"/>
    <n v="0"/>
    <n v="16"/>
    <n v="3143.0552170285855"/>
    <n v="36.347000119999997"/>
    <n v="5"/>
    <n v="97.399706510000001"/>
    <n v="64"/>
    <n v="36"/>
  </r>
  <r>
    <s v="Ecuador"/>
    <x v="2"/>
    <n v="17643.060549999998"/>
    <n v="64.166000370000006"/>
    <n v="95.359763560000005"/>
    <n v="3.451463449E-3"/>
    <n v="2.6044853890000002"/>
    <n v="2.032299589"/>
    <n v="87.050744949999995"/>
    <n v="9.6318110219999996E-3"/>
    <n v="7.2681954900000001"/>
    <n v="5.6714277470000001"/>
    <n v="100"/>
    <n v="0"/>
    <n v="0"/>
    <n v="0"/>
    <n v="16"/>
    <n v="11320.846297792325"/>
    <n v="35.833999629999994"/>
    <n v="18"/>
    <n v="95.359763560000005"/>
    <n v="64"/>
    <n v="36"/>
  </r>
  <r>
    <s v="Morocco"/>
    <x v="3"/>
    <n v="36910.558590000001"/>
    <n v="63.531997680000003"/>
    <n v="90.402344679999999"/>
    <n v="5.2635496010000002"/>
    <n v="2.8776725000000001"/>
    <n v="1.456433219"/>
    <n v="77.346128960000001"/>
    <n v="12.03707816"/>
    <n v="6.6230633729999999"/>
    <n v="3.9937295019999999"/>
    <n v="97.896746010000001"/>
    <n v="1.375477117"/>
    <n v="0.72777687589999995"/>
    <n v="0"/>
    <n v="16"/>
    <n v="23450.015227073844"/>
    <n v="36.468002319999997"/>
    <n v="37"/>
    <n v="90.402344679999999"/>
    <n v="64"/>
    <n v="36"/>
  </r>
  <r>
    <s v="Gambia"/>
    <x v="4"/>
    <n v="2416.6640630000002"/>
    <n v="62.581996920000002"/>
    <n v="80.940407140000005"/>
    <n v="8.5973913910000004"/>
    <n v="10.352852070000001"/>
    <n v="0.10934939270000001"/>
    <n v="69.18852321"/>
    <n v="16.497832389999999"/>
    <n v="14.24376547"/>
    <n v="6.9878936799999999E-2"/>
    <n v="87.966904270000001"/>
    <n v="3.8736895219999998"/>
    <n v="8.0264572780000005"/>
    <n v="0.13294892529999999"/>
    <n v="16"/>
    <n v="1512.3966294734071"/>
    <n v="37.418003079999998"/>
    <n v="3"/>
    <n v="80.940407140000005"/>
    <n v="63"/>
    <n v="37"/>
  </r>
  <r>
    <s v="Armenia"/>
    <x v="2"/>
    <n v="2963.2338869999999"/>
    <n v="63.312999730000001"/>
    <n v="99.971180689999997"/>
    <n v="0"/>
    <n v="2.8819308009999999E-2"/>
    <n v="0"/>
    <n v="100"/>
    <n v="0"/>
    <n v="0"/>
    <n v="0"/>
    <n v="99.954481220000005"/>
    <n v="0"/>
    <n v="4.5518783639999998E-2"/>
    <n v="0"/>
    <n v="16"/>
    <n v="1876.1122628755784"/>
    <n v="36.687000269999999"/>
    <n v="3"/>
    <n v="99.971180689999997"/>
    <n v="63"/>
    <n v="37"/>
  </r>
  <r>
    <s v="French Polynesia"/>
    <x v="1"/>
    <n v="280.90399170000001"/>
    <n v="61.975002289999999"/>
    <n v="100"/>
    <n v="0"/>
    <n v="0"/>
    <n v="0"/>
    <s v="NAN"/>
    <s v="NAN"/>
    <s v="NAN"/>
    <s v="NAN"/>
    <s v="NAN"/>
    <s v="NAN"/>
    <s v="NAN"/>
    <s v="NAN"/>
    <n v="16"/>
    <n v="174.09025528877643"/>
    <n v="38.024997710000001"/>
    <n v="1"/>
    <n v="100"/>
    <n v="62"/>
    <n v="38"/>
  </r>
  <r>
    <s v="Albania"/>
    <x v="2"/>
    <n v="2877.8000489999999"/>
    <n v="62.111999509999997"/>
    <n v="95.068038830000006"/>
    <n v="1.8846560919999999"/>
    <n v="3.0473050810000002"/>
    <n v="0"/>
    <n v="94.091358060000005"/>
    <n v="2.3052649550000002"/>
    <n v="3.6033769859999998"/>
    <n v="0"/>
    <n v="95.663809119999996"/>
    <n v="1.62808683"/>
    <n v="2.7081040540000001"/>
    <n v="0"/>
    <n v="16"/>
    <n v="1787.4591523336596"/>
    <n v="37.888000490000003"/>
    <n v="3"/>
    <n v="95.068038830000006"/>
    <n v="62"/>
    <n v="38"/>
  </r>
  <r>
    <s v="Paraguay"/>
    <x v="2"/>
    <n v="7132.5297849999997"/>
    <n v="62.182994839999999"/>
    <n v="99.593466329999998"/>
    <n v="0.40653024389999998"/>
    <n v="3.4229177000000001E-6"/>
    <n v="0"/>
    <n v="99.111227529999994"/>
    <n v="0.88877246840000002"/>
    <n v="0"/>
    <n v="0"/>
    <n v="99.886748539999999"/>
    <n v="0.11325146429999999"/>
    <n v="0"/>
    <n v="0"/>
    <n v="16"/>
    <n v="4435.2206281680128"/>
    <n v="37.817005160000001"/>
    <n v="8"/>
    <n v="99.593466329999998"/>
    <n v="62"/>
    <n v="38"/>
  </r>
  <r>
    <s v="Democratic People's Republic of Korea"/>
    <x v="4"/>
    <n v="25778.814450000002"/>
    <n v="62.381000520000001"/>
    <n v="93.843843030000002"/>
    <n v="0.68313118719999999"/>
    <n v="5.2096927800000001"/>
    <n v="0.26333300580000002"/>
    <n v="88.753624880000004"/>
    <n v="0.3564402606"/>
    <n v="10.189934859999999"/>
    <n v="0.7"/>
    <n v="96.913510439999996"/>
    <n v="0.88014287989999995"/>
    <n v="2.206346677"/>
    <n v="0"/>
    <n v="16"/>
    <n v="16081.082376104336"/>
    <n v="37.618999479999999"/>
    <n v="26"/>
    <n v="93.843843030000002"/>
    <n v="62"/>
    <n v="38"/>
  </r>
  <r>
    <s v="China"/>
    <x v="2"/>
    <n v="1463140.5"/>
    <n v="61.713088990000003"/>
    <n v="94.261110590000001"/>
    <n v="0.8147213297"/>
    <n v="4.725451938"/>
    <n v="0.19871614409999999"/>
    <n v="89.661233510000002"/>
    <n v="1.832679086"/>
    <n v="8.5060874089999992"/>
    <n v="0"/>
    <n v="97.11488267"/>
    <n v="0.1831784927"/>
    <n v="2.3799388399999999"/>
    <n v="0.32200000000000001"/>
    <n v="16"/>
    <n v="902949.19881373097"/>
    <n v="38.286911009999997"/>
    <n v="1464"/>
    <n v="94.261110590000001"/>
    <n v="62"/>
    <n v="38"/>
  </r>
  <r>
    <s v="Poland"/>
    <x v="1"/>
    <n v="37846.605470000002"/>
    <n v="60.043003079999998"/>
    <n v="99.966591550000004"/>
    <n v="0"/>
    <n v="3.3408445289999998E-2"/>
    <n v="0"/>
    <n v="100"/>
    <n v="0"/>
    <n v="0"/>
    <n v="0"/>
    <n v="99.944354840000003"/>
    <n v="0"/>
    <n v="5.5645161290000002E-2"/>
    <n v="0"/>
    <n v="16"/>
    <n v="22724.238488027549"/>
    <n v="39.956996920000002"/>
    <n v="38"/>
    <n v="99.966591550000004"/>
    <n v="60"/>
    <n v="40"/>
  </r>
  <r>
    <s v="Georgia"/>
    <x v="2"/>
    <n v="3989.1750489999999"/>
    <n v="59.452995299999998"/>
    <n v="97.348139700000004"/>
    <n v="0"/>
    <n v="2.6327613790000002"/>
    <n v="1.9098923269999998E-2"/>
    <n v="94.271884200000002"/>
    <n v="0"/>
    <n v="5.7039236180000001"/>
    <n v="2.4192183450000002E-2"/>
    <n v="99.446153940000002"/>
    <n v="0"/>
    <n v="0.53822074200000003"/>
    <n v="1.5625315859999999E-2"/>
    <n v="16"/>
    <n v="2371.6840543907429"/>
    <n v="40.547004700000002"/>
    <n v="4"/>
    <n v="97.348139700000004"/>
    <n v="59"/>
    <n v="41"/>
  </r>
  <r>
    <s v="Nicaragua"/>
    <x v="3"/>
    <n v="6624.5541990000002"/>
    <n v="59.012001040000001"/>
    <n v="81.708753799999997"/>
    <n v="1.506645682"/>
    <n v="13.530531140000001"/>
    <n v="3.2540693780000001"/>
    <n v="59.107446629999998"/>
    <n v="3.5209742849999999"/>
    <n v="29.780173680000001"/>
    <n v="7.5914054000000002"/>
    <n v="97.406956609999995"/>
    <n v="0.10755231429999999"/>
    <n v="2.244007656"/>
    <n v="0.24148342289999999"/>
    <n v="16"/>
    <n v="3909.281992809244"/>
    <n v="40.987998959999999"/>
    <n v="7"/>
    <n v="81.708753799999997"/>
    <n v="59"/>
    <n v="41"/>
  </r>
  <r>
    <s v="Austria"/>
    <x v="1"/>
    <n v="9006.4003909999992"/>
    <n v="58.748001100000003"/>
    <n v="100"/>
    <n v="0"/>
    <n v="0"/>
    <n v="0"/>
    <n v="100"/>
    <n v="0"/>
    <n v="0"/>
    <n v="0"/>
    <n v="100"/>
    <n v="0"/>
    <n v="0"/>
    <n v="0"/>
    <n v="16"/>
    <n v="5291.0802007750844"/>
    <n v="41.251998899999997"/>
    <n v="10"/>
    <n v="100"/>
    <n v="59"/>
    <n v="41"/>
  </r>
  <r>
    <s v="North Macedonia"/>
    <x v="2"/>
    <n v="2083.3798830000001"/>
    <n v="58.481998439999998"/>
    <n v="97.742815789999995"/>
    <n v="1.6349941400000001"/>
    <n v="0.57422847619999995"/>
    <n v="4.796159706E-2"/>
    <n v="97.468714570000003"/>
    <n v="1.505202232"/>
    <n v="0.91056319819999998"/>
    <n v="0.11552"/>
    <n v="97.937402989999995"/>
    <n v="1.7271369539999999"/>
    <n v="0.33546005629999998"/>
    <n v="0"/>
    <n v="16"/>
    <n v="1218.4021906753337"/>
    <n v="41.518001560000002"/>
    <n v="3"/>
    <n v="97.742815789999995"/>
    <n v="58"/>
    <n v="42"/>
  </r>
  <r>
    <s v="Croatia"/>
    <x v="1"/>
    <n v="4105.2680659999996"/>
    <n v="57.552997589999997"/>
    <s v="NAN"/>
    <s v="NAN"/>
    <s v="NAN"/>
    <s v="NAN"/>
    <s v="NAN"/>
    <s v="NAN"/>
    <s v="NAN"/>
    <s v="NAN"/>
    <n v="100"/>
    <n v="0"/>
    <n v="0"/>
    <n v="0"/>
    <n v="16"/>
    <n v="2362.7048310880195"/>
    <n v="42.447002410000003"/>
    <n v="5"/>
    <s v="NAN"/>
    <n v="58"/>
    <n v="42"/>
  </r>
  <r>
    <s v="Honduras"/>
    <x v="3"/>
    <n v="9904.6083980000003"/>
    <n v="58.358997340000002"/>
    <n v="95.689221130000007"/>
    <n v="0.4256206085"/>
    <n v="3.8851582640000002"/>
    <n v="0"/>
    <n v="89.875799549999996"/>
    <n v="0.80670950789999996"/>
    <n v="9.3174909459999995"/>
    <n v="0"/>
    <n v="99.837282810000005"/>
    <n v="0.15370152619999999"/>
    <n v="9.0156632960000007E-3"/>
    <n v="0"/>
    <n v="16"/>
    <n v="5780.2301515262379"/>
    <n v="41.641002659999998"/>
    <n v="10"/>
    <n v="95.689221130000007"/>
    <n v="58"/>
    <n v="42"/>
  </r>
  <r>
    <s v="Kazakhstan"/>
    <x v="2"/>
    <n v="18776.707030000001"/>
    <n v="57.671001429999997"/>
    <n v="95.434970320000005"/>
    <n v="1.9414250390000001"/>
    <n v="2.5459569339999999"/>
    <n v="7.7647704710000001E-2"/>
    <n v="91.939252339999996"/>
    <n v="1.862616064"/>
    <n v="6.0146930489999999"/>
    <n v="0.18343854379999999"/>
    <n v="98.000731329999994"/>
    <n v="1.999268673"/>
    <n v="0"/>
    <n v="0"/>
    <n v="16"/>
    <n v="10828.714979778211"/>
    <n v="42.328998570000003"/>
    <n v="19"/>
    <n v="95.434970320000005"/>
    <n v="58"/>
    <n v="42"/>
  </r>
  <r>
    <s v="Cameroon"/>
    <x v="3"/>
    <n v="26545.863280000001"/>
    <n v="57.560005189999998"/>
    <n v="65.720418179999996"/>
    <n v="12.874748629999999"/>
    <n v="15.00100626"/>
    <n v="6.4038269269999999"/>
    <n v="43.527581120000001"/>
    <n v="12.67259943"/>
    <n v="30.12380645"/>
    <n v="13.676012999999999"/>
    <n v="82.083584860000002"/>
    <n v="13.023796770000001"/>
    <n v="3.8507013510000001"/>
    <n v="1.041917019"/>
    <n v="16"/>
    <n v="15279.800281698304"/>
    <n v="42.439994810000002"/>
    <n v="27"/>
    <n v="65.720418179999996"/>
    <n v="58"/>
    <n v="42"/>
  </r>
  <r>
    <s v="Fiji"/>
    <x v="2"/>
    <n v="896.44396970000003"/>
    <n v="57.247005459999997"/>
    <n v="94.30106524"/>
    <n v="0"/>
    <n v="3.3186027660000001"/>
    <n v="2.380331999"/>
    <n v="89.088024050000001"/>
    <n v="0"/>
    <n v="5.7598979379999999"/>
    <n v="5.1520780119999996"/>
    <n v="98.194244060000003"/>
    <n v="0"/>
    <n v="1.495409344"/>
    <n v="0.31034659219999999"/>
    <n v="16"/>
    <n v="513.18732827999975"/>
    <n v="42.752994540000003"/>
    <n v="1"/>
    <n v="94.30106524"/>
    <n v="57"/>
    <n v="43"/>
  </r>
  <r>
    <s v="Haiti"/>
    <x v="3"/>
    <n v="11402.5332"/>
    <n v="57.087997440000002"/>
    <n v="66.695308400000002"/>
    <n v="9.8145436519999993"/>
    <n v="23.490147950000001"/>
    <n v="0"/>
    <n v="42.845700100000002"/>
    <n v="13.25598695"/>
    <n v="43.898312949999998"/>
    <n v="0"/>
    <n v="84.622621289999998"/>
    <n v="7.2276738790000001"/>
    <n v="8.1497048349999996"/>
    <n v="0"/>
    <n v="16"/>
    <n v="6509.4778613111503"/>
    <n v="42.912002559999998"/>
    <n v="12"/>
    <n v="66.695308400000002"/>
    <n v="57"/>
    <n v="43"/>
  </r>
  <r>
    <s v="Ghana"/>
    <x v="3"/>
    <n v="31072.945309999999"/>
    <n v="57.348999020000001"/>
    <n v="85.790996649999997"/>
    <n v="6.5860621129999997"/>
    <n v="2.8122161760000002"/>
    <n v="4.8107250580000001"/>
    <n v="71.892750050000004"/>
    <n v="11.934548270000001"/>
    <n v="4.9993564829999997"/>
    <n v="11.173345189999999"/>
    <n v="96.127259519999996"/>
    <n v="2.6083424549999998"/>
    <n v="1.1856138030000001"/>
    <n v="7.8784218190000005E-2"/>
    <n v="16"/>
    <n v="17820.023101317038"/>
    <n v="42.651000979999999"/>
    <n v="32"/>
    <n v="85.790996649999997"/>
    <n v="57"/>
    <n v="43"/>
  </r>
  <r>
    <s v="Indonesia"/>
    <x v="3"/>
    <n v="273523.625"/>
    <n v="56.640998840000002"/>
    <n v="92.415349610000007"/>
    <n v="0.85547463349999997"/>
    <n v="5.553871666"/>
    <n v="1.175304087"/>
    <n v="85.667962380000006"/>
    <n v="1.1780912299999999"/>
    <n v="10.61491462"/>
    <n v="2.539031772"/>
    <n v="97.580512069999997"/>
    <n v="0.60850983449999996"/>
    <n v="1.679615139"/>
    <n v="0.13136295880000001"/>
    <n v="16"/>
    <n v="154926.51326337596"/>
    <n v="43.359001159999998"/>
    <n v="274"/>
    <n v="92.415349610000007"/>
    <n v="57"/>
    <n v="43"/>
  </r>
  <r>
    <s v="Kiribati"/>
    <x v="3"/>
    <n v="119.44599909999999"/>
    <n v="55.593997960000003"/>
    <n v="77.970920849999999"/>
    <n v="4.0768996250000002"/>
    <n v="17.952179529999999"/>
    <n v="0"/>
    <n v="60.99418489"/>
    <n v="2.0966097989999999"/>
    <n v="36.909205319999998"/>
    <n v="0"/>
    <n v="91.531174849999999"/>
    <n v="5.6586664610000001"/>
    <n v="2.8101586909999998"/>
    <n v="0"/>
    <n v="16"/>
    <n v="66.40480630295562"/>
    <n v="44.406002039999997"/>
    <n v="1"/>
    <n v="77.970920849999999"/>
    <n v="56"/>
    <n v="44"/>
  </r>
  <r>
    <s v="Jamaica"/>
    <x v="2"/>
    <n v="2961.1608890000002"/>
    <n v="56.311000819999997"/>
    <n v="91.029944499999999"/>
    <n v="5.3675709139999999"/>
    <n v="1.8640102030000001"/>
    <n v="1.7384743789999999"/>
    <n v="85.39991216"/>
    <n v="8.4907373709999998"/>
    <n v="2.5689718949999998"/>
    <n v="3.540378574"/>
    <n v="95.398015909999998"/>
    <n v="2.944456223"/>
    <n v="1.317064322"/>
    <n v="0.34046355"/>
    <n v="16"/>
    <n v="1667.4593324863094"/>
    <n v="43.688999180000003"/>
    <n v="3"/>
    <n v="91.029944499999999"/>
    <n v="56"/>
    <n v="44"/>
  </r>
  <r>
    <s v="Serbia"/>
    <x v="2"/>
    <n v="8737.3701170000004"/>
    <n v="56.445999149999999"/>
    <n v="95.29552932"/>
    <n v="4.244199279"/>
    <n v="0.44372047780000001"/>
    <n v="1.6550926470000001E-2"/>
    <n v="95.844974750000006"/>
    <n v="3.545864028"/>
    <n v="0.57116028659999996"/>
    <n v="3.8000931410000001E-2"/>
    <n v="94.871569890000004"/>
    <n v="4.7830378649999998"/>
    <n v="0.3453922445"/>
    <n v="0"/>
    <n v="16"/>
    <n v="4931.8958619741743"/>
    <n v="43.554000850000001"/>
    <n v="9"/>
    <n v="95.29552932"/>
    <n v="56"/>
    <n v="44"/>
  </r>
  <r>
    <s v="Azerbaijan"/>
    <x v="2"/>
    <n v="10139.174800000001"/>
    <n v="56.397003169999998"/>
    <n v="96.043376129999999"/>
    <n v="1.04278118"/>
    <n v="2.9138426879999999"/>
    <n v="0"/>
    <n v="90.925797950000003"/>
    <n v="2.3915356710000002"/>
    <n v="6.6826663770000003"/>
    <n v="0"/>
    <n v="100"/>
    <n v="0"/>
    <n v="0"/>
    <n v="0"/>
    <n v="16"/>
    <n v="5718.1907333678409"/>
    <n v="43.602996830000002"/>
    <n v="11"/>
    <n v="96.043376129999999"/>
    <n v="56"/>
    <n v="44"/>
  </r>
  <r>
    <s v="Slovenia"/>
    <x v="1"/>
    <n v="2078.931885"/>
    <n v="55.118003850000001"/>
    <n v="99.5"/>
    <n v="0"/>
    <n v="0.5"/>
    <n v="0"/>
    <s v="NAN"/>
    <s v="NAN"/>
    <s v="NAN"/>
    <s v="NAN"/>
    <s v="NAN"/>
    <s v="NAN"/>
    <s v="NAN"/>
    <s v="NAN"/>
    <n v="16"/>
    <n v="1145.8657564131775"/>
    <n v="44.881996149999999"/>
    <n v="3"/>
    <n v="99.5"/>
    <n v="55"/>
    <n v="45"/>
  </r>
  <r>
    <s v="Mauritania"/>
    <x v="3"/>
    <n v="4649.6601559999999"/>
    <n v="55.326995850000003"/>
    <n v="71.681049229999999"/>
    <n v="13.476891930000001"/>
    <n v="14.820326809999999"/>
    <n v="2.173203433E-2"/>
    <n v="49.911338899999997"/>
    <n v="18.49039689"/>
    <n v="31.549617300000001"/>
    <n v="4.8646907220000001E-2"/>
    <n v="89.258694649999995"/>
    <n v="9.4288080829999998"/>
    <n v="1.3124972699999999"/>
    <n v="0"/>
    <n v="16"/>
    <n v="2572.5172815492238"/>
    <n v="44.673004149999997"/>
    <n v="5"/>
    <n v="71.681049229999999"/>
    <n v="55"/>
    <n v="45"/>
  </r>
  <r>
    <s v="Syrian Arab Republic"/>
    <x v="4"/>
    <n v="17500.65625"/>
    <n v="55.475002289999999"/>
    <n v="93.925857179999994"/>
    <n v="5.8737307679999997"/>
    <n v="0.20041205419999999"/>
    <n v="0"/>
    <n v="92.082745000000003"/>
    <n v="7.9172549999999999"/>
    <n v="0"/>
    <n v="0"/>
    <n v="95.405164360000001"/>
    <n v="4.2335701170000002"/>
    <n v="0.36126552499999998"/>
    <n v="0"/>
    <n v="16"/>
    <n v="9708.4894554525272"/>
    <n v="44.524997710000001"/>
    <n v="18"/>
    <n v="93.925857179999994"/>
    <n v="55"/>
    <n v="45"/>
  </r>
  <r>
    <s v="Slovakia"/>
    <x v="1"/>
    <n v="5459.6430659999996"/>
    <n v="53.759998320000001"/>
    <n v="99.787698579999997"/>
    <n v="0.2123014241"/>
    <n v="0"/>
    <n v="0"/>
    <n v="100"/>
    <n v="0"/>
    <n v="0"/>
    <n v="0"/>
    <n v="99.605094059999999"/>
    <n v="0.39490593740000002"/>
    <n v="0"/>
    <n v="0"/>
    <n v="16"/>
    <n v="2935.1040205595964"/>
    <n v="46.240001679999999"/>
    <n v="6"/>
    <n v="99.787698579999997"/>
    <n v="54"/>
    <n v="46"/>
  </r>
  <r>
    <s v="Romania"/>
    <x v="1"/>
    <n v="19237.681639999999"/>
    <n v="54.194000240000001"/>
    <n v="100"/>
    <n v="0"/>
    <n v="0"/>
    <n v="0"/>
    <n v="100"/>
    <n v="0"/>
    <n v="0"/>
    <n v="0"/>
    <n v="100"/>
    <n v="0"/>
    <n v="0"/>
    <n v="0"/>
    <n v="16"/>
    <n v="10425.669234152037"/>
    <n v="45.805999759999999"/>
    <n v="20"/>
    <n v="100"/>
    <n v="54"/>
    <n v="46"/>
  </r>
  <r>
    <s v="Isle of Man"/>
    <x v="1"/>
    <n v="85.031997680000003"/>
    <n v="52.89800262"/>
    <n v="99.075000000000003"/>
    <n v="0"/>
    <n v="0.92500000000000004"/>
    <n v="0"/>
    <s v="NAN"/>
    <s v="NAN"/>
    <s v="NAN"/>
    <s v="NAN"/>
    <s v="NAN"/>
    <s v="NAN"/>
    <s v="NAN"/>
    <s v="NAN"/>
    <n v="16"/>
    <n v="44.980228360604734"/>
    <n v="47.10199738"/>
    <n v="1"/>
    <n v="99.075000000000003"/>
    <n v="53"/>
    <n v="47"/>
  </r>
  <r>
    <s v="Trinidad and Tobago"/>
    <x v="1"/>
    <n v="1399.490967"/>
    <n v="53.2140007"/>
    <n v="98.875170769999997"/>
    <n v="1.1248292310000001"/>
    <n v="0"/>
    <n v="0"/>
    <s v="NAN"/>
    <s v="NAN"/>
    <s v="NAN"/>
    <s v="NAN"/>
    <s v="NAN"/>
    <s v="NAN"/>
    <s v="NAN"/>
    <s v="NAN"/>
    <n v="16"/>
    <n v="744.72513297581668"/>
    <n v="46.7859993"/>
    <n v="2"/>
    <n v="98.875170769999997"/>
    <n v="53"/>
    <n v="47"/>
  </r>
  <r>
    <s v="Turkmenistan"/>
    <x v="2"/>
    <n v="6031.1870120000003"/>
    <n v="52.516002659999998"/>
    <n v="100"/>
    <n v="0"/>
    <n v="0"/>
    <n v="0"/>
    <n v="100"/>
    <n v="0"/>
    <n v="0"/>
    <n v="0"/>
    <n v="100"/>
    <n v="0"/>
    <n v="0"/>
    <n v="0"/>
    <n v="16"/>
    <n v="3167.3383316514942"/>
    <n v="47.483997340000002"/>
    <n v="7"/>
    <n v="100"/>
    <n v="53"/>
    <n v="47"/>
  </r>
  <r>
    <s v="Namibia"/>
    <x v="2"/>
    <n v="2540.9160160000001"/>
    <n v="52.033000950000002"/>
    <n v="84.270036279999999"/>
    <n v="7.0876275099999999"/>
    <n v="3.740143722"/>
    <n v="4.9021924849999996"/>
    <n v="71.256167430000005"/>
    <n v="11.97218925"/>
    <n v="7.0818037589999996"/>
    <n v="9.6898395629999996"/>
    <n v="96.266965350000007"/>
    <n v="2.5847589649999998"/>
    <n v="0.65961026379999999"/>
    <n v="0.4886654211"/>
    <n v="16"/>
    <n v="1322.1148547439821"/>
    <n v="47.966999049999998"/>
    <n v="3"/>
    <n v="84.270036279999999"/>
    <n v="52"/>
    <n v="48"/>
  </r>
  <r>
    <s v="Liberia"/>
    <x v="4"/>
    <n v="5057.6767579999996"/>
    <n v="52.088996889999997"/>
    <n v="75.261791590000001"/>
    <n v="8.7006574749999999"/>
    <n v="3.488080869"/>
    <n v="12.549470060000001"/>
    <n v="64.100216889999999"/>
    <n v="6.5377757970000001"/>
    <n v="3.3837098750000001"/>
    <n v="25.978297439999999"/>
    <n v="85.528109630000003"/>
    <n v="10.69005698"/>
    <n v="3.58408039"/>
    <n v="0.19775300060000001"/>
    <n v="16"/>
    <n v="2634.4930891808722"/>
    <n v="47.911003110000003"/>
    <n v="6"/>
    <n v="75.261791590000001"/>
    <n v="52"/>
    <n v="48"/>
  </r>
  <r>
    <s v="Guatemala"/>
    <x v="2"/>
    <n v="17915.566409999999"/>
    <n v="51.835998539999999"/>
    <n v="94.006428270000001"/>
    <n v="1.034150511"/>
    <n v="3.2159118150000001"/>
    <n v="1.7435094040000001"/>
    <n v="90.119329800000003"/>
    <n v="1.8491699989999999"/>
    <n v="4.5834386909999996"/>
    <n v="3.4480615079999999"/>
    <n v="97.618169440000003"/>
    <n v="0.27686600569999997"/>
    <n v="1.94525887"/>
    <n v="0.15970568490000001"/>
    <n v="16"/>
    <n v="9286.7127427203286"/>
    <n v="48.164001460000001"/>
    <n v="18"/>
    <n v="94.006428270000001"/>
    <n v="52"/>
    <n v="48"/>
  </r>
  <r>
    <s v="Côte d'Ivoire"/>
    <x v="3"/>
    <n v="26378.275389999999"/>
    <n v="51.70599747"/>
    <n v="70.909070389999997"/>
    <n v="8.9354217019999993"/>
    <n v="14.192441609999999"/>
    <n v="5.9630662929999998"/>
    <n v="55.722446859999998"/>
    <n v="13.343168289999999"/>
    <n v="23.17527956"/>
    <n v="7.7591052889999998"/>
    <n v="85.093553290000003"/>
    <n v="4.8185351560000003"/>
    <n v="5.8023665600000003"/>
    <n v="4.2855449940000003"/>
    <n v="16"/>
    <n v="13639.150405783032"/>
    <n v="48.29400253"/>
    <n v="27"/>
    <n v="70.909070389999997"/>
    <n v="52"/>
    <n v="48"/>
  </r>
  <r>
    <s v="Nigeria"/>
    <x v="3"/>
    <n v="206139.5938"/>
    <n v="51.958000179999999"/>
    <n v="77.609053380000006"/>
    <n v="4.9793993429999999"/>
    <n v="11.79691148"/>
    <n v="5.6146357939999998"/>
    <n v="61.658210029999999"/>
    <n v="7.1289245829999999"/>
    <n v="20.924875350000001"/>
    <n v="10.28799004"/>
    <n v="92.357705190000004"/>
    <n v="2.9918806500000001"/>
    <n v="3.356908786"/>
    <n v="1.2935053700000001"/>
    <n v="16"/>
    <n v="107106.01051765526"/>
    <n v="48.041999820000001"/>
    <n v="207"/>
    <n v="77.609053380000006"/>
    <n v="52"/>
    <n v="48"/>
  </r>
  <r>
    <s v="Thailand"/>
    <x v="2"/>
    <n v="69799.976559999996"/>
    <n v="51.430000309999997"/>
    <n v="100"/>
    <n v="0"/>
    <n v="0"/>
    <n v="0"/>
    <n v="100"/>
    <n v="0"/>
    <n v="0"/>
    <n v="0"/>
    <n v="100"/>
    <n v="0"/>
    <n v="0"/>
    <n v="0"/>
    <n v="16"/>
    <n v="35898.128161187924"/>
    <n v="48.569999690000003"/>
    <n v="70"/>
    <n v="100"/>
    <n v="51"/>
    <n v="49"/>
  </r>
  <r>
    <s v="Uzbekistan"/>
    <x v="3"/>
    <n v="33469.199220000002"/>
    <n v="50.415996550000003"/>
    <n v="97.828784850000005"/>
    <n v="0"/>
    <n v="0.22384422000000001"/>
    <n v="1.947370925"/>
    <n v="96.072582359999998"/>
    <n v="0"/>
    <n v="0"/>
    <n v="3.927417637"/>
    <n v="99.556005560000003"/>
    <n v="0"/>
    <n v="0.44399444339999999"/>
    <n v="0"/>
    <n v="16"/>
    <n v="16873.830324067829"/>
    <n v="49.584003449999997"/>
    <n v="34"/>
    <n v="97.828784850000005"/>
    <n v="50"/>
    <n v="50"/>
  </r>
  <r>
    <s v="British Virgin Islands"/>
    <x v="1"/>
    <n v="30.23699951"/>
    <n v="48.51499939"/>
    <n v="99.864383559999993"/>
    <n v="0"/>
    <n v="0.13561643840000001"/>
    <n v="0"/>
    <s v="NAN"/>
    <s v="NAN"/>
    <s v="NAN"/>
    <s v="NAN"/>
    <s v="NAN"/>
    <s v="NAN"/>
    <s v="NAN"/>
    <s v="NAN"/>
    <n v="16"/>
    <n v="14.669480127830804"/>
    <n v="51.48500061"/>
    <n v="1"/>
    <n v="99.864383559999993"/>
    <n v="49"/>
    <n v="51"/>
  </r>
  <r>
    <s v="Bosnia and Herzegovina"/>
    <x v="2"/>
    <n v="3280.8149410000001"/>
    <n v="49.020000459999999"/>
    <n v="96.113897620000003"/>
    <n v="3.8236639380000002"/>
    <n v="6.2438437520000001E-2"/>
    <n v="0"/>
    <n v="97.333333330000002"/>
    <n v="2.6666666669999999"/>
    <n v="0"/>
    <n v="0"/>
    <n v="94.845704400000002"/>
    <n v="5.0269222060000001"/>
    <n v="0.12737339280000001"/>
    <n v="0"/>
    <n v="16"/>
    <n v="1608.2554991699487"/>
    <n v="50.979999540000001"/>
    <n v="4"/>
    <n v="96.113897620000003"/>
    <n v="49"/>
    <n v="51"/>
  </r>
  <r>
    <s v="Benin"/>
    <x v="3"/>
    <n v="12123.19824"/>
    <n v="48.414997100000001"/>
    <n v="65.414122989999996"/>
    <n v="9.317535586"/>
    <n v="21.97254088"/>
    <n v="3.2958005469999998"/>
    <n v="58.052267989999997"/>
    <n v="12.705205039999999"/>
    <n v="23.977968329999999"/>
    <n v="5.2645586340000001"/>
    <n v="73.258000039999999"/>
    <n v="5.7080563529999999"/>
    <n v="19.835806810000001"/>
    <n v="1.1981367940000001"/>
    <n v="16"/>
    <n v="5869.446076323251"/>
    <n v="51.585002899999999"/>
    <n v="13"/>
    <n v="65.414122989999996"/>
    <n v="48"/>
    <n v="52"/>
  </r>
  <r>
    <s v="Senegal"/>
    <x v="3"/>
    <n v="16743.929690000001"/>
    <n v="48.122001650000001"/>
    <n v="84.905237790000001"/>
    <n v="2.3872175090000001"/>
    <n v="12.60781566"/>
    <n v="9.9729040419999998E-2"/>
    <n v="75.242928199999994"/>
    <n v="4.052382433"/>
    <n v="20.512451739999999"/>
    <n v="0.1922376314"/>
    <n v="95.321700939999999"/>
    <n v="0.59208365669999996"/>
    <n v="4.0862154019999997"/>
    <n v="0"/>
    <n v="16"/>
    <n v="8057.5141216966404"/>
    <n v="51.877998349999999"/>
    <n v="17"/>
    <n v="84.905237790000001"/>
    <n v="48"/>
    <n v="52"/>
  </r>
  <r>
    <s v="Philippines"/>
    <x v="3"/>
    <n v="109581.08590000001"/>
    <n v="47.407997129999998"/>
    <n v="94.109034559999998"/>
    <n v="2.8564861370000001"/>
    <n v="3.0344793069999998"/>
    <n v="0"/>
    <n v="91.06193322"/>
    <n v="3.9595204279999998"/>
    <n v="4.978546347"/>
    <n v="0"/>
    <n v="97.489332500000003"/>
    <n v="1.632836465"/>
    <n v="0.87783103600000001"/>
    <n v="0"/>
    <n v="16"/>
    <n v="51950.198058494832"/>
    <n v="52.592002870000002"/>
    <n v="110"/>
    <n v="94.109034559999998"/>
    <n v="47"/>
    <n v="53"/>
  </r>
  <r>
    <s v="Niue"/>
    <x v="0"/>
    <n v="1.618000031"/>
    <n v="46.202003480000002"/>
    <n v="97.010876179999997"/>
    <n v="0"/>
    <n v="2.9891238219999998"/>
    <n v="0"/>
    <s v="NAN"/>
    <s v="NAN"/>
    <s v="NAN"/>
    <s v="NAN"/>
    <s v="NAN"/>
    <s v="NAN"/>
    <s v="NAN"/>
    <s v="NAN"/>
    <n v="16"/>
    <n v="0.7475484306290211"/>
    <n v="53.797996519999998"/>
    <n v="1"/>
    <n v="97.010876179999997"/>
    <n v="46"/>
    <n v="54"/>
  </r>
  <r>
    <s v="Mayotte"/>
    <x v="0"/>
    <n v="272.81298829999997"/>
    <n v="45.750999450000002"/>
    <n v="96.371179710000007"/>
    <n v="0"/>
    <n v="3.6288202950000001"/>
    <s v="NAN"/>
    <s v="NAN"/>
    <s v="NAN"/>
    <s v="NAN"/>
    <s v="NAN"/>
    <s v="NAN"/>
    <s v="NAN"/>
    <s v="NAN"/>
    <s v="NAN"/>
    <n v="16"/>
    <n v="124.81466877666156"/>
    <n v="54.249000549999998"/>
    <n v="1"/>
    <n v="96.371179710000007"/>
    <n v="46"/>
    <n v="54"/>
  </r>
  <r>
    <s v="Belize"/>
    <x v="2"/>
    <n v="397.62100220000002"/>
    <n v="46.025001529999997"/>
    <n v="98.401954630000006"/>
    <n v="1.249110629"/>
    <n v="0.3489347411"/>
    <n v="0"/>
    <n v="97.995207579999999"/>
    <n v="1.358317682"/>
    <n v="0.64647473929999999"/>
    <n v="0"/>
    <n v="98.878960000000006"/>
    <n v="1.12104"/>
    <n v="0"/>
    <n v="0"/>
    <n v="16"/>
    <n v="183.00507234615134"/>
    <n v="53.974998470000003"/>
    <n v="1"/>
    <n v="98.401954630000006"/>
    <n v="46"/>
    <n v="54"/>
  </r>
  <r>
    <s v="Somalia"/>
    <x v="4"/>
    <n v="15893.21875"/>
    <n v="46.140998840000002"/>
    <n v="56.476973389999998"/>
    <n v="27.704199559999999"/>
    <n v="13.41704303"/>
    <n v="2.4017840210000001"/>
    <n v="37.075862819999998"/>
    <n v="36.643249580000003"/>
    <n v="21.821495460000001"/>
    <n v="4.4593921429999996"/>
    <n v="79.123305740000006"/>
    <n v="17.269915560000001"/>
    <n v="3.6067787029999998"/>
    <n v="0"/>
    <n v="16"/>
    <n v="7333.2898790761628"/>
    <n v="53.859001159999998"/>
    <n v="16"/>
    <n v="56.476973389999998"/>
    <n v="46"/>
    <n v="54"/>
  </r>
  <r>
    <s v="Democratic Republic of the Congo"/>
    <x v="3"/>
    <n v="89561.40625"/>
    <n v="45.638000490000003"/>
    <n v="45.952126960000001"/>
    <n v="13.44122447"/>
    <n v="32.542316069999998"/>
    <n v="8.0643324950000004"/>
    <n v="21.98279234"/>
    <n v="12.68294146"/>
    <n v="51.215981669999998"/>
    <n v="14.11828453"/>
    <n v="74.503354779999995"/>
    <n v="14.34445818"/>
    <n v="10.29905862"/>
    <n v="0.85312841309999998"/>
    <n v="16"/>
    <n v="40874.035023225893"/>
    <n v="54.361999509999997"/>
    <n v="90"/>
    <n v="45.952126960000001"/>
    <n v="46"/>
    <n v="54"/>
  </r>
  <r>
    <s v="Zambia"/>
    <x v="4"/>
    <n v="18383.95508"/>
    <n v="44.6289978"/>
    <n v="65.412383570000003"/>
    <n v="6.1539390200000001"/>
    <n v="21.576840709999999"/>
    <n v="6.8568367060000002"/>
    <n v="48.22728833"/>
    <n v="8.3317036130000002"/>
    <n v="31.608654439999999"/>
    <n v="11.832353619999999"/>
    <n v="86.733854660000006"/>
    <n v="3.4519961939999999"/>
    <n v="9.1304141049999998"/>
    <n v="0.68373504630000004"/>
    <n v="16"/>
    <n v="8204.5749082061884"/>
    <n v="55.3710022"/>
    <n v="19"/>
    <n v="65.412383570000003"/>
    <n v="45"/>
    <n v="55"/>
  </r>
  <r>
    <s v="Guinea-Bissau"/>
    <x v="4"/>
    <n v="1967.998047"/>
    <n v="44.195999149999999"/>
    <n v="59.016912210000001"/>
    <n v="14.03457137"/>
    <n v="26.6263769"/>
    <n v="0.3221395192"/>
    <n v="49.831905300000003"/>
    <n v="9.2857730259999993"/>
    <n v="40.316451290000003"/>
    <n v="0.56587038450000005"/>
    <n v="70.614347910000006"/>
    <n v="20.03063358"/>
    <n v="9.3406252839999997"/>
    <n v="1.4393226929999999E-2"/>
    <n v="16"/>
    <n v="869.77640012413656"/>
    <n v="55.804000850000001"/>
    <n v="2"/>
    <n v="59.016912210000001"/>
    <n v="44"/>
    <n v="56"/>
  </r>
  <r>
    <s v="Mali"/>
    <x v="4"/>
    <n v="20250.833979999999"/>
    <n v="43.909004209999999"/>
    <n v="82.547291029999997"/>
    <n v="3.8547345270000002"/>
    <n v="12.246971350000001"/>
    <n v="1.3510030900000001"/>
    <n v="72.080895209999994"/>
    <n v="3.7824122299999998"/>
    <n v="21.72810084"/>
    <n v="2.4085917170000002"/>
    <n v="95.917454750000005"/>
    <n v="3.947121723"/>
    <n v="0.13542353139999999"/>
    <n v="0"/>
    <n v="16"/>
    <n v="8891.9395448383093"/>
    <n v="56.090995790000001"/>
    <n v="21"/>
    <n v="82.547291029999997"/>
    <n v="44"/>
    <n v="56"/>
  </r>
  <r>
    <s v="Republic of Moldova"/>
    <x v="2"/>
    <n v="4033.9628910000001"/>
    <n v="42.849002839999997"/>
    <n v="90.569962239999995"/>
    <n v="1.519776762"/>
    <n v="7.910260997"/>
    <n v="0"/>
    <n v="85.481038119999994"/>
    <n v="1.52256302"/>
    <n v="12.996398859999999"/>
    <n v="0"/>
    <n v="97.357444479999998"/>
    <n v="1.516060408"/>
    <n v="1.1264951110000001"/>
    <n v="0"/>
    <n v="16"/>
    <n v="1728.5128737291359"/>
    <n v="57.150997160000003"/>
    <n v="5"/>
    <n v="90.569962239999995"/>
    <n v="43"/>
    <n v="57"/>
  </r>
  <r>
    <s v="Sierra Leone"/>
    <x v="4"/>
    <n v="7976.9848629999997"/>
    <n v="42.923000340000002"/>
    <n v="63.766285619999998"/>
    <n v="9.0233163570000006"/>
    <n v="15.5639457"/>
    <n v="11.646452330000001"/>
    <n v="52.752702669999998"/>
    <n v="5.2211368890000003"/>
    <n v="23.142949089999998"/>
    <n v="18.88321135"/>
    <n v="78.411637659999997"/>
    <n v="14.079277429999999"/>
    <n v="5.4857354369999998"/>
    <n v="2.0233494749999998"/>
    <n v="16"/>
    <n v="3423.9612398672384"/>
    <n v="57.076999659999998"/>
    <n v="8"/>
    <n v="63.766285619999998"/>
    <n v="43"/>
    <n v="57"/>
  </r>
  <r>
    <s v="Togo"/>
    <x v="4"/>
    <n v="8278.7373050000006"/>
    <n v="42.799999239999998"/>
    <n v="68.58372009"/>
    <n v="6.065434765"/>
    <n v="14.16432245"/>
    <n v="11.18652269"/>
    <n v="52.117552750000002"/>
    <n v="8.1875420190000003"/>
    <n v="20.7910842"/>
    <n v="18.90382103"/>
    <n v="90.589910009999997"/>
    <n v="3.2293480560000001"/>
    <n v="5.3079905280000004"/>
    <n v="0.87275140490000003"/>
    <n v="16"/>
    <n v="3543.2995036215966"/>
    <n v="57.200000760000002"/>
    <n v="9"/>
    <n v="68.58372009"/>
    <n v="43"/>
    <n v="57"/>
  </r>
  <r>
    <s v="Egypt"/>
    <x v="3"/>
    <n v="102334.4063"/>
    <n v="42.783000950000002"/>
    <n v="99.440175960000005"/>
    <n v="0.23760910860000001"/>
    <n v="0.3222149265"/>
    <n v="0"/>
    <n v="99.332835149999994"/>
    <n v="0.33594182239999998"/>
    <n v="0.33122303190000002"/>
    <n v="0"/>
    <n v="99.583731099999994"/>
    <n v="0.10610120670000001"/>
    <n v="0.31016769430000002"/>
    <n v="0"/>
    <n v="16"/>
    <n v="43781.730019505863"/>
    <n v="57.216999049999998"/>
    <n v="103"/>
    <n v="99.440175960000005"/>
    <n v="43"/>
    <n v="57"/>
  </r>
  <r>
    <s v="Faeroe Islands"/>
    <x v="1"/>
    <n v="48.865001679999999"/>
    <n v="42.397998809999997"/>
    <n v="100"/>
    <n v="0"/>
    <n v="0"/>
    <n v="0"/>
    <s v="NAN"/>
    <s v="NAN"/>
    <s v="NAN"/>
    <s v="NAN"/>
    <s v="NAN"/>
    <s v="NAN"/>
    <s v="NAN"/>
    <s v="NAN"/>
    <n v="16"/>
    <n v="20.717782830792878"/>
    <n v="57.602001190000003"/>
    <n v="1"/>
    <n v="100"/>
    <n v="42"/>
    <n v="58"/>
  </r>
  <r>
    <s v="Bhutan"/>
    <x v="3"/>
    <n v="771.61199950000002"/>
    <n v="42.31599808"/>
    <n v="97.313222629999999"/>
    <n v="2.4607126070000001"/>
    <n v="0.17642421829999999"/>
    <n v="4.9640541420000003E-2"/>
    <n v="96.731193649999994"/>
    <n v="3.2688063509999998"/>
    <n v="0"/>
    <n v="0"/>
    <n v="98.106628490000006"/>
    <n v="1.3591415"/>
    <n v="0.41692084750000002"/>
    <n v="0.1173091586"/>
    <n v="16"/>
    <n v="326.51531889346961"/>
    <n v="57.68400192"/>
    <n v="1"/>
    <n v="97.313222629999999"/>
    <n v="42"/>
    <n v="58"/>
  </r>
  <r>
    <s v="Central African Republic"/>
    <x v="4"/>
    <n v="4829.7641599999997"/>
    <n v="42.197998050000002"/>
    <n v="37.202402050000003"/>
    <n v="25.682373479999999"/>
    <n v="33.53911377"/>
    <n v="3.5761107079999999"/>
    <n v="28.106594149999999"/>
    <n v="19.405889899999998"/>
    <n v="46.373073009999999"/>
    <n v="6.1144429440000003"/>
    <n v="49.661664950000002"/>
    <n v="34.279780090000003"/>
    <n v="15.95940214"/>
    <n v="9.915281712E-2"/>
    <n v="16"/>
    <n v="2038.0637860563988"/>
    <n v="57.802001949999998"/>
    <n v="5"/>
    <n v="37.202402050000003"/>
    <n v="42"/>
    <n v="58"/>
  </r>
  <r>
    <s v="Maldives"/>
    <x v="2"/>
    <n v="540.54199219999998"/>
    <n v="40.668998719999998"/>
    <n v="99.544438600000007"/>
    <n v="4.8050691299999997E-2"/>
    <n v="0.40751070499999997"/>
    <n v="0"/>
    <n v="99.919012499999994"/>
    <n v="8.0987500000000004E-2"/>
    <n v="0"/>
    <n v="0"/>
    <n v="98.997988930000005"/>
    <n v="0"/>
    <n v="1.0020110689999999"/>
    <n v="0"/>
    <n v="16"/>
    <n v="219.83301588888048"/>
    <n v="59.331001280000002"/>
    <n v="1"/>
    <n v="99.544438600000007"/>
    <n v="41"/>
    <n v="59"/>
  </r>
  <r>
    <s v="Mauritius"/>
    <x v="2"/>
    <n v="1271.7669679999999"/>
    <n v="40.759998320000001"/>
    <n v="99.866254699999999"/>
    <n v="0"/>
    <n v="0.13374530139999999"/>
    <n v="0"/>
    <n v="99.827682339999996"/>
    <n v="0"/>
    <n v="0.17231766179999999"/>
    <n v="0"/>
    <n v="99.922315220000002"/>
    <n v="0"/>
    <n v="7.7684781189999996E-2"/>
    <n v="0"/>
    <n v="16"/>
    <n v="518.37219479111491"/>
    <n v="59.240001679999999"/>
    <n v="2"/>
    <n v="99.866254699999999"/>
    <n v="41"/>
    <n v="59"/>
  </r>
  <r>
    <s v="Saint Helena"/>
    <x v="0"/>
    <n v="6.0710000989999999"/>
    <n v="40.082000729999997"/>
    <n v="99.1"/>
    <n v="0"/>
    <n v="0.9"/>
    <n v="0"/>
    <s v="NAN"/>
    <s v="NAN"/>
    <s v="NAN"/>
    <s v="NAN"/>
    <s v="NAN"/>
    <s v="NAN"/>
    <s v="NAN"/>
    <s v="NAN"/>
    <n v="16"/>
    <n v="2.4333783039994805"/>
    <n v="59.917999270000003"/>
    <n v="1"/>
    <n v="99.1"/>
    <n v="40"/>
    <n v="60"/>
  </r>
  <r>
    <s v="Madagascar"/>
    <x v="4"/>
    <n v="27691.019530000001"/>
    <n v="38.534000399999996"/>
    <n v="53.385884910000001"/>
    <n v="2.7179729799999999"/>
    <n v="32.311459669999998"/>
    <n v="11.58468244"/>
    <n v="36.406420279999999"/>
    <n v="1.601776163"/>
    <n v="43.953893450000002"/>
    <n v="18.037910109999999"/>
    <n v="80.470006940000005"/>
    <n v="4.4984302979999997"/>
    <n v="13.74049434"/>
    <n v="1.291068417"/>
    <n v="16"/>
    <n v="10670.457576454277"/>
    <n v="61.465999600000004"/>
    <n v="28"/>
    <n v="53.385884910000001"/>
    <n v="39"/>
    <n v="61"/>
  </r>
  <r>
    <s v="Yemen"/>
    <x v="4"/>
    <n v="29825.96875"/>
    <n v="37.907997129999998"/>
    <n v="60.663569840000001"/>
    <n v="28.9627418"/>
    <n v="7.77785276"/>
    <n v="2.595835594"/>
    <n v="50.681334370000002"/>
    <n v="33.53021373"/>
    <n v="11.60782393"/>
    <n v="4.1806279780000004"/>
    <n v="77.014129339999997"/>
    <n v="21.481379369999999"/>
    <n v="1.5044912859999999"/>
    <n v="0"/>
    <n v="16"/>
    <n v="11306.427377744696"/>
    <n v="62.092002870000002"/>
    <n v="30"/>
    <n v="60.663569840000001"/>
    <n v="38"/>
    <n v="62"/>
  </r>
  <r>
    <s v="Bangladesh"/>
    <x v="3"/>
    <n v="164689.39060000001"/>
    <n v="38.177001949999998"/>
    <n v="97.697960249999994"/>
    <n v="1.1564258780000001"/>
    <n v="0.46265570020000002"/>
    <n v="0.68295817349999999"/>
    <n v="97.88023776"/>
    <n v="0.85810498040000005"/>
    <n v="0.31648024139999997"/>
    <n v="0.94517701509999996"/>
    <n v="97.402777970000002"/>
    <n v="1.6395201210000001"/>
    <n v="0.69937521469999997"/>
    <n v="0.25832669339999997"/>
    <n v="16"/>
    <n v="62873.471860805119"/>
    <n v="61.822998050000002"/>
    <n v="165"/>
    <n v="97.697960249999994"/>
    <n v="38"/>
    <n v="62"/>
  </r>
  <r>
    <s v="Kyrgyzstan"/>
    <x v="0"/>
    <n v="6524.1909180000002"/>
    <n v="36.855998990000003"/>
    <n v="91.699305219999999"/>
    <n v="1.900734111"/>
    <n v="1.8656486999999999"/>
    <n v="4.5343119649999997"/>
    <n v="87.258429000000007"/>
    <n v="2.606070485"/>
    <n v="2.9545936840000002"/>
    <n v="7.1809068319999998"/>
    <n v="99.307692309999993"/>
    <n v="0.6923076923"/>
    <n v="0"/>
    <n v="0"/>
    <n v="16"/>
    <n v="2404.5557388437524"/>
    <n v="63.144001009999997"/>
    <n v="7"/>
    <n v="91.699305219999999"/>
    <n v="37"/>
    <n v="63"/>
  </r>
  <r>
    <s v="Guinea"/>
    <x v="4"/>
    <n v="13132.79199"/>
    <n v="36.875"/>
    <n v="63.961788740000003"/>
    <n v="21.281591500000001"/>
    <n v="6.2961194059999999"/>
    <n v="8.4605003540000006"/>
    <n v="50.74817899"/>
    <n v="26.14432944"/>
    <n v="9.7047191430000002"/>
    <n v="13.402772430000001"/>
    <n v="86.581690069999993"/>
    <n v="12.957241529999999"/>
    <n v="0.46106839799999999"/>
    <n v="0"/>
    <n v="16"/>
    <n v="4842.7170463125003"/>
    <n v="63.125"/>
    <n v="14"/>
    <n v="63.961788740000003"/>
    <n v="37"/>
    <n v="63"/>
  </r>
  <r>
    <s v="Mozambique"/>
    <x v="4"/>
    <n v="31255.435549999998"/>
    <n v="37.073997499999997"/>
    <n v="63.369425630000002"/>
    <n v="9.9757845070000002"/>
    <n v="16.726145110000001"/>
    <n v="9.9286447590000009"/>
    <n v="48.8666865"/>
    <n v="12.64088359"/>
    <n v="23.686256400000001"/>
    <n v="14.80617352"/>
    <n v="87.98504792"/>
    <n v="5.4522910270000002"/>
    <n v="4.9126846439999996"/>
    <n v="1.649976404"/>
    <n v="16"/>
    <n v="11587.63939442111"/>
    <n v="62.926002500000003"/>
    <n v="32"/>
    <n v="63.369425630000002"/>
    <n v="37"/>
    <n v="63"/>
  </r>
  <r>
    <s v="Viet Nam"/>
    <x v="3"/>
    <n v="97338.585940000004"/>
    <n v="37.340000150000002"/>
    <n v="96.884356870000005"/>
    <n v="0"/>
    <n v="3.1156431260000002"/>
    <n v="0"/>
    <n v="95.514538439999995"/>
    <n v="0"/>
    <n v="4.4854615600000001"/>
    <n v="0"/>
    <n v="99.183040009999999"/>
    <n v="0"/>
    <n v="0.81695998700000005"/>
    <n v="0"/>
    <n v="16"/>
    <n v="36346.228136003883"/>
    <n v="62.659999849999998"/>
    <n v="98"/>
    <n v="96.884356870000005"/>
    <n v="37"/>
    <n v="63"/>
  </r>
  <r>
    <s v="Pakistan"/>
    <x v="3"/>
    <n v="220892.32810000001"/>
    <n v="37.165000919999997"/>
    <n v="90.148965079999996"/>
    <n v="3.8222795249999999"/>
    <n v="4.4133075740000001"/>
    <n v="1.61544782"/>
    <n v="88.599860759999999"/>
    <n v="3.852278117"/>
    <n v="5.1745965089999997"/>
    <n v="2.3732646169999998"/>
    <n v="92.768049849999997"/>
    <n v="3.7715611619999998"/>
    <n v="3.126184571"/>
    <n v="0.33420442230000003"/>
    <n v="16"/>
    <n v="82094.635770574416"/>
    <n v="62.834999080000003"/>
    <n v="221"/>
    <n v="90.148965079999996"/>
    <n v="37"/>
    <n v="63"/>
  </r>
  <r>
    <s v="Lao People's Democratic Republic"/>
    <x v="3"/>
    <n v="7275.5561520000001"/>
    <n v="36.290000919999997"/>
    <n v="85.219743179999995"/>
    <n v="3.566857739"/>
    <n v="10.62886799"/>
    <n v="0.58453109380000001"/>
    <n v="78.472959419999995"/>
    <n v="5.5985837859999998"/>
    <n v="15.010969599999999"/>
    <n v="0.91748719570000004"/>
    <n v="97.064262220000003"/>
    <n v="0"/>
    <n v="2.935737778"/>
    <n v="0"/>
    <n v="16"/>
    <n v="2640.2993944959167"/>
    <n v="63.709999080000003"/>
    <n v="8"/>
    <n v="85.219743179999995"/>
    <n v="36"/>
    <n v="64"/>
  </r>
  <r>
    <s v="Sudan"/>
    <x v="4"/>
    <n v="43849.269529999998"/>
    <n v="35.252998349999999"/>
    <n v="60.448675600000001"/>
    <n v="26.670019750000002"/>
    <n v="3.6502178750000001"/>
    <n v="9.2310867739999996"/>
    <n v="53.19902707"/>
    <n v="27.457644510000002"/>
    <n v="5.6376600080000001"/>
    <n v="13.70566842"/>
    <n v="73.763659559999994"/>
    <n v="25.223439859999999"/>
    <n v="0"/>
    <n v="1.012900581"/>
    <n v="16"/>
    <n v="15458.18226389795"/>
    <n v="64.747001650000001"/>
    <n v="44"/>
    <n v="60.448675600000001"/>
    <n v="35"/>
    <n v="65"/>
  </r>
  <r>
    <s v="United Republic of Tanzania"/>
    <x v="3"/>
    <n v="59734.214840000001"/>
    <n v="35.227001190000003"/>
    <n v="60.716797589999999"/>
    <n v="11.29007067"/>
    <n v="14.51775136"/>
    <n v="13.475380380000001"/>
    <n v="45.446965339999998"/>
    <n v="13.98368881"/>
    <n v="21.21996133"/>
    <n v="19.349384520000001"/>
    <n v="88.793924899999993"/>
    <n v="6.3372311659999996"/>
    <n v="2.1941787860000002"/>
    <n v="2.6746651520000002"/>
    <n v="16"/>
    <n v="21042.572572523957"/>
    <n v="64.77299880999999"/>
    <n v="60"/>
    <n v="60.716797589999999"/>
    <n v="35"/>
    <n v="65"/>
  </r>
  <r>
    <s v="India"/>
    <x v="3"/>
    <n v="1380004.375"/>
    <n v="34.926002500000003"/>
    <n v="90.489525029999996"/>
    <n v="4.9836025619999997"/>
    <n v="3.9631539450000002"/>
    <n v="0.56371846260000003"/>
    <n v="88.782503129999995"/>
    <n v="5.9022100540000002"/>
    <n v="4.5763757299999996"/>
    <n v="0.73891108559999996"/>
    <n v="93.670036300000007"/>
    <n v="3.2720560270000001"/>
    <n v="2.8206075230000001"/>
    <n v="0.2373001538"/>
    <n v="16"/>
    <n v="481980.3625126094"/>
    <n v="65.07399749999999"/>
    <n v="1381"/>
    <n v="90.489525029999996"/>
    <n v="35"/>
    <n v="65"/>
  </r>
  <r>
    <s v="Zimbabwe"/>
    <x v="3"/>
    <n v="14862.92676"/>
    <n v="32.242000580000003"/>
    <n v="62.666457610000002"/>
    <n v="14.1975397"/>
    <n v="16.277855450000001"/>
    <n v="6.8581472420000003"/>
    <n v="48.282428850000002"/>
    <n v="18.590984670000001"/>
    <n v="23.013646550000001"/>
    <n v="10.112939920000001"/>
    <n v="92.89512895"/>
    <n v="4.9645177570000003"/>
    <n v="2.1222986740000001"/>
    <n v="1.805461538E-2"/>
    <n v="16"/>
    <n v="4792.1049321641758"/>
    <n v="67.757999420000004"/>
    <n v="15"/>
    <n v="62.666457610000002"/>
    <n v="32"/>
    <n v="68"/>
  </r>
  <r>
    <s v="Barbados"/>
    <x v="1"/>
    <n v="287.37100220000002"/>
    <n v="31.190999980000001"/>
    <n v="98.514450420000003"/>
    <n v="0.26760057609999999"/>
    <n v="1.2179490049999999"/>
    <n v="0"/>
    <s v="NAN"/>
    <s v="NAN"/>
    <s v="NAN"/>
    <s v="NAN"/>
    <s v="NAN"/>
    <s v="NAN"/>
    <s v="NAN"/>
    <s v="NAN"/>
    <n v="16"/>
    <n v="89.633889238727804"/>
    <n v="68.809000019999999"/>
    <n v="1"/>
    <n v="98.514450420000003"/>
    <n v="31"/>
    <n v="69"/>
  </r>
  <r>
    <s v="Timor-Leste"/>
    <x v="3"/>
    <n v="1318.4420170000001"/>
    <n v="31.31999969"/>
    <n v="85.495601199999996"/>
    <n v="1.88586597"/>
    <n v="8.3600293969999999"/>
    <n v="4.2585034329999996"/>
    <n v="80.48779562"/>
    <n v="2.0493646750000001"/>
    <n v="11.26233968"/>
    <n v="6.2005000179999996"/>
    <n v="96.476957920000004"/>
    <n v="1.527338152"/>
    <n v="1.995703929"/>
    <n v="0"/>
    <n v="16"/>
    <n v="412.93603563722979"/>
    <n v="68.680000309999997"/>
    <n v="2"/>
    <n v="85.495601199999996"/>
    <n v="31"/>
    <n v="69"/>
  </r>
  <r>
    <s v="Burkina Faso"/>
    <x v="4"/>
    <n v="20903.277340000001"/>
    <n v="30.60700035"/>
    <n v="47.214854459999998"/>
    <n v="31.2730034"/>
    <n v="21.15863263"/>
    <n v="0.35350950240000001"/>
    <n v="32.718258900000002"/>
    <n v="38.626902540000003"/>
    <n v="28.3404457"/>
    <n v="0.31439286259999999"/>
    <n v="80.081918540000004"/>
    <n v="14.60004919"/>
    <n v="4.8758364869999999"/>
    <n v="0.44219578050000002"/>
    <n v="16"/>
    <n v="6397.8661686152709"/>
    <n v="69.392999650000007"/>
    <n v="21"/>
    <n v="47.214854459999998"/>
    <n v="31"/>
    <n v="69"/>
  </r>
  <r>
    <s v="Myanmar"/>
    <x v="3"/>
    <n v="54409.792970000002"/>
    <n v="31.14100075"/>
    <n v="83.718191910000002"/>
    <n v="1.595436949"/>
    <n v="5.1094247800000003"/>
    <n v="9.5769463619999993"/>
    <n v="78.422564690000002"/>
    <n v="2.3169621419999999"/>
    <n v="6.5923936940000001"/>
    <n v="12.66807947"/>
    <n v="95.427886060000006"/>
    <n v="0"/>
    <n v="1.8302830059999999"/>
    <n v="2.741830931"/>
    <n v="16"/>
    <n v="16943.754036861148"/>
    <n v="68.858999249999997"/>
    <n v="55"/>
    <n v="83.718191910000002"/>
    <n v="31"/>
    <n v="69"/>
  </r>
  <r>
    <s v="Lesotho"/>
    <x v="3"/>
    <n v="2142.251953"/>
    <n v="29.027999879999999"/>
    <n v="72.176039270000004"/>
    <n v="10.40592597"/>
    <n v="12.21725464"/>
    <n v="5.2007801159999998"/>
    <n v="63.650354819999997"/>
    <n v="13.55843013"/>
    <n v="15.73132479"/>
    <n v="7.0598902539999999"/>
    <n v="93.020908550000001"/>
    <n v="2.698211997"/>
    <n v="3.625530038"/>
    <n v="0.65534941999999996"/>
    <n v="16"/>
    <n v="621.85289434613765"/>
    <n v="70.972000120000004"/>
    <n v="3"/>
    <n v="72.176039270000004"/>
    <n v="29"/>
    <n v="71"/>
  </r>
  <r>
    <s v="Tajikistan"/>
    <x v="3"/>
    <n v="9537.6416019999997"/>
    <n v="27.505998609999999"/>
    <n v="81.852415019999995"/>
    <n v="2.5683639349999998"/>
    <n v="3.4218570050000001"/>
    <n v="12.157364039999999"/>
    <n v="76.643599199999997"/>
    <n v="3.2071439279999998"/>
    <n v="4.1407069480000001"/>
    <n v="16.00854992"/>
    <n v="95.580623860000003"/>
    <n v="0.88481447629999999"/>
    <n v="1.5272683229999999"/>
    <n v="2.0072933389999998"/>
    <n v="16"/>
    <n v="2623.4235664729017"/>
    <n v="72.494001389999994"/>
    <n v="10"/>
    <n v="81.852415019999995"/>
    <n v="28"/>
    <n v="72"/>
  </r>
  <r>
    <s v="Kenya"/>
    <x v="3"/>
    <n v="53771.300779999998"/>
    <n v="27.994998930000001"/>
    <n v="61.632891579999999"/>
    <n v="9.54187005"/>
    <n v="9.7800875240000007"/>
    <n v="19.045150840000002"/>
    <n v="51.779978929999999"/>
    <n v="11.569004189999999"/>
    <n v="12.519113219999999"/>
    <n v="24.131903659999999"/>
    <n v="86.975231449999995"/>
    <n v="4.327944725"/>
    <n v="2.7351426299999999"/>
    <n v="5.9616811930000004"/>
    <n v="16"/>
    <n v="15053.275078008082"/>
    <n v="72.005001069999992"/>
    <n v="54"/>
    <n v="61.632891579999999"/>
    <n v="28"/>
    <n v="72"/>
  </r>
  <r>
    <s v="Guyana"/>
    <x v="2"/>
    <n v="786.55902100000003"/>
    <n v="26.7859993"/>
    <n v="95.554806850000006"/>
    <n v="1.205244408"/>
    <n v="1.143069849"/>
    <n v="2.0968788969999999"/>
    <n v="93.928490499999995"/>
    <n v="1.6461938620000001"/>
    <n v="1.5612748329999999"/>
    <n v="2.864040809"/>
    <n v="100"/>
    <n v="0"/>
    <n v="0"/>
    <n v="0"/>
    <n v="16"/>
    <n v="210.68769385914686"/>
    <n v="73.2140007"/>
    <n v="1"/>
    <n v="95.554806850000006"/>
    <n v="27"/>
    <n v="73"/>
  </r>
  <r>
    <s v="Vanuatu"/>
    <x v="3"/>
    <n v="307.14999390000003"/>
    <n v="25.525001530000001"/>
    <n v="91.231190749999996"/>
    <n v="1.0623850500000001"/>
    <n v="0"/>
    <n v="7.706424202"/>
    <n v="88.397201229999993"/>
    <n v="1.255132675"/>
    <n v="0"/>
    <n v="10.3476661"/>
    <n v="99.5"/>
    <n v="0.5"/>
    <n v="0"/>
    <n v="0"/>
    <n v="16"/>
    <n v="78.400040642369916"/>
    <n v="74.474998470000003"/>
    <n v="1"/>
    <n v="91.231190749999996"/>
    <n v="26"/>
    <n v="74"/>
  </r>
  <r>
    <s v="Afghanistan"/>
    <x v="4"/>
    <n v="38928.339840000001"/>
    <n v="26.025999070000001"/>
    <n v="75.091413250000002"/>
    <n v="1.447541688"/>
    <n v="14.56026288"/>
    <n v="8.9007821739999997"/>
    <n v="66.32791521"/>
    <n v="1.9568248509999999"/>
    <n v="19.68294895"/>
    <n v="12.03231098"/>
    <n v="100"/>
    <n v="0"/>
    <n v="0"/>
    <n v="0"/>
    <n v="16"/>
    <n v="10131.489364724839"/>
    <n v="73.974000930000003"/>
    <n v="39"/>
    <n v="75.091413250000002"/>
    <n v="26"/>
    <n v="74"/>
  </r>
  <r>
    <s v="Solomon Islands"/>
    <x v="3"/>
    <n v="686.87799070000005"/>
    <n v="24.670000080000001"/>
    <n v="67.301025539999998"/>
    <n v="5.79547831"/>
    <n v="21.267843129999999"/>
    <n v="5.6356530249999999"/>
    <n v="59.40526749"/>
    <n v="6.5285236490000003"/>
    <n v="26.955911"/>
    <n v="7.1102978569999999"/>
    <n v="91.410776889999994"/>
    <n v="3.5571204249999999"/>
    <n v="3.8992861369999998"/>
    <n v="1.1328165530000001"/>
    <n v="16"/>
    <n v="169.45280085519241"/>
    <n v="75.329999920000006"/>
    <n v="1"/>
    <n v="67.301025539999998"/>
    <n v="25"/>
    <n v="75"/>
  </r>
  <r>
    <s v="Uganda"/>
    <x v="4"/>
    <n v="45741"/>
    <n v="24.95400047"/>
    <n v="55.855049209999997"/>
    <n v="27.282859999999999"/>
    <n v="12.16590654"/>
    <n v="4.6961842520000001"/>
    <n v="48.231189579999999"/>
    <n v="31.784694259999998"/>
    <n v="14.076160610000001"/>
    <n v="5.9079555460000002"/>
    <n v="78.782851800000003"/>
    <n v="13.74416783"/>
    <n v="6.4210441329999997"/>
    <n v="1.0519362379999999"/>
    <n v="16"/>
    <n v="11414.2093549827"/>
    <n v="75.045999530000003"/>
    <n v="46"/>
    <n v="55.855049209999997"/>
    <n v="25"/>
    <n v="75"/>
  </r>
  <r>
    <s v="Eswatini"/>
    <x v="3"/>
    <n v="1160.1639399999999"/>
    <n v="24.17100143"/>
    <n v="70.753070949999994"/>
    <n v="9.5070671630000003"/>
    <n v="9.8355679309999999"/>
    <n v="9.9042939590000003"/>
    <n v="62.466448739999997"/>
    <n v="12.29969513"/>
    <n v="12.45046093"/>
    <n v="12.78339519"/>
    <n v="96.749763049999999"/>
    <n v="0.74606447310000001"/>
    <n v="1.6321642439999999"/>
    <n v="0.8720082294"/>
    <n v="16"/>
    <n v="280.42324252774432"/>
    <n v="75.828998569999996"/>
    <n v="2"/>
    <n v="70.753070949999994"/>
    <n v="24"/>
    <n v="76"/>
  </r>
  <r>
    <s v="Chad"/>
    <x v="4"/>
    <n v="16425.859380000002"/>
    <n v="23.520000459999999"/>
    <n v="46.187534790000001"/>
    <n v="14.74028929"/>
    <n v="31.562457139999999"/>
    <n v="7.5097187840000004"/>
    <n v="37.575215249999999"/>
    <n v="14.35396111"/>
    <n v="38.524967609999997"/>
    <n v="9.5458560269999992"/>
    <n v="74.192223089999999"/>
    <n v="15.99651381"/>
    <n v="8.9224527210000009"/>
    <n v="0.88881038430000003"/>
    <n v="16"/>
    <n v="3863.3622017349535"/>
    <n v="76.479999539999994"/>
    <n v="17"/>
    <n v="46.187534790000001"/>
    <n v="24"/>
    <n v="76"/>
  </r>
  <r>
    <s v="Cambodia"/>
    <x v="3"/>
    <n v="16718.970700000002"/>
    <n v="24.23200035"/>
    <n v="71.219884969999995"/>
    <n v="13.90222204"/>
    <n v="5.6772185579999999"/>
    <n v="9.2006744339999997"/>
    <n v="65.067155830000004"/>
    <n v="15.51772278"/>
    <n v="7.4928993070000001"/>
    <n v="11.92222209"/>
    <n v="90.458077169999996"/>
    <n v="8.8509147200000005"/>
    <n v="0"/>
    <n v="0.69100811439999998"/>
    <n v="16"/>
    <n v="4051.3410385403977"/>
    <n v="75.767999650000007"/>
    <n v="17"/>
    <n v="71.219884969999995"/>
    <n v="24"/>
    <n v="76"/>
  </r>
  <r>
    <s v="Tonga"/>
    <x v="2"/>
    <n v="105.6969986"/>
    <n v="23.098999020000001"/>
    <n v="98.731080829999996"/>
    <n v="0.88149729619999995"/>
    <n v="0.38742187769999997"/>
    <n v="0"/>
    <n v="98.468078539999993"/>
    <n v="1.103159706"/>
    <n v="0.42876175509999997"/>
    <n v="0"/>
    <n v="99.606658190000005"/>
    <n v="0.143540536"/>
    <n v="0.2498012758"/>
    <n v="0"/>
    <n v="16"/>
    <n v="24.414948670783414"/>
    <n v="76.901000979999992"/>
    <n v="1"/>
    <n v="98.731080829999996"/>
    <n v="23"/>
    <n v="77"/>
  </r>
  <r>
    <s v="Ethiopia"/>
    <x v="4"/>
    <n v="114963.58590000001"/>
    <n v="21.69499969"/>
    <n v="49.615572739999998"/>
    <n v="26.740719639999998"/>
    <n v="18.635060129999999"/>
    <n v="5.0086474860000001"/>
    <n v="40.03013919"/>
    <n v="30.186683339999998"/>
    <n v="23.49561327"/>
    <n v="6.2875642029999996"/>
    <n v="84.212828160000001"/>
    <n v="14.30300858"/>
    <n v="1.0915823549999999"/>
    <n v="0.39258089600000001"/>
    <n v="16"/>
    <n v="24941.349604617884"/>
    <n v="78.305000309999997"/>
    <n v="115"/>
    <n v="49.615572739999998"/>
    <n v="22"/>
    <n v="78"/>
  </r>
  <r>
    <s v="Nepal"/>
    <x v="3"/>
    <n v="29136.808590000001"/>
    <n v="20.57600021"/>
    <n v="90.074541789999998"/>
    <n v="3.979825725"/>
    <n v="4.699081176"/>
    <n v="1.246551314"/>
    <n v="90.203271650000005"/>
    <n v="4.2073482459999996"/>
    <n v="4.2690239510000003"/>
    <n v="1.320356149"/>
    <n v="89.577633160000005"/>
    <n v="3.1015814110000002"/>
    <n v="6.359123168"/>
    <n v="0.96166225849999998"/>
    <n v="16"/>
    <n v="5995.1897966656979"/>
    <n v="79.423999789999996"/>
    <n v="30"/>
    <n v="90.074541789999998"/>
    <n v="21"/>
    <n v="79"/>
  </r>
  <r>
    <s v="South Sudan"/>
    <x v="4"/>
    <n v="11193.728520000001"/>
    <n v="20.198999400000002"/>
    <n v="40.95092717"/>
    <n v="37.426962869999997"/>
    <n v="13.537555190000001"/>
    <n v="8.0845547619999998"/>
    <n v="33.593628809999998"/>
    <n v="42.164380680000001"/>
    <n v="14.111096160000001"/>
    <n v="10.13089435"/>
    <n v="70.017704449999997"/>
    <n v="18.710660919999999"/>
    <n v="11.27163464"/>
    <n v="0"/>
    <n v="16"/>
    <n v="2261.0211565924292"/>
    <n v="79.801000599999995"/>
    <n v="12"/>
    <n v="40.95092717"/>
    <n v="20"/>
    <n v="80"/>
  </r>
  <r>
    <s v="Saint Lucia"/>
    <x v="2"/>
    <n v="183.62899780000001"/>
    <n v="18.8409996"/>
    <n v="96.887844569999999"/>
    <n v="1.815652166"/>
    <n v="1.296503269"/>
    <n v="0"/>
    <n v="96.814023829999996"/>
    <n v="1.7341522549999999"/>
    <n v="1.4518239180000001"/>
    <n v="0"/>
    <n v="97.205822190000006"/>
    <n v="2.166718886"/>
    <n v="0.6274589237"/>
    <n v="0"/>
    <n v="16"/>
    <n v="34.59753874098201"/>
    <n v="81.159000399999996"/>
    <n v="1"/>
    <n v="96.887844569999999"/>
    <n v="19"/>
    <n v="81"/>
  </r>
  <r>
    <s v="Sri Lanka"/>
    <x v="3"/>
    <n v="21413.25"/>
    <n v="18.71299934"/>
    <n v="92.227579370000001"/>
    <n v="0.59545814949999998"/>
    <n v="5.3489270639999997"/>
    <n v="1.82803542"/>
    <n v="90.537435700000003"/>
    <n v="0.70320990380000004"/>
    <n v="6.5104886119999996"/>
    <n v="2.2488657820000002"/>
    <n v="99.569380190000004"/>
    <n v="0.12739779009999999"/>
    <n v="0.3032220202"/>
    <n v="0"/>
    <n v="16"/>
    <n v="4007.0613311725501"/>
    <n v="81.287000660000004"/>
    <n v="22"/>
    <n v="92.227579370000001"/>
    <n v="19"/>
    <n v="81"/>
  </r>
  <r>
    <s v="Samoa"/>
    <x v="3"/>
    <n v="198.4100037"/>
    <n v="17.888999940000001"/>
    <n v="91.837724550000004"/>
    <n v="6.5208999519999997"/>
    <n v="1.4186234280000001"/>
    <n v="0.22275206789999999"/>
    <n v="91.780322870000006"/>
    <n v="6.2207033389999999"/>
    <n v="1.7276921599999999"/>
    <n v="0.2712816327"/>
    <n v="92.101190000000003"/>
    <n v="7.8988100000000001"/>
    <n v="0"/>
    <n v="0"/>
    <n v="16"/>
    <n v="35.493565442847007"/>
    <n v="82.111000059999995"/>
    <n v="1"/>
    <n v="91.837724550000004"/>
    <n v="18"/>
    <n v="82"/>
  </r>
  <r>
    <s v="Rwanda"/>
    <x v="4"/>
    <n v="12952.208979999999"/>
    <n v="17.432001110000002"/>
    <n v="60.41450115"/>
    <n v="22.3207193"/>
    <n v="13.15480415"/>
    <n v="4.1099754009999998"/>
    <n v="55.642468229999999"/>
    <n v="25.08014133"/>
    <n v="14.778867719999999"/>
    <n v="4.4985227139999999"/>
    <n v="83.017599300000001"/>
    <n v="9.2505062509999991"/>
    <n v="5.4623030569999997"/>
    <n v="2.2695913939999999"/>
    <n v="16"/>
    <n v="2257.8292131631197"/>
    <n v="82.567998889999998"/>
    <n v="13"/>
    <n v="60.41450115"/>
    <n v="17"/>
    <n v="83"/>
  </r>
  <r>
    <s v="Malawi"/>
    <x v="4"/>
    <n v="19129.95508"/>
    <n v="17.42700005"/>
    <n v="70.047728509999999"/>
    <n v="21.95081497"/>
    <n v="5.7763044069999996"/>
    <n v="2.2251521099999998"/>
    <n v="66.585043760000005"/>
    <n v="24.414158029999999"/>
    <n v="6.3838741460000001"/>
    <n v="2.6169240660000002"/>
    <n v="86.454698210000004"/>
    <n v="10.278948249999999"/>
    <n v="2.8975039960000002"/>
    <n v="0.36884954460000002"/>
    <n v="16"/>
    <n v="3333.7772813565775"/>
    <n v="82.572999949999996"/>
    <n v="20"/>
    <n v="70.047728509999999"/>
    <n v="17"/>
    <n v="83"/>
  </r>
  <r>
    <s v="Niger"/>
    <x v="4"/>
    <n v="24206.636719999999"/>
    <n v="16.625999449999998"/>
    <n v="46.911797470000003"/>
    <n v="21.653898699999999"/>
    <n v="27.027512439999999"/>
    <n v="4.4067913919999997"/>
    <n v="39.154159319999998"/>
    <n v="23.987740389999999"/>
    <n v="31.991506480000002"/>
    <n v="4.8665938129999997"/>
    <n v="85.813839759999993"/>
    <n v="9.9504408289999997"/>
    <n v="2.1346877800000001"/>
    <n v="2.1010316339999999"/>
    <n v="16"/>
    <n v="4024.5952879306974"/>
    <n v="83.374000550000005"/>
    <n v="25"/>
    <n v="46.911797470000003"/>
    <n v="17"/>
    <n v="83"/>
  </r>
  <r>
    <s v="Liechtenstein"/>
    <x v="1"/>
    <n v="38.137001040000001"/>
    <n v="14.416000370000001"/>
    <n v="100"/>
    <n v="0"/>
    <n v="0"/>
    <n v="0"/>
    <s v="NAN"/>
    <s v="NAN"/>
    <s v="NAN"/>
    <s v="NAN"/>
    <s v="NAN"/>
    <s v="NAN"/>
    <s v="NAN"/>
    <s v="NAN"/>
    <n v="16"/>
    <n v="5.4978302110333042"/>
    <n v="85.583999629999994"/>
    <n v="1"/>
    <n v="100"/>
    <n v="14"/>
    <n v="86"/>
  </r>
  <r>
    <s v="Burundi"/>
    <x v="4"/>
    <n v="11890.78125"/>
    <n v="13.708000180000001"/>
    <n v="62.207122249999998"/>
    <n v="19.439693139999999"/>
    <n v="14.758259689999999"/>
    <n v="3.5949249129999998"/>
    <n v="57.685765269999997"/>
    <n v="21.251482129999999"/>
    <n v="16.896752379999999"/>
    <n v="4.1660002189999998"/>
    <n v="90.669110860000004"/>
    <n v="8.0344628690000004"/>
    <n v="1.2964262689999999"/>
    <n v="0"/>
    <n v="16"/>
    <n v="1629.9883151534063"/>
    <n v="86.291999820000001"/>
    <n v="12"/>
    <n v="62.207122249999998"/>
    <n v="14"/>
    <n v="86"/>
  </r>
  <r>
    <s v="Papua New Guinea"/>
    <x v="3"/>
    <n v="8947.0273440000001"/>
    <n v="13.34500027"/>
    <n v="45.344017520000001"/>
    <n v="2.128564452"/>
    <n v="22.157624949999999"/>
    <n v="30.369793080000001"/>
    <n v="39.071343669999997"/>
    <n v="2.4298502929999999"/>
    <n v="24.431800859999999"/>
    <n v="34.067005170000002"/>
    <n v="86.075271639999997"/>
    <n v="0.17218226079999999"/>
    <n v="7.3903855639999998"/>
    <n v="6.3621605319999999"/>
    <n v="16"/>
    <n v="1193.9808232137736"/>
    <n v="86.65499973"/>
    <n v="9"/>
    <n v="45.344017520000001"/>
    <n v="13"/>
    <n v="87"/>
  </r>
  <r>
    <s v="Montserrat"/>
    <x v="0"/>
    <n v="4.9990000720000003"/>
    <n v="9.1149997710000008"/>
    <n v="98.077482619999998"/>
    <n v="0"/>
    <n v="1.922517378"/>
    <n v="0"/>
    <s v="NAN"/>
    <s v="NAN"/>
    <s v="NAN"/>
    <s v="NAN"/>
    <s v="NAN"/>
    <s v="NAN"/>
    <s v="NAN"/>
    <s v="NAN"/>
    <n v="16"/>
    <n v="0.45565884511508992"/>
    <n v="90.885000228999999"/>
    <n v="1"/>
    <n v="98.077482619999998"/>
    <n v="9"/>
    <n v="91"/>
  </r>
  <r>
    <s v="Tokelau"/>
    <x v="0"/>
    <n v="1.3500000240000001"/>
    <n v="0"/>
    <n v="99.707676649999996"/>
    <n v="0"/>
    <n v="0.29232334589999998"/>
    <n v="0"/>
    <n v="99.707676649999996"/>
    <n v="0"/>
    <n v="0.29232334589999998"/>
    <n v="0"/>
    <s v="NAN"/>
    <s v="NAN"/>
    <s v="NAN"/>
    <s v="NAN"/>
    <n v="16"/>
    <n v="0"/>
    <n v="100"/>
    <n v="1"/>
    <n v="99.707676649999996"/>
    <n v="0"/>
    <n v="100"/>
  </r>
  <r>
    <s v="Wallis and Futuna Islands"/>
    <x v="0"/>
    <n v="11.24600029"/>
    <n v="0"/>
    <n v="99.143287360000002"/>
    <n v="0"/>
    <n v="0.85671263900000005"/>
    <n v="0"/>
    <n v="99.143287360000002"/>
    <n v="0"/>
    <n v="0.85671263900000005"/>
    <n v="0"/>
    <s v="NAN"/>
    <s v="NAN"/>
    <s v="NAN"/>
    <s v="NAN"/>
    <n v="16"/>
    <n v="0"/>
    <n v="100"/>
    <n v="1"/>
    <n v="99.143287360000002"/>
    <n v="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Improved pivot table" cacheId="26" applyNumberFormats="0" applyBorderFormats="0" applyFontFormats="0" applyPatternFormats="0" applyAlignmentFormats="0" applyWidthHeightFormats="0" dataCaption="" updatedVersion="8" compact="0" compactData="0">
  <location ref="A1:H8" firstHeaderRow="1" firstDataRow="2" firstDataCol="1"/>
  <pivotFields count="23">
    <pivotField name="name" compact="0" outline="0" multipleItemSelectionAllowed="1" showAll="0"/>
    <pivotField name="income_group" axis="axisRow" compact="0" outline="0" multipleItemSelectionAllowed="1" showAll="0" sortType="ascending">
      <items count="6">
        <item x="0"/>
        <item x="4"/>
        <item x="3"/>
        <item x="2"/>
        <item x="1"/>
        <item t="default"/>
      </items>
    </pivotField>
    <pivotField name="pop_n" dataField="1" compact="0" outline="0" multipleItemSelectionAllowed="1" showAll="0"/>
    <pivotField name="pop_u" dataField="1" compact="0" outline="0" multipleItemSelectionAllowed="1" showAll="0"/>
    <pivotField name="wat_bas_n" dataField="1" compact="0" outline="0" multipleItemSelectionAllowed="1" showAll="0"/>
    <pivotField name="wat_lim_n" dataField="1" compact="0" outline="0" multipleItemSelectionAllowed="1" showAll="0"/>
    <pivotField name="wat_unimp_n" dataField="1" compact="0" outline="0" multipleItemSelectionAllowed="1" showAll="0"/>
    <pivotField name="wat_sur_n" dataField="1" compact="0" outline="0" multipleItemSelectionAllowed="1" showAll="0"/>
    <pivotField name="wat_bas_r" compact="0" outline="0" multipleItemSelectionAllowed="1" showAll="0"/>
    <pivotField name="wat_lim_r" compact="0" outline="0" multipleItemSelectionAllowed="1" showAll="0"/>
    <pivotField name="wat_unimp_r" compact="0" outline="0" multipleItemSelectionAllowed="1" showAll="0"/>
    <pivotField name="wat_sur_r" compact="0" outline="0" multipleItemSelectionAllowed="1" showAll="0"/>
    <pivotField name="wat_bas_u" compact="0" outline="0" multipleItemSelectionAllowed="1" showAll="0"/>
    <pivotField name="wat_lim_u" compact="0" outline="0" multipleItemSelectionAllowed="1" showAll="0"/>
    <pivotField name="wat_unimp_u" compact="0" outline="0" multipleItemSelectionAllowed="1" showAll="0"/>
    <pivotField name="wat_sur_u" compact="0" outline="0" multipleItemSelectionAllowed="1" showAll="0"/>
    <pivotField name="Value_Nt" compact="0" outline="0" multipleItemSelectionAllowed="1" showAll="0"/>
    <pivotField name="pop_u_val" compact="0" outline="0" multipleItemSelectionAllowed="1" showAll="0"/>
    <pivotField name="pop_r" dataField="1" compact="0" outline="0" multipleItemSelectionAllowed="1" showAll="0"/>
    <pivotField name="pop_u(m)" compact="0" outline="0" multipleItemSelectionAllowed="1" showAll="0"/>
    <pivotField name="wat_bas_n(rounded)" compact="0" outline="0" multipleItemSelectionAllowed="1" showAll="0"/>
    <pivotField name="pop_u(rounded)" compact="0" outline="0" multipleItemSelectionAllowed="1" showAll="0"/>
    <pivotField name="pop_r(rounded)" compact="0" outline="0" multipleItemSelectionAllowe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National Population" fld="2" baseField="0"/>
    <dataField name="Urban Population" fld="3" baseField="0"/>
    <dataField name="AVERAGE of wat_bas_n" fld="4" subtotal="average" baseField="0"/>
    <dataField name="AVERAGE of wat_lim_n" fld="5" subtotal="average" baseField="0"/>
    <dataField name="AVERAGE of wat_unimp_n" fld="6" subtotal="average" baseField="0"/>
    <dataField name="AVERAGE of wat_sur_n" fld="7" subtotal="average" baseField="0"/>
    <dataField name="Rural Population" fld="1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 Table 2" cacheId="22" applyNumberFormats="0" applyBorderFormats="0" applyFontFormats="0" applyPatternFormats="0" applyAlignmentFormats="0" applyWidthHeightFormats="0" dataCaption="" updatedVersion="8" compact="0" compactData="0">
  <location ref="A1:G8" firstHeaderRow="1" firstDataRow="2" firstDataCol="1"/>
  <pivotFields count="23">
    <pivotField name="Name" compact="0" outline="0" multipleItemSelectionAllowed="1" showAll="0"/>
    <pivotField name="income_group" axis="axisRow" compact="0" outline="0" multipleItemSelectionAllowed="1" showAll="0" sortType="ascending">
      <items count="6">
        <item x="1"/>
        <item x="4"/>
        <item x="3"/>
        <item x="0"/>
        <item x="2"/>
        <item t="default"/>
      </items>
    </pivotField>
    <pivotField name="pop_n" dataField="1" compact="0" outline="0" multipleItemSelectionAllowed="1" showAll="0"/>
    <pivotField name="pop_u" dataField="1" compact="0" outline="0" multipleItemSelectionAllowed="1" showAll="0"/>
    <pivotField name="wat_bas_n" dataField="1" compact="0" outline="0" multipleItemSelectionAllowed="1" showAll="0"/>
    <pivotField name="wat_lim_n" dataField="1" compact="0" outline="0" multipleItemSelectionAllowed="1" showAll="0"/>
    <pivotField name="wat_unimp_n" dataField="1" compact="0" outline="0" multipleItemSelectionAllowed="1" showAll="0"/>
    <pivotField name="wat_sur_n" dataField="1" compact="0" outline="0" multipleItemSelectionAllowed="1" showAll="0"/>
    <pivotField name="wat_bas_r" compact="0" outline="0" multipleItemSelectionAllowed="1" showAll="0"/>
    <pivotField name="wat_lim_r" compact="0" outline="0" multipleItemSelectionAllowed="1" showAll="0"/>
    <pivotField name="wat_unimp_r" compact="0" outline="0" multipleItemSelectionAllowed="1" showAll="0"/>
    <pivotField name="wat_sur_r" compact="0" outline="0" multipleItemSelectionAllowed="1" showAll="0"/>
    <pivotField name="wat_bas_u" compact="0" outline="0" multipleItemSelectionAllowed="1" showAll="0"/>
    <pivotField name="wat_lim_u" compact="0" outline="0" multipleItemSelectionAllowed="1" showAll="0"/>
    <pivotField name="wat_unimp_u" compact="0" outline="0" multipleItemSelectionAllowed="1" showAll="0"/>
    <pivotField name="wat_sur_u" compact="0" outline="0" multipleItemSelectionAllowed="1" showAll="0"/>
    <pivotField name="Value_Nt" compact="0" outline="0" multipleItemSelectionAllowed="1" showAll="0"/>
    <pivotField name="pop_u_val" compact="0" outline="0" multipleItemSelectionAllowed="1" showAll="0"/>
    <pivotField name="pop_r" compact="0" outline="0" multipleItemSelectionAllowed="1" showAll="0"/>
    <pivotField name="pop_u(m)" compact="0" outline="0" multipleItemSelectionAllowed="1" showAll="0"/>
    <pivotField name="wat_bas_n(rounded)" compact="0" outline="0" multipleItemSelectionAllowed="1" showAll="0"/>
    <pivotField name="pop_u(rounded)" compact="0" outline="0" multipleItemSelectionAllowed="1" showAll="0"/>
    <pivotField name="pop_r(rounded)" compact="0" outline="0" multipleItemSelectionAllowe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pop_n" fld="2" subtotal="average" baseField="1" baseItem="0"/>
    <dataField name="Average of pop_u" fld="3" subtotal="average" baseField="1" baseItem="0"/>
    <dataField name="AVERAGE of wat_bas_n" fld="4" subtotal="average" baseField="0"/>
    <dataField name="AVERAGE of wat_lim_n" fld="5" subtotal="average" baseField="0"/>
    <dataField name="AVERAGE of wat_unimp_n" fld="6" subtotal="average" baseField="0"/>
    <dataField name="AVERAGE of wat_sur_n" fld="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 Table 2 2" cacheId="22" applyNumberFormats="0" applyBorderFormats="0" applyFontFormats="0" applyPatternFormats="0" applyAlignmentFormats="0" applyWidthHeightFormats="0" dataCaption="" updatedVersion="8" compact="0" compactData="0">
  <location ref="A11:G17" firstHeaderRow="1" firstDataRow="2" firstDataCol="1"/>
  <pivotFields count="23">
    <pivotField name="Name" compact="0" outline="0" multipleItemSelectionAllowed="1" showAll="0"/>
    <pivotField name="income_group" axis="axisRow" compact="0" outline="0" multipleItemSelectionAllowed="1" showAll="0" sortType="ascending">
      <items count="6">
        <item x="1"/>
        <item x="4"/>
        <item x="3"/>
        <item h="1" x="0"/>
        <item x="2"/>
        <item t="default"/>
      </items>
    </pivotField>
    <pivotField name="pop_n" dataField="1" compact="0" outline="0" multipleItemSelectionAllowed="1" showAll="0"/>
    <pivotField name="pop_u" dataField="1" compact="0" outline="0" multipleItemSelectionAllowed="1" showAll="0"/>
    <pivotField name="wat_bas_n" dataField="1" compact="0" outline="0" multipleItemSelectionAllowed="1" showAll="0"/>
    <pivotField name="wat_lim_n" dataField="1" compact="0" outline="0" multipleItemSelectionAllowed="1" showAll="0"/>
    <pivotField name="wat_unimp_n" dataField="1" compact="0" outline="0" multipleItemSelectionAllowed="1" showAll="0"/>
    <pivotField name="wat_sur_n" dataField="1" compact="0" outline="0" multipleItemSelectionAllowed="1" showAll="0"/>
    <pivotField name="wat_bas_r" compact="0" outline="0" multipleItemSelectionAllowed="1" showAll="0"/>
    <pivotField name="wat_lim_r" compact="0" outline="0" multipleItemSelectionAllowed="1" showAll="0"/>
    <pivotField name="wat_unimp_r" compact="0" outline="0" multipleItemSelectionAllowed="1" showAll="0"/>
    <pivotField name="wat_sur_r" compact="0" outline="0" multipleItemSelectionAllowed="1" showAll="0"/>
    <pivotField name="wat_bas_u" compact="0" outline="0" multipleItemSelectionAllowed="1" showAll="0"/>
    <pivotField name="wat_lim_u" compact="0" outline="0" multipleItemSelectionAllowed="1" showAll="0"/>
    <pivotField name="wat_unimp_u" compact="0" outline="0" multipleItemSelectionAllowed="1" showAll="0"/>
    <pivotField name="wat_sur_u" compact="0" outline="0" multipleItemSelectionAllowed="1" showAll="0"/>
    <pivotField name="Value_Nt" compact="0" outline="0" multipleItemSelectionAllowed="1" showAll="0"/>
    <pivotField name="pop_u_val" compact="0" outline="0" multipleItemSelectionAllowed="1" showAll="0"/>
    <pivotField name="pop_r" compact="0" outline="0" multipleItemSelectionAllowed="1" showAll="0"/>
    <pivotField name="pop_u(m)" compact="0" outline="0" multipleItemSelectionAllowed="1" showAll="0"/>
    <pivotField name="wat_bas_n(rounded)" compact="0" outline="0" multipleItemSelectionAllowed="1" showAll="0"/>
    <pivotField name="pop_u(rounded)" compact="0" outline="0" multipleItemSelectionAllowed="1" showAll="0"/>
    <pivotField name="pop_r(rounded)" compact="0" outline="0" multipleItemSelectionAllowed="1" showAll="0"/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National Population" fld="2" baseField="0"/>
    <dataField name="Total Urban Population" fld="3" baseField="0"/>
    <dataField name="Average Basic Water Access(National)" fld="4" subtotal="average" baseField="0"/>
    <dataField name="Average Limited Water Access(National)" fld="5" subtotal="average" baseField="0"/>
    <dataField name="Average unimproved Water Access(National)" fld="6" subtotal="average" baseField="0"/>
    <dataField name="Average Surface Water Access(National)" fld="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W50">
  <tableColumns count="23">
    <tableColumn id="1" xr3:uid="{00000000-0010-0000-0000-000001000000}" name="name"/>
    <tableColumn id="2" xr3:uid="{00000000-0010-0000-0000-000002000000}" name="income_group"/>
    <tableColumn id="3" xr3:uid="{00000000-0010-0000-0000-000003000000}" name="pop_n"/>
    <tableColumn id="4" xr3:uid="{00000000-0010-0000-0000-000004000000}" name="pop_u"/>
    <tableColumn id="5" xr3:uid="{00000000-0010-0000-0000-000005000000}" name="wat_bas_n"/>
    <tableColumn id="6" xr3:uid="{00000000-0010-0000-0000-000006000000}" name="wat_lim_n"/>
    <tableColumn id="7" xr3:uid="{00000000-0010-0000-0000-000007000000}" name="wat_unimp_n"/>
    <tableColumn id="8" xr3:uid="{00000000-0010-0000-0000-000008000000}" name="wat_sur_n"/>
    <tableColumn id="9" xr3:uid="{00000000-0010-0000-0000-000009000000}" name="wat_bas_r"/>
    <tableColumn id="10" xr3:uid="{00000000-0010-0000-0000-00000A000000}" name="wat_lim_r"/>
    <tableColumn id="11" xr3:uid="{00000000-0010-0000-0000-00000B000000}" name="wat_unimp_r"/>
    <tableColumn id="12" xr3:uid="{00000000-0010-0000-0000-00000C000000}" name="wat_sur_r"/>
    <tableColumn id="13" xr3:uid="{00000000-0010-0000-0000-00000D000000}" name="wat_bas_u"/>
    <tableColumn id="14" xr3:uid="{00000000-0010-0000-0000-00000E000000}" name="wat_lim_u"/>
    <tableColumn id="15" xr3:uid="{00000000-0010-0000-0000-00000F000000}" name="wat_unimp_u"/>
    <tableColumn id="16" xr3:uid="{00000000-0010-0000-0000-000010000000}" name="wat_sur_u"/>
    <tableColumn id="17" xr3:uid="{00000000-0010-0000-0000-000011000000}" name="Value_Nt"/>
    <tableColumn id="18" xr3:uid="{00000000-0010-0000-0000-000012000000}" name="pop_u_val"/>
    <tableColumn id="19" xr3:uid="{00000000-0010-0000-0000-000013000000}" name="pop_r"/>
    <tableColumn id="20" xr3:uid="{00000000-0010-0000-0000-000014000000}" name="pop_u(m)"/>
    <tableColumn id="21" xr3:uid="{00000000-0010-0000-0000-000015000000}" name="wat_bas_n(rounded)"/>
    <tableColumn id="22" xr3:uid="{00000000-0010-0000-0000-000016000000}" name="pop_u(rounded)"/>
    <tableColumn id="23" xr3:uid="{00000000-0010-0000-0000-000017000000}" name="pop_r(rounded)"/>
  </tableColumns>
  <tableStyleInfo name="Detail1-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214"/>
  <sheetViews>
    <sheetView workbookViewId="0"/>
  </sheetViews>
  <sheetFormatPr defaultColWidth="12.6328125" defaultRowHeight="15.75" customHeight="1"/>
  <sheetData>
    <row r="1" spans="1:23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25</v>
      </c>
      <c r="W1" s="1" t="s">
        <v>26</v>
      </c>
    </row>
    <row r="2" spans="1:23" ht="15.75" customHeight="1">
      <c r="A2" s="1" t="s">
        <v>27</v>
      </c>
      <c r="B2" s="1">
        <v>0</v>
      </c>
      <c r="C2" s="1">
        <v>9.8849999999999998</v>
      </c>
      <c r="D2" s="1">
        <v>100</v>
      </c>
      <c r="E2" s="1">
        <v>100</v>
      </c>
      <c r="F2" s="1">
        <v>0</v>
      </c>
      <c r="G2" s="1">
        <v>0</v>
      </c>
      <c r="H2" s="1">
        <v>0</v>
      </c>
      <c r="I2" s="1" t="s">
        <v>29</v>
      </c>
      <c r="J2" s="1" t="s">
        <v>29</v>
      </c>
      <c r="K2" s="1" t="s">
        <v>29</v>
      </c>
      <c r="L2" s="1" t="s">
        <v>29</v>
      </c>
      <c r="M2" s="1">
        <v>100</v>
      </c>
      <c r="N2" s="1">
        <v>0</v>
      </c>
      <c r="O2" s="1">
        <v>0</v>
      </c>
      <c r="P2" s="1">
        <v>0</v>
      </c>
      <c r="Q2" s="1">
        <f t="shared" ref="Q2:Q214" si="0">COUNTA(A2:P2)</f>
        <v>16</v>
      </c>
      <c r="R2" s="1">
        <f t="shared" ref="R2:R214" si="1">((D2/100)*C2)</f>
        <v>9.8849999999999998</v>
      </c>
      <c r="S2" s="1">
        <f t="shared" ref="S2:S214" si="2">(100-D2)</f>
        <v>0</v>
      </c>
      <c r="T2" s="1">
        <f t="shared" ref="T2:T214" si="3">ROUNDUP(((C2*1000)/1000000),0)</f>
        <v>1</v>
      </c>
      <c r="U2" s="1">
        <v>100</v>
      </c>
      <c r="V2" s="1">
        <f t="shared" ref="V2:V214" si="4">ROUND(D2,0)</f>
        <v>100</v>
      </c>
      <c r="W2" s="1">
        <f t="shared" ref="W2:W214" si="5">ROUND(S2,0)</f>
        <v>0</v>
      </c>
    </row>
    <row r="3" spans="1:23" ht="15.75" customHeight="1">
      <c r="A3" s="1" t="s">
        <v>37</v>
      </c>
      <c r="B3" s="1">
        <v>4</v>
      </c>
      <c r="C3" s="1">
        <v>10.833999629999999</v>
      </c>
      <c r="D3" s="1">
        <v>100</v>
      </c>
      <c r="E3" s="1">
        <v>100</v>
      </c>
      <c r="F3" s="1">
        <v>0</v>
      </c>
      <c r="G3" s="1">
        <v>0</v>
      </c>
      <c r="H3" s="1">
        <v>0</v>
      </c>
      <c r="I3" s="1" t="s">
        <v>29</v>
      </c>
      <c r="J3" s="1" t="s">
        <v>29</v>
      </c>
      <c r="K3" s="1" t="s">
        <v>29</v>
      </c>
      <c r="L3" s="1" t="s">
        <v>29</v>
      </c>
      <c r="M3" s="1">
        <v>100</v>
      </c>
      <c r="N3" s="1">
        <v>0</v>
      </c>
      <c r="O3" s="1">
        <v>0</v>
      </c>
      <c r="P3" s="1">
        <v>0</v>
      </c>
      <c r="Q3" s="1">
        <f t="shared" si="0"/>
        <v>16</v>
      </c>
      <c r="R3" s="1">
        <f t="shared" si="1"/>
        <v>10.833999629999999</v>
      </c>
      <c r="S3" s="1">
        <f t="shared" si="2"/>
        <v>0</v>
      </c>
      <c r="T3" s="1">
        <f t="shared" si="3"/>
        <v>1</v>
      </c>
      <c r="U3" s="1">
        <v>100</v>
      </c>
      <c r="V3" s="1">
        <f t="shared" si="4"/>
        <v>100</v>
      </c>
      <c r="W3" s="1">
        <f t="shared" si="5"/>
        <v>0</v>
      </c>
    </row>
    <row r="4" spans="1:23" ht="15.75" customHeight="1">
      <c r="A4" s="1" t="s">
        <v>40</v>
      </c>
      <c r="B4" s="1">
        <v>4</v>
      </c>
      <c r="C4" s="1">
        <v>33.691001890000003</v>
      </c>
      <c r="D4" s="1">
        <v>100</v>
      </c>
      <c r="E4" s="1">
        <v>100</v>
      </c>
      <c r="F4" s="1">
        <v>0</v>
      </c>
      <c r="G4" s="1">
        <v>0</v>
      </c>
      <c r="H4" s="1">
        <v>0</v>
      </c>
      <c r="I4" s="1" t="s">
        <v>29</v>
      </c>
      <c r="J4" s="1" t="s">
        <v>29</v>
      </c>
      <c r="K4" s="1" t="s">
        <v>29</v>
      </c>
      <c r="L4" s="1" t="s">
        <v>29</v>
      </c>
      <c r="M4" s="1">
        <v>100</v>
      </c>
      <c r="N4" s="1">
        <v>0</v>
      </c>
      <c r="O4" s="1">
        <v>0</v>
      </c>
      <c r="P4" s="1">
        <v>0</v>
      </c>
      <c r="Q4" s="1">
        <f t="shared" si="0"/>
        <v>16</v>
      </c>
      <c r="R4" s="1">
        <f t="shared" si="1"/>
        <v>33.691001890000003</v>
      </c>
      <c r="S4" s="1">
        <f t="shared" si="2"/>
        <v>0</v>
      </c>
      <c r="T4" s="1">
        <f t="shared" si="3"/>
        <v>1</v>
      </c>
      <c r="U4" s="1">
        <v>100</v>
      </c>
      <c r="V4" s="1">
        <f t="shared" si="4"/>
        <v>100</v>
      </c>
      <c r="W4" s="1">
        <f t="shared" si="5"/>
        <v>0</v>
      </c>
    </row>
    <row r="5" spans="1:23" ht="15.75" customHeight="1">
      <c r="A5" s="1" t="s">
        <v>43</v>
      </c>
      <c r="B5" s="1">
        <v>4</v>
      </c>
      <c r="C5" s="1">
        <v>38.658999999999999</v>
      </c>
      <c r="D5" s="1">
        <v>100</v>
      </c>
      <c r="E5" s="1">
        <v>99.999271390000004</v>
      </c>
      <c r="F5" s="1">
        <v>0</v>
      </c>
      <c r="G5" s="1">
        <v>7.2861055070000001E-4</v>
      </c>
      <c r="H5" s="1">
        <v>0</v>
      </c>
      <c r="I5" s="1" t="s">
        <v>29</v>
      </c>
      <c r="J5" s="1" t="s">
        <v>29</v>
      </c>
      <c r="K5" s="1" t="s">
        <v>29</v>
      </c>
      <c r="L5" s="1" t="s">
        <v>29</v>
      </c>
      <c r="M5" s="1">
        <v>99.999271390000004</v>
      </c>
      <c r="N5" s="1">
        <v>0</v>
      </c>
      <c r="O5" s="1">
        <v>7.2861055070000001E-4</v>
      </c>
      <c r="P5" s="1">
        <v>0</v>
      </c>
      <c r="Q5" s="1">
        <f t="shared" si="0"/>
        <v>16</v>
      </c>
      <c r="R5" s="1">
        <f t="shared" si="1"/>
        <v>38.658999999999999</v>
      </c>
      <c r="S5" s="1">
        <f t="shared" si="2"/>
        <v>0</v>
      </c>
      <c r="T5" s="1">
        <f t="shared" si="3"/>
        <v>1</v>
      </c>
      <c r="U5" s="1">
        <v>99.999271390000004</v>
      </c>
      <c r="V5" s="1">
        <f t="shared" si="4"/>
        <v>100</v>
      </c>
      <c r="W5" s="1">
        <f t="shared" si="5"/>
        <v>0</v>
      </c>
    </row>
    <row r="6" spans="1:23" ht="15.75" customHeight="1">
      <c r="A6" s="1" t="s">
        <v>45</v>
      </c>
      <c r="B6" s="1">
        <v>4</v>
      </c>
      <c r="C6" s="1">
        <v>39.243999479999999</v>
      </c>
      <c r="D6" s="1">
        <v>100</v>
      </c>
      <c r="E6" s="1">
        <v>100</v>
      </c>
      <c r="F6" s="1">
        <v>0</v>
      </c>
      <c r="G6" s="1">
        <v>0</v>
      </c>
      <c r="H6" s="1">
        <v>0</v>
      </c>
      <c r="I6" s="1" t="s">
        <v>29</v>
      </c>
      <c r="J6" s="1" t="s">
        <v>29</v>
      </c>
      <c r="K6" s="1" t="s">
        <v>29</v>
      </c>
      <c r="L6" s="1" t="s">
        <v>29</v>
      </c>
      <c r="M6" s="1">
        <v>100</v>
      </c>
      <c r="N6" s="1">
        <v>0</v>
      </c>
      <c r="O6" s="1">
        <v>0</v>
      </c>
      <c r="P6" s="1">
        <v>0</v>
      </c>
      <c r="Q6" s="1">
        <f t="shared" si="0"/>
        <v>16</v>
      </c>
      <c r="R6" s="1">
        <f t="shared" si="1"/>
        <v>39.243999479999999</v>
      </c>
      <c r="S6" s="1">
        <f t="shared" si="2"/>
        <v>0</v>
      </c>
      <c r="T6" s="1">
        <f t="shared" si="3"/>
        <v>1</v>
      </c>
      <c r="U6" s="1">
        <v>100</v>
      </c>
      <c r="V6" s="1">
        <f t="shared" si="4"/>
        <v>100</v>
      </c>
      <c r="W6" s="1">
        <f t="shared" si="5"/>
        <v>0</v>
      </c>
    </row>
    <row r="7" spans="1:23" ht="15.75" customHeight="1">
      <c r="A7" s="1" t="s">
        <v>47</v>
      </c>
      <c r="B7" s="1">
        <v>4</v>
      </c>
      <c r="C7" s="1">
        <v>62.272998809999997</v>
      </c>
      <c r="D7" s="1">
        <v>100</v>
      </c>
      <c r="E7" s="1">
        <v>99.903140019999995</v>
      </c>
      <c r="F7" s="1">
        <v>0</v>
      </c>
      <c r="G7" s="1">
        <v>9.6859982940000006E-2</v>
      </c>
      <c r="H7" s="1">
        <v>0</v>
      </c>
      <c r="I7" s="1" t="s">
        <v>29</v>
      </c>
      <c r="J7" s="1" t="s">
        <v>29</v>
      </c>
      <c r="K7" s="1" t="s">
        <v>29</v>
      </c>
      <c r="L7" s="1" t="s">
        <v>29</v>
      </c>
      <c r="M7" s="1">
        <v>99.903140019999995</v>
      </c>
      <c r="N7" s="1">
        <v>0</v>
      </c>
      <c r="O7" s="1">
        <v>9.6859982940000006E-2</v>
      </c>
      <c r="P7" s="1">
        <v>0</v>
      </c>
      <c r="Q7" s="1">
        <f t="shared" si="0"/>
        <v>16</v>
      </c>
      <c r="R7" s="1">
        <f t="shared" si="1"/>
        <v>62.272998809999997</v>
      </c>
      <c r="S7" s="1">
        <f t="shared" si="2"/>
        <v>0</v>
      </c>
      <c r="T7" s="1">
        <f t="shared" si="3"/>
        <v>1</v>
      </c>
      <c r="U7" s="1">
        <v>99.903140019999995</v>
      </c>
      <c r="V7" s="1">
        <f t="shared" si="4"/>
        <v>100</v>
      </c>
      <c r="W7" s="1">
        <f t="shared" si="5"/>
        <v>0</v>
      </c>
    </row>
    <row r="8" spans="1:23" ht="15.75" customHeight="1">
      <c r="A8" s="1" t="s">
        <v>54</v>
      </c>
      <c r="B8" s="1">
        <v>4</v>
      </c>
      <c r="C8" s="1">
        <v>649.34198000000004</v>
      </c>
      <c r="D8" s="1">
        <v>100</v>
      </c>
      <c r="E8" s="1">
        <v>100</v>
      </c>
      <c r="F8" s="1">
        <v>0</v>
      </c>
      <c r="G8" s="1">
        <v>0</v>
      </c>
      <c r="H8" s="1">
        <v>0</v>
      </c>
      <c r="I8" s="1" t="s">
        <v>29</v>
      </c>
      <c r="J8" s="1" t="s">
        <v>29</v>
      </c>
      <c r="K8" s="1" t="s">
        <v>29</v>
      </c>
      <c r="L8" s="1" t="s">
        <v>29</v>
      </c>
      <c r="M8" s="1">
        <v>100</v>
      </c>
      <c r="N8" s="1">
        <v>0</v>
      </c>
      <c r="O8" s="1">
        <v>0</v>
      </c>
      <c r="P8" s="1">
        <v>0</v>
      </c>
      <c r="Q8" s="1">
        <f t="shared" si="0"/>
        <v>16</v>
      </c>
      <c r="R8" s="1">
        <f t="shared" si="1"/>
        <v>649.34198000000004</v>
      </c>
      <c r="S8" s="1">
        <f t="shared" si="2"/>
        <v>0</v>
      </c>
      <c r="T8" s="1">
        <f t="shared" si="3"/>
        <v>1</v>
      </c>
      <c r="U8" s="1">
        <v>100</v>
      </c>
      <c r="V8" s="1">
        <f t="shared" si="4"/>
        <v>100</v>
      </c>
      <c r="W8" s="1">
        <f t="shared" si="5"/>
        <v>0</v>
      </c>
    </row>
    <row r="9" spans="1:23" ht="15.75" customHeight="1">
      <c r="A9" s="1" t="s">
        <v>60</v>
      </c>
      <c r="B9" s="1">
        <v>0</v>
      </c>
      <c r="C9" s="1">
        <v>895.30798340000001</v>
      </c>
      <c r="D9" s="1">
        <v>99.659004210000006</v>
      </c>
      <c r="E9" s="1">
        <v>100</v>
      </c>
      <c r="F9" s="1">
        <v>0</v>
      </c>
      <c r="G9" s="1">
        <v>0</v>
      </c>
      <c r="H9" s="1">
        <v>0</v>
      </c>
      <c r="I9" s="1" t="s">
        <v>29</v>
      </c>
      <c r="J9" s="1" t="s">
        <v>29</v>
      </c>
      <c r="K9" s="1" t="s">
        <v>29</v>
      </c>
      <c r="L9" s="1" t="s">
        <v>29</v>
      </c>
      <c r="M9" s="1" t="s">
        <v>29</v>
      </c>
      <c r="N9" s="1" t="s">
        <v>29</v>
      </c>
      <c r="O9" s="1" t="s">
        <v>29</v>
      </c>
      <c r="P9" s="1" t="s">
        <v>29</v>
      </c>
      <c r="Q9" s="1">
        <f t="shared" si="0"/>
        <v>16</v>
      </c>
      <c r="R9" s="1">
        <f t="shared" si="1"/>
        <v>892.25502086907215</v>
      </c>
      <c r="S9" s="1">
        <f t="shared" si="2"/>
        <v>0.3409957899999938</v>
      </c>
      <c r="T9" s="1">
        <f t="shared" si="3"/>
        <v>1</v>
      </c>
      <c r="U9" s="1">
        <v>100</v>
      </c>
      <c r="V9" s="1">
        <f t="shared" si="4"/>
        <v>100</v>
      </c>
      <c r="W9" s="1">
        <f t="shared" si="5"/>
        <v>0</v>
      </c>
    </row>
    <row r="10" spans="1:23" ht="15.75" customHeight="1">
      <c r="A10" s="1" t="s">
        <v>64</v>
      </c>
      <c r="B10" s="1">
        <v>4</v>
      </c>
      <c r="C10" s="1">
        <v>4270.5629879999997</v>
      </c>
      <c r="D10" s="1">
        <v>100</v>
      </c>
      <c r="E10" s="1">
        <v>100</v>
      </c>
      <c r="F10" s="1">
        <v>0</v>
      </c>
      <c r="G10" s="1">
        <v>0</v>
      </c>
      <c r="H10" s="1">
        <v>0</v>
      </c>
      <c r="I10" s="1" t="s">
        <v>29</v>
      </c>
      <c r="J10" s="1" t="s">
        <v>29</v>
      </c>
      <c r="K10" s="1" t="s">
        <v>29</v>
      </c>
      <c r="L10" s="1" t="s">
        <v>29</v>
      </c>
      <c r="M10" s="1" t="s">
        <v>29</v>
      </c>
      <c r="N10" s="1" t="s">
        <v>29</v>
      </c>
      <c r="O10" s="1" t="s">
        <v>29</v>
      </c>
      <c r="P10" s="1" t="s">
        <v>29</v>
      </c>
      <c r="Q10" s="1">
        <f t="shared" si="0"/>
        <v>16</v>
      </c>
      <c r="R10" s="1">
        <f t="shared" si="1"/>
        <v>4270.5629879999997</v>
      </c>
      <c r="S10" s="1">
        <f t="shared" si="2"/>
        <v>0</v>
      </c>
      <c r="T10" s="1">
        <f t="shared" si="3"/>
        <v>5</v>
      </c>
      <c r="U10" s="1">
        <v>100</v>
      </c>
      <c r="V10" s="1">
        <f t="shared" si="4"/>
        <v>100</v>
      </c>
      <c r="W10" s="1">
        <f t="shared" si="5"/>
        <v>0</v>
      </c>
    </row>
    <row r="11" spans="1:23" ht="15.75" customHeight="1">
      <c r="A11" s="1" t="s">
        <v>68</v>
      </c>
      <c r="B11" s="1">
        <v>4</v>
      </c>
      <c r="C11" s="1">
        <v>5850.3427730000003</v>
      </c>
      <c r="D11" s="1">
        <v>100</v>
      </c>
      <c r="E11" s="1">
        <v>100</v>
      </c>
      <c r="F11" s="1">
        <v>0</v>
      </c>
      <c r="G11" s="1">
        <v>0</v>
      </c>
      <c r="H11" s="1">
        <v>0</v>
      </c>
      <c r="I11" s="1" t="s">
        <v>29</v>
      </c>
      <c r="J11" s="1" t="s">
        <v>29</v>
      </c>
      <c r="K11" s="1" t="s">
        <v>29</v>
      </c>
      <c r="L11" s="1" t="s">
        <v>29</v>
      </c>
      <c r="M11" s="1">
        <v>100</v>
      </c>
      <c r="N11" s="1">
        <v>0</v>
      </c>
      <c r="O11" s="1">
        <v>0</v>
      </c>
      <c r="P11" s="1">
        <v>0</v>
      </c>
      <c r="Q11" s="1">
        <f t="shared" si="0"/>
        <v>16</v>
      </c>
      <c r="R11" s="1">
        <f t="shared" si="1"/>
        <v>5850.3427730000003</v>
      </c>
      <c r="S11" s="1">
        <f t="shared" si="2"/>
        <v>0</v>
      </c>
      <c r="T11" s="1">
        <f t="shared" si="3"/>
        <v>6</v>
      </c>
      <c r="U11" s="1">
        <v>100</v>
      </c>
      <c r="V11" s="1">
        <f t="shared" si="4"/>
        <v>100</v>
      </c>
      <c r="W11" s="1">
        <f t="shared" si="5"/>
        <v>0</v>
      </c>
    </row>
    <row r="12" spans="1:23" ht="15.75" customHeight="1">
      <c r="A12" s="1" t="s">
        <v>70</v>
      </c>
      <c r="B12" s="1">
        <v>4</v>
      </c>
      <c r="C12" s="1">
        <v>7496.9877930000002</v>
      </c>
      <c r="D12" s="1">
        <v>100</v>
      </c>
      <c r="E12" s="1">
        <v>100</v>
      </c>
      <c r="F12" s="1">
        <v>0</v>
      </c>
      <c r="G12" s="1">
        <v>0</v>
      </c>
      <c r="H12" s="1">
        <v>0</v>
      </c>
      <c r="I12" s="1" t="s">
        <v>29</v>
      </c>
      <c r="J12" s="1" t="s">
        <v>29</v>
      </c>
      <c r="K12" s="1" t="s">
        <v>29</v>
      </c>
      <c r="L12" s="1" t="s">
        <v>29</v>
      </c>
      <c r="M12" s="1">
        <v>100</v>
      </c>
      <c r="N12" s="1">
        <v>0</v>
      </c>
      <c r="O12" s="1">
        <v>0</v>
      </c>
      <c r="P12" s="1">
        <v>0</v>
      </c>
      <c r="Q12" s="1">
        <f t="shared" si="0"/>
        <v>16</v>
      </c>
      <c r="R12" s="1">
        <f t="shared" si="1"/>
        <v>7496.9877930000002</v>
      </c>
      <c r="S12" s="1">
        <f t="shared" si="2"/>
        <v>0</v>
      </c>
      <c r="T12" s="1">
        <f t="shared" si="3"/>
        <v>8</v>
      </c>
      <c r="U12" s="1">
        <v>100</v>
      </c>
      <c r="V12" s="1">
        <f t="shared" si="4"/>
        <v>100</v>
      </c>
      <c r="W12" s="1">
        <f t="shared" si="5"/>
        <v>0</v>
      </c>
    </row>
    <row r="13" spans="1:23" ht="15.75" customHeight="1">
      <c r="A13" s="1" t="s">
        <v>72</v>
      </c>
      <c r="B13" s="1">
        <v>4</v>
      </c>
      <c r="C13" s="1">
        <v>2881.0600589999999</v>
      </c>
      <c r="D13" s="1">
        <v>99.23500061</v>
      </c>
      <c r="E13" s="1">
        <v>99.568101940000005</v>
      </c>
      <c r="F13" s="1">
        <v>0</v>
      </c>
      <c r="G13" s="1">
        <v>0.4318980637</v>
      </c>
      <c r="H13" s="1">
        <v>0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>
        <f t="shared" si="0"/>
        <v>16</v>
      </c>
      <c r="R13" s="1">
        <f t="shared" si="1"/>
        <v>2859.0199671231162</v>
      </c>
      <c r="S13" s="1">
        <f t="shared" si="2"/>
        <v>0.76499938999999983</v>
      </c>
      <c r="T13" s="1">
        <f t="shared" si="3"/>
        <v>3</v>
      </c>
      <c r="U13" s="1">
        <v>99.568101940000005</v>
      </c>
      <c r="V13" s="1">
        <f t="shared" si="4"/>
        <v>99</v>
      </c>
      <c r="W13" s="1">
        <f t="shared" si="5"/>
        <v>1</v>
      </c>
    </row>
    <row r="14" spans="1:23" ht="15.75" customHeight="1">
      <c r="A14" s="1" t="s">
        <v>75</v>
      </c>
      <c r="B14" s="1">
        <v>0</v>
      </c>
      <c r="C14" s="1">
        <v>400.12701420000002</v>
      </c>
      <c r="D14" s="1">
        <v>98.498992920000006</v>
      </c>
      <c r="E14" s="1">
        <v>99.803126039999995</v>
      </c>
      <c r="F14" s="1">
        <v>0</v>
      </c>
      <c r="G14" s="1">
        <v>0.19687396130000001</v>
      </c>
      <c r="H14" s="1">
        <v>0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  <c r="P14" s="1" t="s">
        <v>29</v>
      </c>
      <c r="Q14" s="1">
        <f t="shared" si="0"/>
        <v>16</v>
      </c>
      <c r="R14" s="1">
        <f t="shared" si="1"/>
        <v>394.12107938786545</v>
      </c>
      <c r="S14" s="1">
        <f t="shared" si="2"/>
        <v>1.5010070799999937</v>
      </c>
      <c r="T14" s="1">
        <f t="shared" si="3"/>
        <v>1</v>
      </c>
      <c r="U14" s="1">
        <v>99.803126039999995</v>
      </c>
      <c r="V14" s="1">
        <f t="shared" si="4"/>
        <v>98</v>
      </c>
      <c r="W14" s="1">
        <f t="shared" si="5"/>
        <v>2</v>
      </c>
    </row>
    <row r="15" spans="1:23" ht="15.75" customHeight="1">
      <c r="A15" s="1" t="s">
        <v>77</v>
      </c>
      <c r="B15" s="1">
        <v>4</v>
      </c>
      <c r="C15" s="1">
        <v>11589.61621</v>
      </c>
      <c r="D15" s="1">
        <v>98.078994750000007</v>
      </c>
      <c r="E15" s="1">
        <v>99.999996449999998</v>
      </c>
      <c r="F15" s="1">
        <v>0</v>
      </c>
      <c r="G15" s="1">
        <v>3.5547967910000002E-6</v>
      </c>
      <c r="H15" s="1">
        <v>0</v>
      </c>
      <c r="I15" s="1">
        <v>100</v>
      </c>
      <c r="J15" s="1">
        <v>0</v>
      </c>
      <c r="K15" s="1">
        <v>0</v>
      </c>
      <c r="L15" s="1">
        <v>0</v>
      </c>
      <c r="M15" s="1">
        <v>100</v>
      </c>
      <c r="N15" s="1">
        <v>0</v>
      </c>
      <c r="O15" s="1">
        <v>0</v>
      </c>
      <c r="P15" s="1">
        <v>0</v>
      </c>
      <c r="Q15" s="1">
        <f t="shared" si="0"/>
        <v>16</v>
      </c>
      <c r="R15" s="1">
        <f t="shared" si="1"/>
        <v>11366.97907415105</v>
      </c>
      <c r="S15" s="1">
        <f t="shared" si="2"/>
        <v>1.9210052499999932</v>
      </c>
      <c r="T15" s="1">
        <f t="shared" si="3"/>
        <v>12</v>
      </c>
      <c r="U15" s="1">
        <v>99.999996449999998</v>
      </c>
      <c r="V15" s="1">
        <f t="shared" si="4"/>
        <v>98</v>
      </c>
      <c r="W15" s="1">
        <f t="shared" si="5"/>
        <v>2</v>
      </c>
    </row>
    <row r="16" spans="1:23" ht="15.75" customHeight="1">
      <c r="A16" s="1" t="s">
        <v>79</v>
      </c>
      <c r="B16" s="1">
        <v>4</v>
      </c>
      <c r="C16" s="1">
        <v>33.937999730000001</v>
      </c>
      <c r="D16" s="1">
        <v>97.499000550000005</v>
      </c>
      <c r="E16" s="1">
        <v>100</v>
      </c>
      <c r="F16" s="1">
        <v>0</v>
      </c>
      <c r="G16" s="1">
        <v>0</v>
      </c>
      <c r="H16" s="1">
        <v>0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>
        <f t="shared" si="0"/>
        <v>16</v>
      </c>
      <c r="R16" s="1">
        <f t="shared" si="1"/>
        <v>33.089210543411703</v>
      </c>
      <c r="S16" s="1">
        <f t="shared" si="2"/>
        <v>2.5009994499999948</v>
      </c>
      <c r="T16" s="1">
        <f t="shared" si="3"/>
        <v>1</v>
      </c>
      <c r="U16" s="1">
        <v>100</v>
      </c>
      <c r="V16" s="1">
        <f t="shared" si="4"/>
        <v>97</v>
      </c>
      <c r="W16" s="1">
        <f t="shared" si="5"/>
        <v>3</v>
      </c>
    </row>
    <row r="17" spans="1:23" ht="15.75" customHeight="1">
      <c r="A17" s="1" t="s">
        <v>81</v>
      </c>
      <c r="B17" s="1">
        <v>4</v>
      </c>
      <c r="C17" s="1">
        <v>104.4229965</v>
      </c>
      <c r="D17" s="1">
        <v>95.939002990000006</v>
      </c>
      <c r="E17" s="1">
        <v>98.71826738</v>
      </c>
      <c r="F17" s="1">
        <v>0</v>
      </c>
      <c r="G17" s="1">
        <v>1.281732624</v>
      </c>
      <c r="H17" s="1">
        <v>0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  <c r="Q17" s="1">
        <f t="shared" si="0"/>
        <v>16</v>
      </c>
      <c r="R17" s="1">
        <f t="shared" si="1"/>
        <v>100.1823817343826</v>
      </c>
      <c r="S17" s="1">
        <f t="shared" si="2"/>
        <v>4.0609970099999941</v>
      </c>
      <c r="T17" s="1">
        <f t="shared" si="3"/>
        <v>1</v>
      </c>
      <c r="U17" s="1">
        <v>98.71826738</v>
      </c>
      <c r="V17" s="1">
        <f t="shared" si="4"/>
        <v>96</v>
      </c>
      <c r="W17" s="1">
        <f t="shared" si="5"/>
        <v>4</v>
      </c>
    </row>
    <row r="18" spans="1:23" ht="15.75" customHeight="1">
      <c r="A18" s="1" t="s">
        <v>82</v>
      </c>
      <c r="B18" s="1">
        <v>4</v>
      </c>
      <c r="C18" s="1">
        <v>3473.7270509999998</v>
      </c>
      <c r="D18" s="1">
        <v>95.51499939</v>
      </c>
      <c r="E18" s="1">
        <v>99.495757560000001</v>
      </c>
      <c r="F18" s="1">
        <v>0.50424244119999995</v>
      </c>
      <c r="G18" s="1">
        <v>0</v>
      </c>
      <c r="H18" s="1">
        <v>0</v>
      </c>
      <c r="I18" s="1">
        <v>95.300830000000005</v>
      </c>
      <c r="J18" s="1">
        <v>4.6991699999999996</v>
      </c>
      <c r="K18" s="1">
        <v>0</v>
      </c>
      <c r="L18" s="1">
        <v>0</v>
      </c>
      <c r="M18" s="1">
        <v>99.692734439999995</v>
      </c>
      <c r="N18" s="1">
        <v>0.30726556170000002</v>
      </c>
      <c r="O18" s="1">
        <v>0</v>
      </c>
      <c r="P18" s="1">
        <v>0</v>
      </c>
      <c r="Q18" s="1">
        <f t="shared" si="0"/>
        <v>16</v>
      </c>
      <c r="R18" s="1">
        <f t="shared" si="1"/>
        <v>3317.9303715729147</v>
      </c>
      <c r="S18" s="1">
        <f t="shared" si="2"/>
        <v>4.4850006100000002</v>
      </c>
      <c r="T18" s="1">
        <f t="shared" si="3"/>
        <v>4</v>
      </c>
      <c r="U18" s="1">
        <v>99.495757560000001</v>
      </c>
      <c r="V18" s="1">
        <f t="shared" si="4"/>
        <v>96</v>
      </c>
      <c r="W18" s="1">
        <f t="shared" si="5"/>
        <v>4</v>
      </c>
    </row>
    <row r="19" spans="1:23" ht="15.75" customHeight="1">
      <c r="A19" s="1" t="s">
        <v>83</v>
      </c>
      <c r="B19" s="1">
        <v>4</v>
      </c>
      <c r="C19" s="1">
        <v>168.78300479999999</v>
      </c>
      <c r="D19" s="1">
        <v>94.938003539999997</v>
      </c>
      <c r="E19" s="1">
        <v>99.6952</v>
      </c>
      <c r="F19" s="1">
        <v>0</v>
      </c>
      <c r="G19" s="1">
        <v>0.30480000000000002</v>
      </c>
      <c r="H19" s="1">
        <v>0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  <c r="P19" s="1" t="s">
        <v>29</v>
      </c>
      <c r="Q19" s="1">
        <f t="shared" si="0"/>
        <v>16</v>
      </c>
      <c r="R19" s="1">
        <f t="shared" si="1"/>
        <v>160.23921507194234</v>
      </c>
      <c r="S19" s="1">
        <f t="shared" si="2"/>
        <v>5.0619964600000031</v>
      </c>
      <c r="T19" s="1">
        <f t="shared" si="3"/>
        <v>1</v>
      </c>
      <c r="U19" s="1">
        <v>99.6952</v>
      </c>
      <c r="V19" s="1">
        <f t="shared" si="4"/>
        <v>95</v>
      </c>
      <c r="W19" s="1">
        <f t="shared" si="5"/>
        <v>5</v>
      </c>
    </row>
    <row r="20" spans="1:23" ht="12.5">
      <c r="A20" s="1" t="s">
        <v>84</v>
      </c>
      <c r="B20" s="1">
        <v>4</v>
      </c>
      <c r="C20" s="1">
        <v>441.53900149999998</v>
      </c>
      <c r="D20" s="1">
        <v>94.744003300000003</v>
      </c>
      <c r="E20" s="1">
        <v>100.0000004</v>
      </c>
      <c r="F20" s="1">
        <v>0</v>
      </c>
      <c r="G20" s="1">
        <v>0</v>
      </c>
      <c r="H20" s="1">
        <v>0</v>
      </c>
      <c r="I20" s="1">
        <v>100</v>
      </c>
      <c r="J20" s="1">
        <v>0</v>
      </c>
      <c r="K20" s="1">
        <v>0</v>
      </c>
      <c r="L20" s="1">
        <v>0</v>
      </c>
      <c r="M20" s="1">
        <v>100</v>
      </c>
      <c r="N20" s="1">
        <v>0</v>
      </c>
      <c r="O20" s="1">
        <v>0</v>
      </c>
      <c r="P20" s="1">
        <v>0</v>
      </c>
      <c r="Q20" s="1">
        <f t="shared" si="0"/>
        <v>16</v>
      </c>
      <c r="R20" s="1">
        <f t="shared" si="1"/>
        <v>418.33172615194707</v>
      </c>
      <c r="S20" s="1">
        <f t="shared" si="2"/>
        <v>5.2559966999999972</v>
      </c>
      <c r="T20" s="1">
        <f t="shared" si="3"/>
        <v>1</v>
      </c>
      <c r="U20" s="1">
        <v>100</v>
      </c>
      <c r="V20" s="1">
        <f t="shared" si="4"/>
        <v>95</v>
      </c>
      <c r="W20" s="1">
        <f t="shared" si="5"/>
        <v>5</v>
      </c>
    </row>
    <row r="21" spans="1:23" ht="12.5">
      <c r="A21" s="1" t="s">
        <v>86</v>
      </c>
      <c r="B21" s="1">
        <v>4</v>
      </c>
      <c r="C21" s="1">
        <v>341.25</v>
      </c>
      <c r="D21" s="1">
        <v>93.897994999999995</v>
      </c>
      <c r="E21" s="1">
        <v>99.999997210000004</v>
      </c>
      <c r="F21" s="1">
        <v>0</v>
      </c>
      <c r="G21" s="1">
        <v>2.7946500150000002E-6</v>
      </c>
      <c r="H21" s="1">
        <v>0</v>
      </c>
      <c r="I21" s="1">
        <v>100</v>
      </c>
      <c r="J21" s="1">
        <v>0</v>
      </c>
      <c r="K21" s="1">
        <v>0</v>
      </c>
      <c r="L21" s="1">
        <v>0</v>
      </c>
      <c r="M21" s="1">
        <v>100</v>
      </c>
      <c r="N21" s="1">
        <v>0</v>
      </c>
      <c r="O21" s="1">
        <v>0</v>
      </c>
      <c r="P21" s="1">
        <v>0</v>
      </c>
      <c r="Q21" s="1">
        <f t="shared" si="0"/>
        <v>16</v>
      </c>
      <c r="R21" s="1">
        <f t="shared" si="1"/>
        <v>320.42690793749995</v>
      </c>
      <c r="S21" s="1">
        <f t="shared" si="2"/>
        <v>6.1020050000000055</v>
      </c>
      <c r="T21" s="1">
        <f t="shared" si="3"/>
        <v>1</v>
      </c>
      <c r="U21" s="1">
        <v>99.999997210000004</v>
      </c>
      <c r="V21" s="1">
        <f t="shared" si="4"/>
        <v>94</v>
      </c>
      <c r="W21" s="1">
        <f t="shared" si="5"/>
        <v>6</v>
      </c>
    </row>
    <row r="22" spans="1:23" ht="12.5">
      <c r="A22" s="1" t="s">
        <v>87</v>
      </c>
      <c r="B22" s="1">
        <v>4</v>
      </c>
      <c r="C22" s="1">
        <v>2860.8400879999999</v>
      </c>
      <c r="D22" s="1">
        <v>93.581001279999995</v>
      </c>
      <c r="E22" s="1">
        <v>100</v>
      </c>
      <c r="F22" s="1">
        <v>0</v>
      </c>
      <c r="G22" s="1">
        <v>0</v>
      </c>
      <c r="H22" s="1">
        <v>0</v>
      </c>
      <c r="I22" s="1" t="s">
        <v>29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>
        <f t="shared" si="0"/>
        <v>16</v>
      </c>
      <c r="R22" s="1">
        <f t="shared" si="1"/>
        <v>2677.2027993700331</v>
      </c>
      <c r="S22" s="1">
        <f t="shared" si="2"/>
        <v>6.4189987200000047</v>
      </c>
      <c r="T22" s="1">
        <f t="shared" si="3"/>
        <v>3</v>
      </c>
      <c r="U22" s="1">
        <v>100</v>
      </c>
      <c r="V22" s="1">
        <f t="shared" si="4"/>
        <v>94</v>
      </c>
      <c r="W22" s="1">
        <f t="shared" si="5"/>
        <v>6</v>
      </c>
    </row>
    <row r="23" spans="1:23" ht="12.5">
      <c r="A23" s="1" t="s">
        <v>88</v>
      </c>
      <c r="B23" s="1">
        <v>4</v>
      </c>
      <c r="C23" s="1">
        <v>8655.5410159999992</v>
      </c>
      <c r="D23" s="1">
        <v>92.58699799</v>
      </c>
      <c r="E23" s="1">
        <v>100</v>
      </c>
      <c r="F23" s="1">
        <v>0</v>
      </c>
      <c r="G23" s="1">
        <v>0</v>
      </c>
      <c r="H23" s="1">
        <v>0</v>
      </c>
      <c r="I23" s="1">
        <v>100</v>
      </c>
      <c r="J23" s="1">
        <v>0</v>
      </c>
      <c r="K23" s="1">
        <v>0</v>
      </c>
      <c r="L23" s="1">
        <v>0</v>
      </c>
      <c r="M23" s="1">
        <v>100</v>
      </c>
      <c r="N23" s="1">
        <v>0</v>
      </c>
      <c r="O23" s="1">
        <v>0</v>
      </c>
      <c r="P23" s="1">
        <v>0</v>
      </c>
      <c r="Q23" s="1">
        <f t="shared" si="0"/>
        <v>16</v>
      </c>
      <c r="R23" s="1">
        <f t="shared" si="1"/>
        <v>8013.9055865075443</v>
      </c>
      <c r="S23" s="1">
        <f t="shared" si="2"/>
        <v>7.4130020099999996</v>
      </c>
      <c r="T23" s="1">
        <f t="shared" si="3"/>
        <v>9</v>
      </c>
      <c r="U23" s="1">
        <v>100</v>
      </c>
      <c r="V23" s="1">
        <f t="shared" si="4"/>
        <v>93</v>
      </c>
      <c r="W23" s="1">
        <f t="shared" si="5"/>
        <v>7</v>
      </c>
    </row>
    <row r="24" spans="1:23" ht="12.5">
      <c r="A24" s="1" t="s">
        <v>90</v>
      </c>
      <c r="B24" s="1">
        <v>4</v>
      </c>
      <c r="C24" s="1">
        <v>57.556999210000001</v>
      </c>
      <c r="D24" s="1">
        <v>91.797996519999998</v>
      </c>
      <c r="E24" s="1">
        <v>100</v>
      </c>
      <c r="F24" s="1">
        <v>0</v>
      </c>
      <c r="G24" s="1">
        <v>0</v>
      </c>
      <c r="H24" s="1">
        <v>0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29</v>
      </c>
      <c r="O24" s="1" t="s">
        <v>29</v>
      </c>
      <c r="P24" s="1" t="s">
        <v>29</v>
      </c>
      <c r="Q24" s="1">
        <f t="shared" si="0"/>
        <v>16</v>
      </c>
      <c r="R24" s="1">
        <f t="shared" si="1"/>
        <v>52.836172131812226</v>
      </c>
      <c r="S24" s="1">
        <f t="shared" si="2"/>
        <v>8.2020034800000019</v>
      </c>
      <c r="T24" s="1">
        <f t="shared" si="3"/>
        <v>1</v>
      </c>
      <c r="U24" s="1">
        <v>100</v>
      </c>
      <c r="V24" s="1">
        <f t="shared" si="4"/>
        <v>92</v>
      </c>
      <c r="W24" s="1">
        <f t="shared" si="5"/>
        <v>8</v>
      </c>
    </row>
    <row r="25" spans="1:23" ht="12.5">
      <c r="A25" s="1" t="s">
        <v>92</v>
      </c>
      <c r="B25" s="1">
        <v>4</v>
      </c>
      <c r="C25" s="1">
        <v>17134.873049999998</v>
      </c>
      <c r="D25" s="1">
        <v>92.236000059999995</v>
      </c>
      <c r="E25" s="1">
        <v>99.999999290000005</v>
      </c>
      <c r="F25" s="1">
        <v>0</v>
      </c>
      <c r="G25" s="1">
        <v>7.1240862099999999E-7</v>
      </c>
      <c r="H25" s="1">
        <v>0</v>
      </c>
      <c r="I25" s="1">
        <v>100</v>
      </c>
      <c r="J25" s="1">
        <v>0</v>
      </c>
      <c r="K25" s="1">
        <v>0</v>
      </c>
      <c r="L25" s="1">
        <v>0</v>
      </c>
      <c r="M25" s="1">
        <v>100</v>
      </c>
      <c r="N25" s="1">
        <v>0</v>
      </c>
      <c r="O25" s="1">
        <v>0</v>
      </c>
      <c r="P25" s="1">
        <v>0</v>
      </c>
      <c r="Q25" s="1">
        <f t="shared" si="0"/>
        <v>16</v>
      </c>
      <c r="R25" s="1">
        <f t="shared" si="1"/>
        <v>15804.52151667892</v>
      </c>
      <c r="S25" s="1">
        <f t="shared" si="2"/>
        <v>7.763999940000005</v>
      </c>
      <c r="T25" s="1">
        <f t="shared" si="3"/>
        <v>18</v>
      </c>
      <c r="U25" s="1">
        <v>99.999999290000005</v>
      </c>
      <c r="V25" s="1">
        <f t="shared" si="4"/>
        <v>92</v>
      </c>
      <c r="W25" s="1">
        <f t="shared" si="5"/>
        <v>8</v>
      </c>
    </row>
    <row r="26" spans="1:23" ht="12.5">
      <c r="A26" s="1" t="s">
        <v>94</v>
      </c>
      <c r="B26" s="1">
        <v>3</v>
      </c>
      <c r="C26" s="1">
        <v>45195.777340000001</v>
      </c>
      <c r="D26" s="1">
        <v>92.111000059999995</v>
      </c>
      <c r="E26" s="1" t="s">
        <v>29</v>
      </c>
      <c r="F26" s="1" t="s">
        <v>29</v>
      </c>
      <c r="G26" s="1" t="s">
        <v>29</v>
      </c>
      <c r="H26" s="1" t="s">
        <v>29</v>
      </c>
      <c r="I26" s="1" t="s">
        <v>29</v>
      </c>
      <c r="J26" s="1" t="s">
        <v>29</v>
      </c>
      <c r="K26" s="1" t="s">
        <v>29</v>
      </c>
      <c r="L26" s="1" t="s">
        <v>29</v>
      </c>
      <c r="M26" s="1">
        <v>99.790420650000002</v>
      </c>
      <c r="N26" s="1">
        <v>0</v>
      </c>
      <c r="O26" s="1">
        <v>0.20957935010000001</v>
      </c>
      <c r="P26" s="1">
        <v>0</v>
      </c>
      <c r="Q26" s="1">
        <f t="shared" si="0"/>
        <v>16</v>
      </c>
      <c r="R26" s="1">
        <f t="shared" si="1"/>
        <v>41630.282492764862</v>
      </c>
      <c r="S26" s="1">
        <f t="shared" si="2"/>
        <v>7.888999940000005</v>
      </c>
      <c r="T26" s="1">
        <f t="shared" si="3"/>
        <v>46</v>
      </c>
      <c r="U26" s="1" t="s">
        <v>29</v>
      </c>
      <c r="V26" s="1">
        <f t="shared" si="4"/>
        <v>92</v>
      </c>
      <c r="W26" s="1">
        <f t="shared" si="5"/>
        <v>8</v>
      </c>
    </row>
    <row r="27" spans="1:23" ht="12.5">
      <c r="A27" s="1" t="s">
        <v>95</v>
      </c>
      <c r="B27" s="1">
        <v>4</v>
      </c>
      <c r="C27" s="1">
        <v>126476.46090000001</v>
      </c>
      <c r="D27" s="1">
        <v>91.781997680000003</v>
      </c>
      <c r="E27" s="1">
        <v>99.078912450000004</v>
      </c>
      <c r="F27" s="1">
        <v>0</v>
      </c>
      <c r="G27" s="1">
        <v>0.92108754670000004</v>
      </c>
      <c r="H27" s="1">
        <v>0</v>
      </c>
      <c r="I27" s="1" t="s">
        <v>29</v>
      </c>
      <c r="J27" s="1" t="s">
        <v>29</v>
      </c>
      <c r="K27" s="1" t="s">
        <v>29</v>
      </c>
      <c r="L27" s="1" t="s">
        <v>29</v>
      </c>
      <c r="M27" s="1" t="s">
        <v>29</v>
      </c>
      <c r="N27" s="1" t="s">
        <v>29</v>
      </c>
      <c r="O27" s="1" t="s">
        <v>29</v>
      </c>
      <c r="P27" s="1" t="s">
        <v>29</v>
      </c>
      <c r="Q27" s="1">
        <f t="shared" si="0"/>
        <v>16</v>
      </c>
      <c r="R27" s="1">
        <f t="shared" si="1"/>
        <v>116082.62240898411</v>
      </c>
      <c r="S27" s="1">
        <f t="shared" si="2"/>
        <v>8.2180023199999965</v>
      </c>
      <c r="T27" s="1">
        <f t="shared" si="3"/>
        <v>127</v>
      </c>
      <c r="U27" s="1">
        <v>99.078912450000004</v>
      </c>
      <c r="V27" s="1">
        <f t="shared" si="4"/>
        <v>92</v>
      </c>
      <c r="W27" s="1">
        <f t="shared" si="5"/>
        <v>8</v>
      </c>
    </row>
    <row r="28" spans="1:23" ht="12.5">
      <c r="A28" s="1" t="s">
        <v>96</v>
      </c>
      <c r="B28" s="1">
        <v>4</v>
      </c>
      <c r="C28" s="1">
        <v>625.97601320000001</v>
      </c>
      <c r="D28" s="1">
        <v>91.452995299999998</v>
      </c>
      <c r="E28" s="1">
        <v>99.879932539999999</v>
      </c>
      <c r="F28" s="1">
        <v>0</v>
      </c>
      <c r="G28" s="1">
        <v>0.1200674649</v>
      </c>
      <c r="H28" s="1">
        <v>0</v>
      </c>
      <c r="I28" s="1">
        <v>98.595238100000003</v>
      </c>
      <c r="J28" s="1">
        <v>0</v>
      </c>
      <c r="K28" s="1">
        <v>1.404761905</v>
      </c>
      <c r="L28" s="1">
        <v>0</v>
      </c>
      <c r="M28" s="1">
        <v>100</v>
      </c>
      <c r="N28" s="1">
        <v>0</v>
      </c>
      <c r="O28" s="1">
        <v>0</v>
      </c>
      <c r="P28" s="1">
        <v>0</v>
      </c>
      <c r="Q28" s="1">
        <f t="shared" si="0"/>
        <v>16</v>
      </c>
      <c r="R28" s="1">
        <f t="shared" si="1"/>
        <v>572.47381393092337</v>
      </c>
      <c r="S28" s="1">
        <f t="shared" si="2"/>
        <v>8.5470047000000022</v>
      </c>
      <c r="T28" s="1">
        <f t="shared" si="3"/>
        <v>1</v>
      </c>
      <c r="U28" s="1">
        <v>99.879932539999999</v>
      </c>
      <c r="V28" s="1">
        <f t="shared" si="4"/>
        <v>91</v>
      </c>
      <c r="W28" s="1">
        <f t="shared" si="5"/>
        <v>9</v>
      </c>
    </row>
    <row r="29" spans="1:23" ht="12.5">
      <c r="A29" s="1" t="s">
        <v>98</v>
      </c>
      <c r="B29" s="1">
        <v>3</v>
      </c>
      <c r="C29" s="1">
        <v>10203.139649999999</v>
      </c>
      <c r="D29" s="1">
        <v>91.417999269999996</v>
      </c>
      <c r="E29" s="1">
        <v>98.940302959999997</v>
      </c>
      <c r="F29" s="1">
        <v>0.1462147369</v>
      </c>
      <c r="G29" s="1">
        <v>0.8536474704</v>
      </c>
      <c r="H29" s="1">
        <v>5.9834831790000001E-2</v>
      </c>
      <c r="I29" s="1">
        <v>97.311478690000001</v>
      </c>
      <c r="J29" s="1">
        <v>0.62394659450000001</v>
      </c>
      <c r="K29" s="1">
        <v>2.0247147160000001</v>
      </c>
      <c r="L29" s="1">
        <v>3.986E-2</v>
      </c>
      <c r="M29" s="1">
        <v>99.093212589999993</v>
      </c>
      <c r="N29" s="1">
        <v>0.1013669408</v>
      </c>
      <c r="O29" s="1">
        <v>0.74371047069999996</v>
      </c>
      <c r="P29" s="1">
        <v>6.1710000000000001E-2</v>
      </c>
      <c r="Q29" s="1">
        <f t="shared" si="0"/>
        <v>16</v>
      </c>
      <c r="R29" s="1">
        <f t="shared" si="1"/>
        <v>9327.50613075408</v>
      </c>
      <c r="S29" s="1">
        <f t="shared" si="2"/>
        <v>8.5820007300000043</v>
      </c>
      <c r="T29" s="1">
        <f t="shared" si="3"/>
        <v>11</v>
      </c>
      <c r="U29" s="1">
        <v>98.940302959999997</v>
      </c>
      <c r="V29" s="1">
        <f t="shared" si="4"/>
        <v>91</v>
      </c>
      <c r="W29" s="1">
        <f t="shared" si="5"/>
        <v>9</v>
      </c>
    </row>
    <row r="30" spans="1:23" ht="12.5">
      <c r="A30" s="1" t="s">
        <v>49</v>
      </c>
      <c r="B30" s="1">
        <v>0</v>
      </c>
      <c r="C30" s="1">
        <v>5.795000076</v>
      </c>
      <c r="D30" s="1">
        <v>89.96199799</v>
      </c>
      <c r="E30" s="1">
        <v>91.4</v>
      </c>
      <c r="F30" s="1">
        <v>0</v>
      </c>
      <c r="G30" s="1">
        <v>8.6</v>
      </c>
      <c r="H30" s="1">
        <v>0</v>
      </c>
      <c r="I30" s="1" t="s">
        <v>29</v>
      </c>
      <c r="J30" s="1" t="s">
        <v>29</v>
      </c>
      <c r="K30" s="1" t="s">
        <v>29</v>
      </c>
      <c r="L30" s="1" t="s">
        <v>29</v>
      </c>
      <c r="M30" s="1" t="s">
        <v>29</v>
      </c>
      <c r="N30" s="1" t="s">
        <v>29</v>
      </c>
      <c r="O30" s="1" t="s">
        <v>29</v>
      </c>
      <c r="P30" s="1" t="s">
        <v>29</v>
      </c>
      <c r="Q30" s="1">
        <f t="shared" si="0"/>
        <v>16</v>
      </c>
      <c r="R30" s="1">
        <f t="shared" si="1"/>
        <v>5.2132978518916184</v>
      </c>
      <c r="S30" s="1">
        <f t="shared" si="2"/>
        <v>10.03800201</v>
      </c>
      <c r="T30" s="1">
        <f t="shared" si="3"/>
        <v>1</v>
      </c>
      <c r="U30" s="1">
        <v>91.4</v>
      </c>
      <c r="V30" s="1">
        <f t="shared" si="4"/>
        <v>90</v>
      </c>
      <c r="W30" s="1">
        <f t="shared" si="5"/>
        <v>10</v>
      </c>
    </row>
    <row r="31" spans="1:23" ht="12.5">
      <c r="A31" s="1" t="s">
        <v>100</v>
      </c>
      <c r="B31" s="1">
        <v>4</v>
      </c>
      <c r="C31" s="1">
        <v>1701.5830080000001</v>
      </c>
      <c r="D31" s="1">
        <v>89.506004329999996</v>
      </c>
      <c r="E31" s="1">
        <v>100</v>
      </c>
      <c r="F31" s="1">
        <v>0</v>
      </c>
      <c r="G31" s="1">
        <v>0</v>
      </c>
      <c r="H31" s="1">
        <v>0</v>
      </c>
      <c r="I31" s="1" t="s">
        <v>29</v>
      </c>
      <c r="J31" s="1" t="s">
        <v>29</v>
      </c>
      <c r="K31" s="1" t="s">
        <v>29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29</v>
      </c>
      <c r="Q31" s="1">
        <f t="shared" si="0"/>
        <v>16</v>
      </c>
      <c r="R31" s="1">
        <f t="shared" si="1"/>
        <v>1523.0189608190242</v>
      </c>
      <c r="S31" s="1">
        <f t="shared" si="2"/>
        <v>10.493995670000004</v>
      </c>
      <c r="T31" s="1">
        <f t="shared" si="3"/>
        <v>2</v>
      </c>
      <c r="U31" s="1">
        <v>100</v>
      </c>
      <c r="V31" s="1">
        <f t="shared" si="4"/>
        <v>90</v>
      </c>
      <c r="W31" s="1">
        <f t="shared" si="5"/>
        <v>10</v>
      </c>
    </row>
    <row r="32" spans="1:23" ht="12.5">
      <c r="A32" s="1" t="s">
        <v>102</v>
      </c>
      <c r="B32" s="1">
        <v>3</v>
      </c>
      <c r="C32" s="1">
        <v>2225.7280270000001</v>
      </c>
      <c r="D32" s="1">
        <v>90.092002870000002</v>
      </c>
      <c r="E32" s="1">
        <v>85.341930599999998</v>
      </c>
      <c r="F32" s="1">
        <v>7.7352631030000003</v>
      </c>
      <c r="G32" s="1">
        <v>6.9228083570000001</v>
      </c>
      <c r="H32" s="1" t="s">
        <v>29</v>
      </c>
      <c r="I32" s="1">
        <v>44.745889009999999</v>
      </c>
      <c r="J32" s="1">
        <v>10.511148589999999</v>
      </c>
      <c r="K32" s="1">
        <v>44.742962400000003</v>
      </c>
      <c r="L32" s="1" t="s">
        <v>29</v>
      </c>
      <c r="M32" s="1">
        <v>89.806539169999994</v>
      </c>
      <c r="N32" s="1">
        <v>7.4299807600000003</v>
      </c>
      <c r="O32" s="1">
        <v>2.7634800720000001</v>
      </c>
      <c r="P32" s="1" t="s">
        <v>29</v>
      </c>
      <c r="Q32" s="1">
        <f t="shared" si="0"/>
        <v>16</v>
      </c>
      <c r="R32" s="1">
        <f t="shared" si="1"/>
        <v>2005.2029579632344</v>
      </c>
      <c r="S32" s="1">
        <f t="shared" si="2"/>
        <v>9.9079971299999983</v>
      </c>
      <c r="T32" s="1">
        <f t="shared" si="3"/>
        <v>3</v>
      </c>
      <c r="U32" s="1">
        <v>85.341930599999998</v>
      </c>
      <c r="V32" s="1">
        <f t="shared" si="4"/>
        <v>90</v>
      </c>
      <c r="W32" s="1">
        <f t="shared" si="5"/>
        <v>10</v>
      </c>
    </row>
    <row r="33" spans="1:23" ht="12.5">
      <c r="A33" s="1" t="s">
        <v>103</v>
      </c>
      <c r="B33" s="1">
        <v>0</v>
      </c>
      <c r="C33" s="1">
        <v>375.26501459999997</v>
      </c>
      <c r="D33" s="1">
        <v>89.13999939</v>
      </c>
      <c r="E33" s="1">
        <v>99.841970779999997</v>
      </c>
      <c r="F33" s="1">
        <v>0</v>
      </c>
      <c r="G33" s="1">
        <v>0.15802921580000001</v>
      </c>
      <c r="H33" s="1">
        <v>0</v>
      </c>
      <c r="I33" s="1" t="s">
        <v>29</v>
      </c>
      <c r="J33" s="1" t="s">
        <v>29</v>
      </c>
      <c r="K33" s="1" t="s">
        <v>29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29</v>
      </c>
      <c r="Q33" s="1">
        <f t="shared" si="0"/>
        <v>16</v>
      </c>
      <c r="R33" s="1">
        <f t="shared" si="1"/>
        <v>334.5112317253234</v>
      </c>
      <c r="S33" s="1">
        <f t="shared" si="2"/>
        <v>10.86000061</v>
      </c>
      <c r="T33" s="1">
        <f t="shared" si="3"/>
        <v>1</v>
      </c>
      <c r="U33" s="1">
        <v>99.841970779999997</v>
      </c>
      <c r="V33" s="1">
        <f t="shared" si="4"/>
        <v>89</v>
      </c>
      <c r="W33" s="1">
        <f t="shared" si="5"/>
        <v>11</v>
      </c>
    </row>
    <row r="34" spans="1:23" ht="12.5">
      <c r="A34" s="1" t="s">
        <v>104</v>
      </c>
      <c r="B34" s="1">
        <v>2</v>
      </c>
      <c r="C34" s="1">
        <v>6825.4418949999999</v>
      </c>
      <c r="D34" s="1">
        <v>88.924995420000002</v>
      </c>
      <c r="E34" s="1">
        <v>92.6</v>
      </c>
      <c r="F34" s="1">
        <v>7.4</v>
      </c>
      <c r="G34" s="1">
        <v>0</v>
      </c>
      <c r="H34" s="1">
        <v>0</v>
      </c>
      <c r="I34" s="1" t="s">
        <v>29</v>
      </c>
      <c r="J34" s="1" t="s">
        <v>29</v>
      </c>
      <c r="K34" s="1" t="s">
        <v>29</v>
      </c>
      <c r="L34" s="1" t="s">
        <v>29</v>
      </c>
      <c r="M34" s="1" t="s">
        <v>29</v>
      </c>
      <c r="N34" s="1" t="s">
        <v>29</v>
      </c>
      <c r="O34" s="1" t="s">
        <v>29</v>
      </c>
      <c r="P34" s="1" t="s">
        <v>29</v>
      </c>
      <c r="Q34" s="1">
        <f t="shared" si="0"/>
        <v>16</v>
      </c>
      <c r="R34" s="1">
        <f t="shared" si="1"/>
        <v>6069.5238925235108</v>
      </c>
      <c r="S34" s="1">
        <f t="shared" si="2"/>
        <v>11.075004579999998</v>
      </c>
      <c r="T34" s="1">
        <f t="shared" si="3"/>
        <v>7</v>
      </c>
      <c r="U34" s="1">
        <v>92.6</v>
      </c>
      <c r="V34" s="1">
        <f t="shared" si="4"/>
        <v>89</v>
      </c>
      <c r="W34" s="1">
        <f t="shared" si="5"/>
        <v>11</v>
      </c>
    </row>
    <row r="35" spans="1:23" ht="12.5">
      <c r="A35" s="1" t="s">
        <v>99</v>
      </c>
      <c r="B35" s="1">
        <v>4</v>
      </c>
      <c r="C35" s="1">
        <v>77.26499939</v>
      </c>
      <c r="D35" s="1">
        <v>87.916000370000006</v>
      </c>
      <c r="E35" s="1">
        <v>100.00000369999999</v>
      </c>
      <c r="F35" s="1">
        <v>0</v>
      </c>
      <c r="G35" s="1">
        <v>0</v>
      </c>
      <c r="H35" s="1">
        <v>0</v>
      </c>
      <c r="I35" s="1">
        <v>100</v>
      </c>
      <c r="J35" s="1">
        <v>0</v>
      </c>
      <c r="K35" s="1">
        <v>0</v>
      </c>
      <c r="L35" s="1">
        <v>0</v>
      </c>
      <c r="M35" s="1">
        <v>100</v>
      </c>
      <c r="N35" s="1">
        <v>0</v>
      </c>
      <c r="O35" s="1">
        <v>0</v>
      </c>
      <c r="P35" s="1">
        <v>0</v>
      </c>
      <c r="Q35" s="1">
        <f t="shared" si="0"/>
        <v>16</v>
      </c>
      <c r="R35" s="1">
        <f t="shared" si="1"/>
        <v>67.928297149592893</v>
      </c>
      <c r="S35" s="1">
        <f t="shared" si="2"/>
        <v>12.083999629999994</v>
      </c>
      <c r="T35" s="1">
        <f t="shared" si="3"/>
        <v>1</v>
      </c>
      <c r="U35" s="1">
        <v>100</v>
      </c>
      <c r="V35" s="1">
        <f t="shared" si="4"/>
        <v>88</v>
      </c>
      <c r="W35" s="1">
        <f t="shared" si="5"/>
        <v>12</v>
      </c>
    </row>
    <row r="36" spans="1:23" ht="12.5">
      <c r="A36" s="1" t="s">
        <v>108</v>
      </c>
      <c r="B36" s="1">
        <v>4</v>
      </c>
      <c r="C36" s="1">
        <v>5792.203125</v>
      </c>
      <c r="D36" s="1">
        <v>88.116004939999996</v>
      </c>
      <c r="E36" s="1">
        <v>100.00000110000001</v>
      </c>
      <c r="F36" s="1">
        <v>0</v>
      </c>
      <c r="G36" s="1">
        <v>0</v>
      </c>
      <c r="H36" s="1">
        <v>0</v>
      </c>
      <c r="I36" s="1">
        <v>100</v>
      </c>
      <c r="J36" s="1">
        <v>0</v>
      </c>
      <c r="K36" s="1">
        <v>0</v>
      </c>
      <c r="L36" s="1">
        <v>0</v>
      </c>
      <c r="M36" s="1">
        <v>100</v>
      </c>
      <c r="N36" s="1">
        <v>0</v>
      </c>
      <c r="O36" s="1">
        <v>0</v>
      </c>
      <c r="P36" s="1">
        <v>0</v>
      </c>
      <c r="Q36" s="1">
        <f t="shared" si="0"/>
        <v>16</v>
      </c>
      <c r="R36" s="1">
        <f t="shared" si="1"/>
        <v>5103.8579917598336</v>
      </c>
      <c r="S36" s="1">
        <f t="shared" si="2"/>
        <v>11.883995060000004</v>
      </c>
      <c r="T36" s="1">
        <f t="shared" si="3"/>
        <v>6</v>
      </c>
      <c r="U36" s="1">
        <v>100</v>
      </c>
      <c r="V36" s="1">
        <f t="shared" si="4"/>
        <v>88</v>
      </c>
      <c r="W36" s="1">
        <f t="shared" si="5"/>
        <v>12</v>
      </c>
    </row>
    <row r="37" spans="1:23" ht="12.5">
      <c r="A37" s="1" t="s">
        <v>109</v>
      </c>
      <c r="B37" s="1">
        <v>4</v>
      </c>
      <c r="C37" s="1">
        <v>10099.26953</v>
      </c>
      <c r="D37" s="1">
        <v>87.97699738</v>
      </c>
      <c r="E37" s="1">
        <v>99.826867629999995</v>
      </c>
      <c r="F37" s="1">
        <v>0</v>
      </c>
      <c r="G37" s="1">
        <v>0.17313237349999999</v>
      </c>
      <c r="H37" s="1">
        <v>0</v>
      </c>
      <c r="I37" s="1">
        <v>99.719374740000006</v>
      </c>
      <c r="J37" s="1">
        <v>0</v>
      </c>
      <c r="K37" s="1">
        <v>0.28062526259999998</v>
      </c>
      <c r="L37" s="1">
        <v>0</v>
      </c>
      <c r="M37" s="1">
        <v>99.841557679999994</v>
      </c>
      <c r="N37" s="1">
        <v>0</v>
      </c>
      <c r="O37" s="1">
        <v>0.1584423157</v>
      </c>
      <c r="P37" s="1">
        <v>0</v>
      </c>
      <c r="Q37" s="1">
        <f t="shared" si="0"/>
        <v>16</v>
      </c>
      <c r="R37" s="1">
        <f t="shared" si="1"/>
        <v>8885.0340898072373</v>
      </c>
      <c r="S37" s="1">
        <f t="shared" si="2"/>
        <v>12.02300262</v>
      </c>
      <c r="T37" s="1">
        <f t="shared" si="3"/>
        <v>11</v>
      </c>
      <c r="U37" s="1">
        <v>99.826867629999995</v>
      </c>
      <c r="V37" s="1">
        <f t="shared" si="4"/>
        <v>88</v>
      </c>
      <c r="W37" s="1">
        <f t="shared" si="5"/>
        <v>12</v>
      </c>
    </row>
    <row r="38" spans="1:23" ht="12.5">
      <c r="A38" s="1" t="s">
        <v>111</v>
      </c>
      <c r="B38" s="1">
        <v>4</v>
      </c>
      <c r="C38" s="1">
        <v>19116.208979999999</v>
      </c>
      <c r="D38" s="1">
        <v>87.72699738</v>
      </c>
      <c r="E38" s="1">
        <v>99.999998719999994</v>
      </c>
      <c r="F38" s="1">
        <v>0</v>
      </c>
      <c r="G38" s="1">
        <v>1.2771393330000001E-6</v>
      </c>
      <c r="H38" s="1">
        <v>0</v>
      </c>
      <c r="I38" s="1">
        <v>100</v>
      </c>
      <c r="J38" s="1">
        <v>0</v>
      </c>
      <c r="K38" s="1">
        <v>0</v>
      </c>
      <c r="L38" s="1">
        <v>0</v>
      </c>
      <c r="M38" s="1">
        <v>100</v>
      </c>
      <c r="N38" s="1">
        <v>0</v>
      </c>
      <c r="O38" s="1">
        <v>0</v>
      </c>
      <c r="P38" s="1">
        <v>0</v>
      </c>
      <c r="Q38" s="1">
        <f t="shared" si="0"/>
        <v>16</v>
      </c>
      <c r="R38" s="1">
        <f t="shared" si="1"/>
        <v>16770.076151039924</v>
      </c>
      <c r="S38" s="1">
        <f t="shared" si="2"/>
        <v>12.27300262</v>
      </c>
      <c r="T38" s="1">
        <f t="shared" si="3"/>
        <v>20</v>
      </c>
      <c r="U38" s="1">
        <v>99.999998719999994</v>
      </c>
      <c r="V38" s="1">
        <f t="shared" si="4"/>
        <v>88</v>
      </c>
      <c r="W38" s="1">
        <f t="shared" si="5"/>
        <v>12</v>
      </c>
    </row>
    <row r="39" spans="1:23" ht="12.5">
      <c r="A39" s="1" t="s">
        <v>113</v>
      </c>
      <c r="B39" s="1">
        <v>0</v>
      </c>
      <c r="C39" s="1">
        <v>28435.943360000001</v>
      </c>
      <c r="D39" s="1">
        <v>88.278999330000005</v>
      </c>
      <c r="E39" s="1">
        <v>93.685800709999995</v>
      </c>
      <c r="F39" s="1">
        <v>0.4707829181</v>
      </c>
      <c r="G39" s="1">
        <v>5.8434163730000002</v>
      </c>
      <c r="H39" s="1" t="s">
        <v>29</v>
      </c>
      <c r="I39" s="1" t="s">
        <v>29</v>
      </c>
      <c r="J39" s="1" t="s">
        <v>29</v>
      </c>
      <c r="K39" s="1" t="s">
        <v>29</v>
      </c>
      <c r="L39" s="1" t="s">
        <v>29</v>
      </c>
      <c r="M39" s="1" t="s">
        <v>29</v>
      </c>
      <c r="N39" s="1" t="s">
        <v>29</v>
      </c>
      <c r="O39" s="1" t="s">
        <v>29</v>
      </c>
      <c r="P39" s="1" t="s">
        <v>29</v>
      </c>
      <c r="Q39" s="1">
        <f t="shared" si="0"/>
        <v>16</v>
      </c>
      <c r="R39" s="1">
        <f t="shared" si="1"/>
        <v>25102.966248253582</v>
      </c>
      <c r="S39" s="1">
        <f t="shared" si="2"/>
        <v>11.721000669999995</v>
      </c>
      <c r="T39" s="1">
        <f t="shared" si="3"/>
        <v>29</v>
      </c>
      <c r="U39" s="1">
        <v>93.685800709999995</v>
      </c>
      <c r="V39" s="1">
        <f t="shared" si="4"/>
        <v>88</v>
      </c>
      <c r="W39" s="1">
        <f t="shared" si="5"/>
        <v>12</v>
      </c>
    </row>
    <row r="40" spans="1:23" ht="12.5">
      <c r="A40" s="1" t="s">
        <v>91</v>
      </c>
      <c r="B40" s="1">
        <v>3</v>
      </c>
      <c r="C40" s="1">
        <v>55.196998600000001</v>
      </c>
      <c r="D40" s="1">
        <v>87.152999879999996</v>
      </c>
      <c r="E40" s="1">
        <v>99.773771659999994</v>
      </c>
      <c r="F40" s="1">
        <v>0</v>
      </c>
      <c r="G40" s="1">
        <v>0.22622834150000001</v>
      </c>
      <c r="H40" s="1">
        <v>0</v>
      </c>
      <c r="I40" s="1" t="s">
        <v>29</v>
      </c>
      <c r="J40" s="1" t="s">
        <v>29</v>
      </c>
      <c r="K40" s="1" t="s">
        <v>29</v>
      </c>
      <c r="L40" s="1" t="s">
        <v>29</v>
      </c>
      <c r="M40" s="1" t="s">
        <v>29</v>
      </c>
      <c r="N40" s="1" t="s">
        <v>29</v>
      </c>
      <c r="O40" s="1" t="s">
        <v>29</v>
      </c>
      <c r="P40" s="1" t="s">
        <v>29</v>
      </c>
      <c r="Q40" s="1">
        <f t="shared" si="0"/>
        <v>16</v>
      </c>
      <c r="R40" s="1">
        <f t="shared" si="1"/>
        <v>48.105840123621597</v>
      </c>
      <c r="S40" s="1">
        <f t="shared" si="2"/>
        <v>12.847000120000004</v>
      </c>
      <c r="T40" s="1">
        <f t="shared" si="3"/>
        <v>1</v>
      </c>
      <c r="U40" s="1">
        <v>99.773771659999994</v>
      </c>
      <c r="V40" s="1">
        <f t="shared" si="4"/>
        <v>87</v>
      </c>
      <c r="W40" s="1">
        <f t="shared" si="5"/>
        <v>13</v>
      </c>
    </row>
    <row r="41" spans="1:23" ht="12.5">
      <c r="A41" s="1" t="s">
        <v>93</v>
      </c>
      <c r="B41" s="1">
        <v>4</v>
      </c>
      <c r="C41" s="1">
        <v>56.771999360000002</v>
      </c>
      <c r="D41" s="1">
        <v>87.282005310000002</v>
      </c>
      <c r="E41" s="1">
        <v>100.0000017</v>
      </c>
      <c r="F41" s="1">
        <v>0</v>
      </c>
      <c r="G41" s="1">
        <v>0</v>
      </c>
      <c r="H41" s="1">
        <v>0</v>
      </c>
      <c r="I41" s="1">
        <v>100</v>
      </c>
      <c r="J41" s="1">
        <v>0</v>
      </c>
      <c r="K41" s="1">
        <v>0</v>
      </c>
      <c r="L41" s="1">
        <v>0</v>
      </c>
      <c r="M41" s="1">
        <v>100</v>
      </c>
      <c r="N41" s="1">
        <v>0</v>
      </c>
      <c r="O41" s="1">
        <v>0</v>
      </c>
      <c r="P41" s="1">
        <v>0</v>
      </c>
      <c r="Q41" s="1">
        <f t="shared" si="0"/>
        <v>16</v>
      </c>
      <c r="R41" s="1">
        <f t="shared" si="1"/>
        <v>49.551739495988365</v>
      </c>
      <c r="S41" s="1">
        <f t="shared" si="2"/>
        <v>12.717994689999998</v>
      </c>
      <c r="T41" s="1">
        <f t="shared" si="3"/>
        <v>1</v>
      </c>
      <c r="U41" s="1">
        <v>100</v>
      </c>
      <c r="V41" s="1">
        <f t="shared" si="4"/>
        <v>87</v>
      </c>
      <c r="W41" s="1">
        <f t="shared" si="5"/>
        <v>13</v>
      </c>
    </row>
    <row r="42" spans="1:23" ht="12.5">
      <c r="A42" s="1" t="s">
        <v>116</v>
      </c>
      <c r="B42" s="1">
        <v>4</v>
      </c>
      <c r="C42" s="1">
        <v>4822.2329099999997</v>
      </c>
      <c r="D42" s="1">
        <v>86.698997500000004</v>
      </c>
      <c r="E42" s="1">
        <v>100.00000129999999</v>
      </c>
      <c r="F42" s="1">
        <v>0</v>
      </c>
      <c r="G42" s="1">
        <v>0</v>
      </c>
      <c r="H42" s="1">
        <v>0</v>
      </c>
      <c r="I42" s="1">
        <v>100</v>
      </c>
      <c r="J42" s="1">
        <v>0</v>
      </c>
      <c r="K42" s="1">
        <v>0</v>
      </c>
      <c r="L42" s="1">
        <v>0</v>
      </c>
      <c r="M42" s="1">
        <v>100</v>
      </c>
      <c r="N42" s="1">
        <v>0</v>
      </c>
      <c r="O42" s="1">
        <v>0</v>
      </c>
      <c r="P42" s="1">
        <v>0</v>
      </c>
      <c r="Q42" s="1">
        <f t="shared" si="0"/>
        <v>16</v>
      </c>
      <c r="R42" s="1">
        <f t="shared" si="1"/>
        <v>4180.8275900850776</v>
      </c>
      <c r="S42" s="1">
        <f t="shared" si="2"/>
        <v>13.301002499999996</v>
      </c>
      <c r="T42" s="1">
        <f t="shared" si="3"/>
        <v>5</v>
      </c>
      <c r="U42" s="1">
        <v>100</v>
      </c>
      <c r="V42" s="1">
        <f t="shared" si="4"/>
        <v>87</v>
      </c>
      <c r="W42" s="1">
        <f t="shared" si="5"/>
        <v>13</v>
      </c>
    </row>
    <row r="43" spans="1:23" ht="12.5">
      <c r="A43" s="1" t="s">
        <v>118</v>
      </c>
      <c r="B43" s="1">
        <v>4</v>
      </c>
      <c r="C43" s="1">
        <v>9890.4003909999992</v>
      </c>
      <c r="D43" s="1">
        <v>87.047996519999998</v>
      </c>
      <c r="E43" s="1">
        <v>99.965596000000005</v>
      </c>
      <c r="F43" s="1">
        <v>0</v>
      </c>
      <c r="G43" s="1">
        <v>3.4403999999999997E-2</v>
      </c>
      <c r="H43" s="1">
        <v>0</v>
      </c>
      <c r="I43" s="1" t="s">
        <v>29</v>
      </c>
      <c r="J43" s="1" t="s">
        <v>29</v>
      </c>
      <c r="K43" s="1" t="s">
        <v>29</v>
      </c>
      <c r="L43" s="1" t="s">
        <v>29</v>
      </c>
      <c r="M43" s="1" t="s">
        <v>29</v>
      </c>
      <c r="N43" s="1" t="s">
        <v>29</v>
      </c>
      <c r="O43" s="1" t="s">
        <v>29</v>
      </c>
      <c r="P43" s="1" t="s">
        <v>29</v>
      </c>
      <c r="Q43" s="1">
        <f t="shared" si="0"/>
        <v>16</v>
      </c>
      <c r="R43" s="1">
        <f t="shared" si="1"/>
        <v>8609.3953881717443</v>
      </c>
      <c r="S43" s="1">
        <f t="shared" si="2"/>
        <v>12.952003480000002</v>
      </c>
      <c r="T43" s="1">
        <f t="shared" si="3"/>
        <v>10</v>
      </c>
      <c r="U43" s="1">
        <v>99.965596000000005</v>
      </c>
      <c r="V43" s="1">
        <f t="shared" si="4"/>
        <v>87</v>
      </c>
      <c r="W43" s="1">
        <f t="shared" si="5"/>
        <v>13</v>
      </c>
    </row>
    <row r="44" spans="1:23" ht="12.5">
      <c r="A44" s="1" t="s">
        <v>119</v>
      </c>
      <c r="B44" s="1">
        <v>3</v>
      </c>
      <c r="C44" s="1">
        <v>212559.4063</v>
      </c>
      <c r="D44" s="1">
        <v>87.072998049999995</v>
      </c>
      <c r="E44" s="1">
        <v>99.320852990000006</v>
      </c>
      <c r="F44" s="1">
        <v>0.12654900390000001</v>
      </c>
      <c r="G44" s="1">
        <v>0.55259800989999996</v>
      </c>
      <c r="H44" s="1" t="s">
        <v>29</v>
      </c>
      <c r="I44" s="1">
        <v>95.945259530000001</v>
      </c>
      <c r="J44" s="1">
        <v>0.97895091540000001</v>
      </c>
      <c r="K44" s="1">
        <v>3.0757895510000002</v>
      </c>
      <c r="L44" s="1" t="s">
        <v>29</v>
      </c>
      <c r="M44" s="1">
        <v>99.822001310000005</v>
      </c>
      <c r="N44" s="1">
        <v>0</v>
      </c>
      <c r="O44" s="1">
        <v>0.1779986949</v>
      </c>
      <c r="P44" s="1">
        <v>0</v>
      </c>
      <c r="Q44" s="1">
        <f t="shared" si="0"/>
        <v>16</v>
      </c>
      <c r="R44" s="1">
        <f t="shared" si="1"/>
        <v>185081.84770269057</v>
      </c>
      <c r="S44" s="1">
        <f t="shared" si="2"/>
        <v>12.927001950000005</v>
      </c>
      <c r="T44" s="1">
        <f t="shared" si="3"/>
        <v>213</v>
      </c>
      <c r="U44" s="1">
        <v>99.320852990000006</v>
      </c>
      <c r="V44" s="1">
        <f t="shared" si="4"/>
        <v>87</v>
      </c>
      <c r="W44" s="1">
        <f t="shared" si="5"/>
        <v>13</v>
      </c>
    </row>
    <row r="45" spans="1:23" ht="12.5">
      <c r="A45" s="1" t="s">
        <v>121</v>
      </c>
      <c r="B45" s="1">
        <v>0</v>
      </c>
      <c r="C45" s="1">
        <v>298.68200680000001</v>
      </c>
      <c r="D45" s="1">
        <v>85.819999690000003</v>
      </c>
      <c r="E45" s="1">
        <v>93.782216349999999</v>
      </c>
      <c r="F45" s="1">
        <v>0</v>
      </c>
      <c r="G45" s="1">
        <v>6.2177836519999996</v>
      </c>
      <c r="H45" s="1">
        <v>0</v>
      </c>
      <c r="I45" s="1" t="s">
        <v>29</v>
      </c>
      <c r="J45" s="1" t="s">
        <v>29</v>
      </c>
      <c r="K45" s="1" t="s">
        <v>29</v>
      </c>
      <c r="L45" s="1" t="s">
        <v>29</v>
      </c>
      <c r="M45" s="1" t="s">
        <v>29</v>
      </c>
      <c r="N45" s="1" t="s">
        <v>29</v>
      </c>
      <c r="O45" s="1" t="s">
        <v>29</v>
      </c>
      <c r="P45" s="1" t="s">
        <v>29</v>
      </c>
      <c r="Q45" s="1">
        <f t="shared" si="0"/>
        <v>16</v>
      </c>
      <c r="R45" s="1">
        <f t="shared" si="1"/>
        <v>256.32889730984579</v>
      </c>
      <c r="S45" s="1">
        <f t="shared" si="2"/>
        <v>14.180000309999997</v>
      </c>
      <c r="T45" s="1">
        <f t="shared" si="3"/>
        <v>1</v>
      </c>
      <c r="U45" s="1">
        <v>93.782216349999999</v>
      </c>
      <c r="V45" s="1">
        <f t="shared" si="4"/>
        <v>86</v>
      </c>
      <c r="W45" s="1">
        <f t="shared" si="5"/>
        <v>14</v>
      </c>
    </row>
    <row r="46" spans="1:23" ht="12.5">
      <c r="A46" s="1" t="s">
        <v>123</v>
      </c>
      <c r="B46" s="1">
        <v>4</v>
      </c>
      <c r="C46" s="1">
        <v>5106.6220700000003</v>
      </c>
      <c r="D46" s="1">
        <v>86.275993349999993</v>
      </c>
      <c r="E46" s="1">
        <v>92.168024689999996</v>
      </c>
      <c r="F46" s="1">
        <v>7.5414198929999996</v>
      </c>
      <c r="G46" s="1">
        <v>0.26040520360000002</v>
      </c>
      <c r="H46" s="1">
        <v>3.0150217449999999E-2</v>
      </c>
      <c r="I46" s="1">
        <v>76.250779910000006</v>
      </c>
      <c r="J46" s="1">
        <v>21.632121130000002</v>
      </c>
      <c r="K46" s="1">
        <v>1.897409218</v>
      </c>
      <c r="L46" s="1">
        <v>0.21968973750000001</v>
      </c>
      <c r="M46" s="1">
        <v>94.7</v>
      </c>
      <c r="N46" s="1">
        <v>5.3</v>
      </c>
      <c r="O46" s="1">
        <v>0</v>
      </c>
      <c r="P46" s="1">
        <v>0</v>
      </c>
      <c r="Q46" s="1">
        <f t="shared" si="0"/>
        <v>16</v>
      </c>
      <c r="R46" s="1">
        <f t="shared" si="1"/>
        <v>4405.788917522832</v>
      </c>
      <c r="S46" s="1">
        <f t="shared" si="2"/>
        <v>13.724006650000007</v>
      </c>
      <c r="T46" s="1">
        <f t="shared" si="3"/>
        <v>6</v>
      </c>
      <c r="U46" s="1">
        <v>92.168024689999996</v>
      </c>
      <c r="V46" s="1">
        <f t="shared" si="4"/>
        <v>86</v>
      </c>
      <c r="W46" s="1">
        <f t="shared" si="5"/>
        <v>14</v>
      </c>
    </row>
    <row r="47" spans="1:23" ht="12.5">
      <c r="A47" s="1" t="s">
        <v>124</v>
      </c>
      <c r="B47" s="1">
        <v>4</v>
      </c>
      <c r="C47" s="1">
        <v>5540.7177730000003</v>
      </c>
      <c r="D47" s="1">
        <v>85.517005920000003</v>
      </c>
      <c r="E47" s="1">
        <v>100.0000033</v>
      </c>
      <c r="F47" s="1">
        <v>0</v>
      </c>
      <c r="G47" s="1">
        <v>0</v>
      </c>
      <c r="H47" s="1">
        <v>0</v>
      </c>
      <c r="I47" s="1">
        <v>100</v>
      </c>
      <c r="J47" s="1">
        <v>0</v>
      </c>
      <c r="K47" s="1">
        <v>0</v>
      </c>
      <c r="L47" s="1">
        <v>0</v>
      </c>
      <c r="M47" s="1">
        <v>100</v>
      </c>
      <c r="N47" s="1">
        <v>0</v>
      </c>
      <c r="O47" s="1">
        <v>0</v>
      </c>
      <c r="P47" s="1">
        <v>0</v>
      </c>
      <c r="Q47" s="1">
        <f t="shared" si="0"/>
        <v>16</v>
      </c>
      <c r="R47" s="1">
        <f t="shared" si="1"/>
        <v>4738.2559459469021</v>
      </c>
      <c r="S47" s="1">
        <f t="shared" si="2"/>
        <v>14.482994079999997</v>
      </c>
      <c r="T47" s="1">
        <f t="shared" si="3"/>
        <v>6</v>
      </c>
      <c r="U47" s="1">
        <v>100</v>
      </c>
      <c r="V47" s="1">
        <f t="shared" si="4"/>
        <v>86</v>
      </c>
      <c r="W47" s="1">
        <f t="shared" si="5"/>
        <v>14</v>
      </c>
    </row>
    <row r="48" spans="1:23" ht="12.5">
      <c r="A48" s="1" t="s">
        <v>126</v>
      </c>
      <c r="B48" s="1">
        <v>4</v>
      </c>
      <c r="C48" s="1">
        <v>25499.880860000001</v>
      </c>
      <c r="D48" s="1">
        <v>86.240997309999997</v>
      </c>
      <c r="E48" s="1">
        <v>99.969811820000004</v>
      </c>
      <c r="F48" s="1">
        <v>0</v>
      </c>
      <c r="G48" s="1">
        <v>3.0188178730000001E-2</v>
      </c>
      <c r="H48" s="1">
        <v>0</v>
      </c>
      <c r="I48" s="1">
        <v>100</v>
      </c>
      <c r="J48" s="1">
        <v>0</v>
      </c>
      <c r="K48" s="1">
        <v>0</v>
      </c>
      <c r="L48" s="1">
        <v>0</v>
      </c>
      <c r="M48" s="1">
        <v>99.965000000000003</v>
      </c>
      <c r="N48" s="1">
        <v>0</v>
      </c>
      <c r="O48" s="1">
        <v>3.5000000000000003E-2</v>
      </c>
      <c r="P48" s="1">
        <v>0</v>
      </c>
      <c r="Q48" s="1">
        <f t="shared" si="0"/>
        <v>16</v>
      </c>
      <c r="R48" s="1">
        <f t="shared" si="1"/>
        <v>21991.351566525806</v>
      </c>
      <c r="S48" s="1">
        <f t="shared" si="2"/>
        <v>13.759002690000003</v>
      </c>
      <c r="T48" s="1">
        <f t="shared" si="3"/>
        <v>26</v>
      </c>
      <c r="U48" s="1">
        <v>99.969811820000004</v>
      </c>
      <c r="V48" s="1">
        <f t="shared" si="4"/>
        <v>86</v>
      </c>
      <c r="W48" s="1">
        <f t="shared" si="5"/>
        <v>14</v>
      </c>
    </row>
    <row r="49" spans="1:23" ht="12.5">
      <c r="A49" s="1" t="s">
        <v>127</v>
      </c>
      <c r="B49" s="1">
        <v>4</v>
      </c>
      <c r="C49" s="1">
        <v>34813.867189999997</v>
      </c>
      <c r="D49" s="1">
        <v>84.287002560000005</v>
      </c>
      <c r="E49" s="1">
        <v>100</v>
      </c>
      <c r="F49" s="1">
        <v>0</v>
      </c>
      <c r="G49" s="1">
        <v>0</v>
      </c>
      <c r="H49" s="1">
        <v>0</v>
      </c>
      <c r="I49" s="1" t="s">
        <v>29</v>
      </c>
      <c r="J49" s="1" t="s">
        <v>29</v>
      </c>
      <c r="K49" s="1" t="s">
        <v>29</v>
      </c>
      <c r="L49" s="1" t="s">
        <v>29</v>
      </c>
      <c r="M49" s="1" t="s">
        <v>29</v>
      </c>
      <c r="N49" s="1" t="s">
        <v>29</v>
      </c>
      <c r="O49" s="1" t="s">
        <v>29</v>
      </c>
      <c r="P49" s="1" t="s">
        <v>29</v>
      </c>
      <c r="Q49" s="1">
        <f t="shared" si="0"/>
        <v>16</v>
      </c>
      <c r="R49" s="1">
        <f t="shared" si="1"/>
        <v>29343.5651296703</v>
      </c>
      <c r="S49" s="1">
        <f t="shared" si="2"/>
        <v>15.712997439999995</v>
      </c>
      <c r="T49" s="1">
        <f t="shared" si="3"/>
        <v>35</v>
      </c>
      <c r="U49" s="1">
        <v>100</v>
      </c>
      <c r="V49" s="1">
        <f t="shared" si="4"/>
        <v>84</v>
      </c>
      <c r="W49" s="1">
        <f t="shared" si="5"/>
        <v>16</v>
      </c>
    </row>
    <row r="50" spans="1:23" ht="12.5">
      <c r="A50" s="1" t="s">
        <v>128</v>
      </c>
      <c r="B50" s="1">
        <v>4</v>
      </c>
      <c r="C50" s="1">
        <v>67886.007809999996</v>
      </c>
      <c r="D50" s="1">
        <v>83.902999879999996</v>
      </c>
      <c r="E50" s="1">
        <v>99.999998559999995</v>
      </c>
      <c r="F50" s="1">
        <v>0</v>
      </c>
      <c r="G50" s="1">
        <v>1.4385328199999999E-6</v>
      </c>
      <c r="H50" s="1">
        <v>0</v>
      </c>
      <c r="I50" s="1">
        <v>100</v>
      </c>
      <c r="J50" s="1">
        <v>0</v>
      </c>
      <c r="K50" s="1">
        <v>0</v>
      </c>
      <c r="L50" s="1">
        <v>0</v>
      </c>
      <c r="M50" s="1">
        <v>100</v>
      </c>
      <c r="N50" s="1">
        <v>0</v>
      </c>
      <c r="O50" s="1">
        <v>0</v>
      </c>
      <c r="P50" s="1">
        <v>0</v>
      </c>
      <c r="Q50" s="1">
        <f t="shared" si="0"/>
        <v>16</v>
      </c>
      <c r="R50" s="1">
        <f t="shared" si="1"/>
        <v>56958.397051361084</v>
      </c>
      <c r="S50" s="1">
        <f t="shared" si="2"/>
        <v>16.097000120000004</v>
      </c>
      <c r="T50" s="1">
        <f t="shared" si="3"/>
        <v>68</v>
      </c>
      <c r="U50" s="1">
        <v>99.999998559999995</v>
      </c>
      <c r="V50" s="1">
        <f t="shared" si="4"/>
        <v>84</v>
      </c>
      <c r="W50" s="1">
        <f t="shared" si="5"/>
        <v>16</v>
      </c>
    </row>
    <row r="51" spans="1:23" ht="12.5">
      <c r="A51" s="1" t="s">
        <v>129</v>
      </c>
      <c r="B51" s="1">
        <v>4</v>
      </c>
      <c r="C51" s="1">
        <v>5421.2421880000002</v>
      </c>
      <c r="D51" s="1">
        <v>82.973991389999995</v>
      </c>
      <c r="E51" s="1">
        <v>99.999995499999997</v>
      </c>
      <c r="F51" s="1">
        <v>0</v>
      </c>
      <c r="G51" s="1">
        <v>4.5034074529999998E-6</v>
      </c>
      <c r="H51" s="1">
        <v>0</v>
      </c>
      <c r="I51" s="1">
        <v>100</v>
      </c>
      <c r="J51" s="1">
        <v>0</v>
      </c>
      <c r="K51" s="1">
        <v>0</v>
      </c>
      <c r="L51" s="1">
        <v>0</v>
      </c>
      <c r="M51" s="1">
        <v>100</v>
      </c>
      <c r="N51" s="1">
        <v>0</v>
      </c>
      <c r="O51" s="1">
        <v>0</v>
      </c>
      <c r="P51" s="1">
        <v>0</v>
      </c>
      <c r="Q51" s="1">
        <f t="shared" si="0"/>
        <v>16</v>
      </c>
      <c r="R51" s="1">
        <f t="shared" si="1"/>
        <v>4498.221026302167</v>
      </c>
      <c r="S51" s="1">
        <f t="shared" si="2"/>
        <v>17.026008610000005</v>
      </c>
      <c r="T51" s="1">
        <f t="shared" si="3"/>
        <v>6</v>
      </c>
      <c r="U51" s="1">
        <v>99.999995499999997</v>
      </c>
      <c r="V51" s="1">
        <f t="shared" si="4"/>
        <v>83</v>
      </c>
      <c r="W51" s="1">
        <f t="shared" si="5"/>
        <v>17</v>
      </c>
    </row>
    <row r="52" spans="1:23" ht="12.5">
      <c r="A52" s="1" t="s">
        <v>131</v>
      </c>
      <c r="B52" s="1">
        <v>3</v>
      </c>
      <c r="C52" s="1">
        <v>10847.9043</v>
      </c>
      <c r="D52" s="1">
        <v>82.540000919999997</v>
      </c>
      <c r="E52" s="1">
        <v>96.686811919999997</v>
      </c>
      <c r="F52" s="1">
        <v>0.46703865039999998</v>
      </c>
      <c r="G52" s="1">
        <v>1.2694287829999999</v>
      </c>
      <c r="H52" s="1">
        <v>1.5767206439999999</v>
      </c>
      <c r="I52" s="1">
        <v>90.304464370000005</v>
      </c>
      <c r="J52" s="1">
        <v>1.3853155079999999</v>
      </c>
      <c r="K52" s="1">
        <v>1.1151181269999999</v>
      </c>
      <c r="L52" s="1">
        <v>7.1951019909999996</v>
      </c>
      <c r="M52" s="1">
        <v>98.036891580000002</v>
      </c>
      <c r="N52" s="1">
        <v>0.27279203590000001</v>
      </c>
      <c r="O52" s="1">
        <v>1.3020733959999999</v>
      </c>
      <c r="P52" s="1">
        <v>0.38824299220000003</v>
      </c>
      <c r="Q52" s="1">
        <f t="shared" si="0"/>
        <v>16</v>
      </c>
      <c r="R52" s="1">
        <f t="shared" si="1"/>
        <v>8953.8603090207198</v>
      </c>
      <c r="S52" s="1">
        <f t="shared" si="2"/>
        <v>17.459999080000003</v>
      </c>
      <c r="T52" s="1">
        <f t="shared" si="3"/>
        <v>11</v>
      </c>
      <c r="U52" s="1">
        <v>96.686811919999997</v>
      </c>
      <c r="V52" s="1">
        <f t="shared" si="4"/>
        <v>83</v>
      </c>
      <c r="W52" s="1">
        <f t="shared" si="5"/>
        <v>17</v>
      </c>
    </row>
    <row r="53" spans="1:23" ht="12.5">
      <c r="A53" s="1" t="s">
        <v>132</v>
      </c>
      <c r="B53" s="1">
        <v>4</v>
      </c>
      <c r="C53" s="1">
        <v>331002.65629999997</v>
      </c>
      <c r="D53" s="1">
        <v>82.664001459999994</v>
      </c>
      <c r="E53" s="1">
        <v>99.883526680000003</v>
      </c>
      <c r="F53" s="1">
        <v>0</v>
      </c>
      <c r="G53" s="1">
        <v>0.1164733182</v>
      </c>
      <c r="H53" s="1">
        <v>0</v>
      </c>
      <c r="I53" s="1">
        <v>99.670787340000004</v>
      </c>
      <c r="J53" s="1">
        <v>0</v>
      </c>
      <c r="K53" s="1">
        <v>0.3292126628</v>
      </c>
      <c r="L53" s="1">
        <v>0</v>
      </c>
      <c r="M53" s="1">
        <v>99.928144470000007</v>
      </c>
      <c r="N53" s="1">
        <v>0</v>
      </c>
      <c r="O53" s="1">
        <v>7.1855529599999995E-2</v>
      </c>
      <c r="P53" s="1">
        <v>0</v>
      </c>
      <c r="Q53" s="1">
        <f t="shared" si="0"/>
        <v>16</v>
      </c>
      <c r="R53" s="1">
        <f t="shared" si="1"/>
        <v>273620.04063647072</v>
      </c>
      <c r="S53" s="1">
        <f t="shared" si="2"/>
        <v>17.335998540000006</v>
      </c>
      <c r="T53" s="1">
        <f t="shared" si="3"/>
        <v>332</v>
      </c>
      <c r="U53" s="1">
        <v>99.883526680000003</v>
      </c>
      <c r="V53" s="1">
        <f t="shared" si="4"/>
        <v>83</v>
      </c>
      <c r="W53" s="1">
        <f t="shared" si="5"/>
        <v>17</v>
      </c>
    </row>
    <row r="54" spans="1:23" ht="12.5">
      <c r="A54" s="1" t="s">
        <v>134</v>
      </c>
      <c r="B54" s="1">
        <v>4</v>
      </c>
      <c r="C54" s="1">
        <v>37742.15625</v>
      </c>
      <c r="D54" s="1">
        <v>81.562004090000002</v>
      </c>
      <c r="E54" s="1">
        <v>99.221810660000003</v>
      </c>
      <c r="F54" s="1">
        <v>0</v>
      </c>
      <c r="G54" s="1">
        <v>0.77818933690000003</v>
      </c>
      <c r="H54" s="1">
        <v>0</v>
      </c>
      <c r="I54" s="1">
        <v>99.060495900000006</v>
      </c>
      <c r="J54" s="1">
        <v>0</v>
      </c>
      <c r="K54" s="1">
        <v>0.9395041006</v>
      </c>
      <c r="L54" s="1">
        <v>0</v>
      </c>
      <c r="M54" s="1">
        <v>99.258277660000005</v>
      </c>
      <c r="N54" s="1">
        <v>0</v>
      </c>
      <c r="O54" s="1">
        <v>0.74172233710000002</v>
      </c>
      <c r="P54" s="1">
        <v>0</v>
      </c>
      <c r="Q54" s="1">
        <f t="shared" si="0"/>
        <v>16</v>
      </c>
      <c r="R54" s="1">
        <f t="shared" si="1"/>
        <v>30783.259024279192</v>
      </c>
      <c r="S54" s="1">
        <f t="shared" si="2"/>
        <v>18.437995909999998</v>
      </c>
      <c r="T54" s="1">
        <f t="shared" si="3"/>
        <v>38</v>
      </c>
      <c r="U54" s="1">
        <v>99.221810660000003</v>
      </c>
      <c r="V54" s="1">
        <f t="shared" si="4"/>
        <v>82</v>
      </c>
      <c r="W54" s="1">
        <f t="shared" si="5"/>
        <v>18</v>
      </c>
    </row>
    <row r="55" spans="1:23" ht="12.5">
      <c r="A55" s="1" t="s">
        <v>78</v>
      </c>
      <c r="B55" s="1">
        <v>3</v>
      </c>
      <c r="C55" s="1">
        <v>18.091999049999998</v>
      </c>
      <c r="D55" s="1">
        <v>80.987998959999999</v>
      </c>
      <c r="E55" s="1">
        <v>99.657545499999998</v>
      </c>
      <c r="F55" s="1">
        <v>0</v>
      </c>
      <c r="G55" s="1">
        <v>0.34245449839999997</v>
      </c>
      <c r="H55" s="1">
        <v>0</v>
      </c>
      <c r="I55" s="1">
        <v>99.756985029999996</v>
      </c>
      <c r="J55" s="1">
        <v>0</v>
      </c>
      <c r="K55" s="1">
        <v>0.2430149677</v>
      </c>
      <c r="L55" s="1">
        <v>0</v>
      </c>
      <c r="M55" s="1">
        <v>99.634201989999994</v>
      </c>
      <c r="N55" s="1">
        <v>0</v>
      </c>
      <c r="O55" s="1">
        <v>0.36579800779999999</v>
      </c>
      <c r="P55" s="1">
        <v>0</v>
      </c>
      <c r="Q55" s="1">
        <f t="shared" si="0"/>
        <v>16</v>
      </c>
      <c r="R55" s="1">
        <f t="shared" si="1"/>
        <v>14.652348002457208</v>
      </c>
      <c r="S55" s="1">
        <f t="shared" si="2"/>
        <v>19.012001040000001</v>
      </c>
      <c r="T55" s="1">
        <f t="shared" si="3"/>
        <v>1</v>
      </c>
      <c r="U55" s="1">
        <v>99.657545499999998</v>
      </c>
      <c r="V55" s="1">
        <f t="shared" si="4"/>
        <v>81</v>
      </c>
      <c r="W55" s="1">
        <f t="shared" si="5"/>
        <v>19</v>
      </c>
    </row>
    <row r="56" spans="1:23" ht="12.5">
      <c r="A56" s="1" t="s">
        <v>136</v>
      </c>
      <c r="B56" s="1">
        <v>3</v>
      </c>
      <c r="C56" s="1">
        <v>5094.1137699999999</v>
      </c>
      <c r="D56" s="1">
        <v>80.770996089999997</v>
      </c>
      <c r="E56" s="1">
        <v>99.810536929999998</v>
      </c>
      <c r="F56" s="1">
        <v>0.18945947460000001</v>
      </c>
      <c r="G56" s="1">
        <v>3.5944518969999999E-6</v>
      </c>
      <c r="H56" s="1">
        <v>0</v>
      </c>
      <c r="I56" s="1">
        <v>99.646249999999995</v>
      </c>
      <c r="J56" s="1">
        <v>0.35375000000000001</v>
      </c>
      <c r="K56" s="1">
        <v>0</v>
      </c>
      <c r="L56" s="1">
        <v>0</v>
      </c>
      <c r="M56" s="1">
        <v>99.849652860000006</v>
      </c>
      <c r="N56" s="1">
        <v>0.15034714290000001</v>
      </c>
      <c r="O56" s="1">
        <v>0</v>
      </c>
      <c r="P56" s="1">
        <v>0</v>
      </c>
      <c r="Q56" s="1">
        <f t="shared" si="0"/>
        <v>16</v>
      </c>
      <c r="R56" s="1">
        <f t="shared" si="1"/>
        <v>4114.5664339868517</v>
      </c>
      <c r="S56" s="1">
        <f t="shared" si="2"/>
        <v>19.229003910000003</v>
      </c>
      <c r="T56" s="1">
        <f t="shared" si="3"/>
        <v>6</v>
      </c>
      <c r="U56" s="1">
        <v>99.810536929999998</v>
      </c>
      <c r="V56" s="1">
        <f t="shared" si="4"/>
        <v>81</v>
      </c>
      <c r="W56" s="1">
        <f t="shared" si="5"/>
        <v>19</v>
      </c>
    </row>
    <row r="57" spans="1:23" ht="12.5">
      <c r="A57" s="1" t="s">
        <v>138</v>
      </c>
      <c r="B57" s="1">
        <v>3</v>
      </c>
      <c r="C57" s="1">
        <v>6871.2871089999999</v>
      </c>
      <c r="D57" s="1">
        <v>80.691001889999995</v>
      </c>
      <c r="E57" s="1">
        <v>99.891523800000002</v>
      </c>
      <c r="F57" s="1">
        <v>0</v>
      </c>
      <c r="G57" s="1">
        <v>0.1084762012</v>
      </c>
      <c r="H57" s="1">
        <v>0</v>
      </c>
      <c r="I57" s="1" t="s">
        <v>29</v>
      </c>
      <c r="J57" s="1" t="s">
        <v>29</v>
      </c>
      <c r="K57" s="1" t="s">
        <v>29</v>
      </c>
      <c r="L57" s="1" t="s">
        <v>29</v>
      </c>
      <c r="M57" s="1" t="s">
        <v>29</v>
      </c>
      <c r="N57" s="1" t="s">
        <v>29</v>
      </c>
      <c r="O57" s="1" t="s">
        <v>29</v>
      </c>
      <c r="P57" s="1" t="s">
        <v>29</v>
      </c>
      <c r="Q57" s="1">
        <f t="shared" si="0"/>
        <v>16</v>
      </c>
      <c r="R57" s="1">
        <f t="shared" si="1"/>
        <v>5544.510410990516</v>
      </c>
      <c r="S57" s="1">
        <f t="shared" si="2"/>
        <v>19.308998110000005</v>
      </c>
      <c r="T57" s="1">
        <f t="shared" si="3"/>
        <v>7</v>
      </c>
      <c r="U57" s="1">
        <v>99.891523800000002</v>
      </c>
      <c r="V57" s="1">
        <f t="shared" si="4"/>
        <v>81</v>
      </c>
      <c r="W57" s="1">
        <f t="shared" si="5"/>
        <v>19</v>
      </c>
    </row>
    <row r="58" spans="1:23" ht="12.5">
      <c r="A58" s="1" t="s">
        <v>140</v>
      </c>
      <c r="B58" s="1">
        <v>4</v>
      </c>
      <c r="C58" s="1">
        <v>46754.78125</v>
      </c>
      <c r="D58" s="1">
        <v>80.809997559999999</v>
      </c>
      <c r="E58" s="1">
        <v>99.925612610000002</v>
      </c>
      <c r="F58" s="1">
        <v>0</v>
      </c>
      <c r="G58" s="1">
        <v>7.4387391420000004E-2</v>
      </c>
      <c r="H58" s="1">
        <v>0</v>
      </c>
      <c r="I58" s="1">
        <v>100</v>
      </c>
      <c r="J58" s="1">
        <v>0</v>
      </c>
      <c r="K58" s="1">
        <v>0</v>
      </c>
      <c r="L58" s="1">
        <v>0</v>
      </c>
      <c r="M58" s="1">
        <v>99.907945209999994</v>
      </c>
      <c r="N58" s="1">
        <v>0</v>
      </c>
      <c r="O58" s="1">
        <v>9.2054794519999997E-2</v>
      </c>
      <c r="P58" s="1">
        <v>0</v>
      </c>
      <c r="Q58" s="1">
        <f t="shared" si="0"/>
        <v>16</v>
      </c>
      <c r="R58" s="1">
        <f t="shared" si="1"/>
        <v>37782.537587308339</v>
      </c>
      <c r="S58" s="1">
        <f t="shared" si="2"/>
        <v>19.190002440000001</v>
      </c>
      <c r="T58" s="1">
        <f t="shared" si="3"/>
        <v>47</v>
      </c>
      <c r="U58" s="1">
        <v>99.925612610000002</v>
      </c>
      <c r="V58" s="1">
        <f t="shared" si="4"/>
        <v>81</v>
      </c>
      <c r="W58" s="1">
        <f t="shared" si="5"/>
        <v>19</v>
      </c>
    </row>
    <row r="59" spans="1:23" ht="12.5">
      <c r="A59" s="1" t="s">
        <v>141</v>
      </c>
      <c r="B59" s="1">
        <v>3</v>
      </c>
      <c r="C59" s="1">
        <v>50882.882810000003</v>
      </c>
      <c r="D59" s="1">
        <v>81.424995420000002</v>
      </c>
      <c r="E59" s="1">
        <v>97.491657110000006</v>
      </c>
      <c r="F59" s="1">
        <v>0.18615215909999999</v>
      </c>
      <c r="G59" s="1">
        <v>0.95361622280000002</v>
      </c>
      <c r="H59" s="1">
        <v>1.3685745119999999</v>
      </c>
      <c r="I59" s="1">
        <v>86.767072819999996</v>
      </c>
      <c r="J59" s="1">
        <v>0.73122820160000002</v>
      </c>
      <c r="K59" s="1">
        <v>5.13386897</v>
      </c>
      <c r="L59" s="1">
        <v>7.3678300050000001</v>
      </c>
      <c r="M59" s="1">
        <v>99.938192799999996</v>
      </c>
      <c r="N59" s="1">
        <v>6.18072E-2</v>
      </c>
      <c r="O59" s="1">
        <v>0</v>
      </c>
      <c r="P59" s="1">
        <v>0</v>
      </c>
      <c r="Q59" s="1">
        <f t="shared" si="0"/>
        <v>16</v>
      </c>
      <c r="R59" s="1">
        <f t="shared" si="1"/>
        <v>41431.384997606474</v>
      </c>
      <c r="S59" s="1">
        <f t="shared" si="2"/>
        <v>18.575004579999998</v>
      </c>
      <c r="T59" s="1">
        <f t="shared" si="3"/>
        <v>51</v>
      </c>
      <c r="U59" s="1">
        <v>97.491657110000006</v>
      </c>
      <c r="V59" s="1">
        <f t="shared" si="4"/>
        <v>81</v>
      </c>
      <c r="W59" s="1">
        <f t="shared" si="5"/>
        <v>19</v>
      </c>
    </row>
    <row r="60" spans="1:23" ht="12.5">
      <c r="A60" s="1" t="s">
        <v>143</v>
      </c>
      <c r="B60" s="1">
        <v>4</v>
      </c>
      <c r="C60" s="1">
        <v>51269.183590000001</v>
      </c>
      <c r="D60" s="1">
        <v>81.414001459999994</v>
      </c>
      <c r="E60" s="1">
        <v>99.931396649999996</v>
      </c>
      <c r="F60" s="1">
        <v>0</v>
      </c>
      <c r="G60" s="1">
        <v>6.8603352960000002E-2</v>
      </c>
      <c r="H60" s="1">
        <v>0</v>
      </c>
      <c r="I60" s="1" t="s">
        <v>29</v>
      </c>
      <c r="J60" s="1" t="s">
        <v>29</v>
      </c>
      <c r="K60" s="1" t="s">
        <v>29</v>
      </c>
      <c r="L60" s="1" t="s">
        <v>29</v>
      </c>
      <c r="M60" s="1" t="s">
        <v>29</v>
      </c>
      <c r="N60" s="1" t="s">
        <v>29</v>
      </c>
      <c r="O60" s="1" t="s">
        <v>29</v>
      </c>
      <c r="P60" s="1" t="s">
        <v>29</v>
      </c>
      <c r="Q60" s="1">
        <f t="shared" si="0"/>
        <v>16</v>
      </c>
      <c r="R60" s="1">
        <f t="shared" si="1"/>
        <v>41740.29387649268</v>
      </c>
      <c r="S60" s="1">
        <f t="shared" si="2"/>
        <v>18.585998540000006</v>
      </c>
      <c r="T60" s="1">
        <f t="shared" si="3"/>
        <v>52</v>
      </c>
      <c r="U60" s="1">
        <v>99.931396649999996</v>
      </c>
      <c r="V60" s="1">
        <f t="shared" si="4"/>
        <v>81</v>
      </c>
      <c r="W60" s="1">
        <f t="shared" si="5"/>
        <v>19</v>
      </c>
    </row>
    <row r="61" spans="1:23" ht="12.5">
      <c r="A61" s="1" t="s">
        <v>144</v>
      </c>
      <c r="B61" s="1">
        <v>4</v>
      </c>
      <c r="C61" s="1">
        <v>65273.511720000002</v>
      </c>
      <c r="D61" s="1">
        <v>80.974998470000003</v>
      </c>
      <c r="E61" s="1">
        <v>99.999998500000004</v>
      </c>
      <c r="F61" s="1">
        <v>0</v>
      </c>
      <c r="G61" s="1">
        <v>1.49610841E-6</v>
      </c>
      <c r="H61" s="1">
        <v>0</v>
      </c>
      <c r="I61" s="1">
        <v>100</v>
      </c>
      <c r="J61" s="1">
        <v>0</v>
      </c>
      <c r="K61" s="1">
        <v>0</v>
      </c>
      <c r="L61" s="1">
        <v>0</v>
      </c>
      <c r="M61" s="1">
        <v>100</v>
      </c>
      <c r="N61" s="1">
        <v>0</v>
      </c>
      <c r="O61" s="1">
        <v>0</v>
      </c>
      <c r="P61" s="1">
        <v>0</v>
      </c>
      <c r="Q61" s="1">
        <f t="shared" si="0"/>
        <v>16</v>
      </c>
      <c r="R61" s="1">
        <f t="shared" si="1"/>
        <v>52855.225116585272</v>
      </c>
      <c r="S61" s="1">
        <f t="shared" si="2"/>
        <v>19.025001529999997</v>
      </c>
      <c r="T61" s="1">
        <f t="shared" si="3"/>
        <v>66</v>
      </c>
      <c r="U61" s="1">
        <v>99.999998500000004</v>
      </c>
      <c r="V61" s="1">
        <f t="shared" si="4"/>
        <v>81</v>
      </c>
      <c r="W61" s="1">
        <f t="shared" si="5"/>
        <v>19</v>
      </c>
    </row>
    <row r="62" spans="1:23" ht="12.5">
      <c r="A62" s="1" t="s">
        <v>145</v>
      </c>
      <c r="B62" s="1">
        <v>3</v>
      </c>
      <c r="C62" s="1">
        <v>128932.75</v>
      </c>
      <c r="D62" s="1">
        <v>80.730995179999994</v>
      </c>
      <c r="E62" s="1">
        <v>99.679568279999998</v>
      </c>
      <c r="F62" s="1">
        <v>0</v>
      </c>
      <c r="G62" s="1">
        <v>0.3204317169</v>
      </c>
      <c r="H62" s="1">
        <v>0</v>
      </c>
      <c r="I62" s="1">
        <v>98.337068930000001</v>
      </c>
      <c r="J62" s="1">
        <v>0</v>
      </c>
      <c r="K62" s="1">
        <v>1.6629310669999999</v>
      </c>
      <c r="L62" s="1">
        <v>0</v>
      </c>
      <c r="M62" s="1">
        <v>100</v>
      </c>
      <c r="N62" s="1">
        <v>0</v>
      </c>
      <c r="O62" s="1">
        <v>0</v>
      </c>
      <c r="P62" s="1">
        <v>0</v>
      </c>
      <c r="Q62" s="1">
        <f t="shared" si="0"/>
        <v>16</v>
      </c>
      <c r="R62" s="1">
        <f t="shared" si="1"/>
        <v>104088.69218794144</v>
      </c>
      <c r="S62" s="1">
        <f t="shared" si="2"/>
        <v>19.269004820000006</v>
      </c>
      <c r="T62" s="1">
        <f t="shared" si="3"/>
        <v>129</v>
      </c>
      <c r="U62" s="1">
        <v>99.679568279999998</v>
      </c>
      <c r="V62" s="1">
        <f t="shared" si="4"/>
        <v>81</v>
      </c>
      <c r="W62" s="1">
        <f t="shared" si="5"/>
        <v>19</v>
      </c>
    </row>
    <row r="63" spans="1:23" ht="12.5">
      <c r="A63" s="1" t="s">
        <v>147</v>
      </c>
      <c r="B63" s="1">
        <v>4</v>
      </c>
      <c r="C63" s="1">
        <v>10423.05566</v>
      </c>
      <c r="D63" s="1">
        <v>79.715003969999998</v>
      </c>
      <c r="E63" s="1">
        <v>100.00000230000001</v>
      </c>
      <c r="F63" s="1">
        <v>0</v>
      </c>
      <c r="G63" s="1">
        <v>0</v>
      </c>
      <c r="H63" s="1">
        <v>0</v>
      </c>
      <c r="I63" s="1">
        <v>100</v>
      </c>
      <c r="J63" s="1">
        <v>0</v>
      </c>
      <c r="K63" s="1">
        <v>0</v>
      </c>
      <c r="L63" s="1">
        <v>0</v>
      </c>
      <c r="M63" s="1">
        <v>100</v>
      </c>
      <c r="N63" s="1">
        <v>0</v>
      </c>
      <c r="O63" s="1">
        <v>0</v>
      </c>
      <c r="P63" s="1">
        <v>0</v>
      </c>
      <c r="Q63" s="1">
        <f t="shared" si="0"/>
        <v>16</v>
      </c>
      <c r="R63" s="1">
        <f t="shared" si="1"/>
        <v>8308.7392331643096</v>
      </c>
      <c r="S63" s="1">
        <f t="shared" si="2"/>
        <v>20.284996030000002</v>
      </c>
      <c r="T63" s="1">
        <f t="shared" si="3"/>
        <v>11</v>
      </c>
      <c r="U63" s="1">
        <v>100</v>
      </c>
      <c r="V63" s="1">
        <f t="shared" si="4"/>
        <v>80</v>
      </c>
      <c r="W63" s="1">
        <f t="shared" si="5"/>
        <v>20</v>
      </c>
    </row>
    <row r="64" spans="1:23" ht="12.5">
      <c r="A64" s="1" t="s">
        <v>41</v>
      </c>
      <c r="B64" s="1">
        <v>0</v>
      </c>
      <c r="C64" s="1">
        <v>3.4830000399999999</v>
      </c>
      <c r="D64" s="1">
        <v>78.507995609999995</v>
      </c>
      <c r="E64" s="1">
        <v>95.308927400000002</v>
      </c>
      <c r="F64" s="1">
        <v>0</v>
      </c>
      <c r="G64" s="1">
        <v>4.6910725959999997</v>
      </c>
      <c r="H64" s="1">
        <v>0</v>
      </c>
      <c r="I64" s="1">
        <v>78.172942820000003</v>
      </c>
      <c r="J64" s="1">
        <v>0</v>
      </c>
      <c r="K64" s="1">
        <v>21.827057180000001</v>
      </c>
      <c r="L64" s="1">
        <v>0</v>
      </c>
      <c r="M64" s="1">
        <v>100</v>
      </c>
      <c r="N64" s="1">
        <v>0</v>
      </c>
      <c r="O64" s="1">
        <v>0</v>
      </c>
      <c r="P64" s="1">
        <v>0</v>
      </c>
      <c r="Q64" s="1">
        <f t="shared" si="0"/>
        <v>16</v>
      </c>
      <c r="R64" s="1">
        <f t="shared" si="1"/>
        <v>2.7344335184994977</v>
      </c>
      <c r="S64" s="1">
        <f t="shared" si="2"/>
        <v>21.492004390000005</v>
      </c>
      <c r="T64" s="1">
        <f t="shared" si="3"/>
        <v>1</v>
      </c>
      <c r="U64" s="1">
        <v>95.308927400000002</v>
      </c>
      <c r="V64" s="1">
        <f t="shared" si="4"/>
        <v>79</v>
      </c>
      <c r="W64" s="1">
        <f t="shared" si="5"/>
        <v>21</v>
      </c>
    </row>
    <row r="65" spans="1:23" ht="12.5">
      <c r="A65" s="1" t="s">
        <v>150</v>
      </c>
      <c r="B65" s="1">
        <v>3</v>
      </c>
      <c r="C65" s="1">
        <v>9449.3212889999995</v>
      </c>
      <c r="D65" s="1">
        <v>79.483001709999996</v>
      </c>
      <c r="E65" s="1">
        <v>96.534726079999999</v>
      </c>
      <c r="F65" s="1">
        <v>3.3721195499999999</v>
      </c>
      <c r="G65" s="1">
        <v>9.3154368370000004E-2</v>
      </c>
      <c r="H65" s="1">
        <v>0</v>
      </c>
      <c r="I65" s="1">
        <v>98.564122310000002</v>
      </c>
      <c r="J65" s="1">
        <v>0.9955971951</v>
      </c>
      <c r="K65" s="1">
        <v>0.4402804931</v>
      </c>
      <c r="L65" s="1">
        <v>0</v>
      </c>
      <c r="M65" s="1">
        <v>96.010873619999998</v>
      </c>
      <c r="N65" s="1">
        <v>3.9855726439999999</v>
      </c>
      <c r="O65" s="1">
        <v>3.5537319770000001E-3</v>
      </c>
      <c r="P65" s="1">
        <v>0</v>
      </c>
      <c r="Q65" s="1">
        <f t="shared" si="0"/>
        <v>16</v>
      </c>
      <c r="R65" s="1">
        <f t="shared" si="1"/>
        <v>7510.604201719264</v>
      </c>
      <c r="S65" s="1">
        <f t="shared" si="2"/>
        <v>20.516998290000004</v>
      </c>
      <c r="T65" s="1">
        <f t="shared" si="3"/>
        <v>10</v>
      </c>
      <c r="U65" s="1">
        <v>96.534726079999999</v>
      </c>
      <c r="V65" s="1">
        <f t="shared" si="4"/>
        <v>79</v>
      </c>
      <c r="W65" s="1">
        <f t="shared" si="5"/>
        <v>21</v>
      </c>
    </row>
    <row r="66" spans="1:23" ht="12.5">
      <c r="A66" s="1" t="s">
        <v>97</v>
      </c>
      <c r="B66" s="1">
        <v>3</v>
      </c>
      <c r="C66" s="1">
        <v>59.194000240000001</v>
      </c>
      <c r="D66" s="8">
        <v>77.793991090000006</v>
      </c>
      <c r="E66" s="8">
        <v>88.572046979999996</v>
      </c>
      <c r="F66" s="8">
        <v>11.387979</v>
      </c>
      <c r="G66" s="8">
        <v>3.9974025849999997E-2</v>
      </c>
      <c r="H66" s="8">
        <v>0</v>
      </c>
      <c r="I66" s="8">
        <v>94.429720000000003</v>
      </c>
      <c r="J66" s="8">
        <v>5.3902799999999997</v>
      </c>
      <c r="K66" s="1">
        <v>0.18</v>
      </c>
      <c r="L66" s="8">
        <v>0</v>
      </c>
      <c r="M66" s="8">
        <v>86.9</v>
      </c>
      <c r="N66" s="8">
        <v>13.1</v>
      </c>
      <c r="O66" s="8">
        <v>0</v>
      </c>
      <c r="P66" s="8">
        <v>0</v>
      </c>
      <c r="Q66" s="1">
        <f t="shared" si="0"/>
        <v>16</v>
      </c>
      <c r="R66" s="1">
        <f t="shared" si="1"/>
        <v>46.04937527252018</v>
      </c>
      <c r="S66" s="1">
        <f t="shared" si="2"/>
        <v>22.206008909999994</v>
      </c>
      <c r="T66" s="1">
        <f t="shared" si="3"/>
        <v>1</v>
      </c>
      <c r="U66" s="8">
        <v>88.572046979999996</v>
      </c>
      <c r="V66" s="1">
        <f t="shared" si="4"/>
        <v>78</v>
      </c>
      <c r="W66" s="1">
        <f t="shared" si="5"/>
        <v>22</v>
      </c>
    </row>
    <row r="67" spans="1:23" ht="12.5">
      <c r="A67" s="1" t="s">
        <v>133</v>
      </c>
      <c r="B67" s="1">
        <v>4</v>
      </c>
      <c r="C67" s="1">
        <v>437.48300169999999</v>
      </c>
      <c r="D67" s="1">
        <v>78.250007629999999</v>
      </c>
      <c r="E67" s="1">
        <v>99.900036799999995</v>
      </c>
      <c r="F67" s="1">
        <v>0</v>
      </c>
      <c r="G67" s="1">
        <v>9.9963200360000004E-2</v>
      </c>
      <c r="H67" s="1">
        <v>0</v>
      </c>
      <c r="I67" s="1" t="s">
        <v>29</v>
      </c>
      <c r="J67" s="1" t="s">
        <v>29</v>
      </c>
      <c r="K67" s="1" t="s">
        <v>29</v>
      </c>
      <c r="L67" s="1" t="s">
        <v>29</v>
      </c>
      <c r="M67" s="1">
        <v>99.65</v>
      </c>
      <c r="N67" s="1">
        <v>0</v>
      </c>
      <c r="O67" s="1">
        <v>0.35</v>
      </c>
      <c r="P67" s="1">
        <v>0</v>
      </c>
      <c r="Q67" s="1">
        <f t="shared" si="0"/>
        <v>16</v>
      </c>
      <c r="R67" s="1">
        <f t="shared" si="1"/>
        <v>342.330482210203</v>
      </c>
      <c r="S67" s="1">
        <f t="shared" si="2"/>
        <v>21.749992370000001</v>
      </c>
      <c r="T67" s="1">
        <f t="shared" si="3"/>
        <v>1</v>
      </c>
      <c r="U67" s="1">
        <v>99.900036799999995</v>
      </c>
      <c r="V67" s="1">
        <f t="shared" si="4"/>
        <v>78</v>
      </c>
      <c r="W67" s="1">
        <f t="shared" si="5"/>
        <v>22</v>
      </c>
    </row>
    <row r="68" spans="1:23" ht="12.5">
      <c r="A68" s="1" t="s">
        <v>152</v>
      </c>
      <c r="B68" s="1">
        <v>2</v>
      </c>
      <c r="C68" s="1">
        <v>988.00201419999996</v>
      </c>
      <c r="D68" s="1">
        <v>78.061996460000003</v>
      </c>
      <c r="E68" s="1">
        <v>76.049920209999996</v>
      </c>
      <c r="F68" s="1">
        <v>14.7574817</v>
      </c>
      <c r="G68" s="1">
        <v>7.0158760510000002</v>
      </c>
      <c r="H68" s="1">
        <v>2.1767220379999999</v>
      </c>
      <c r="I68" s="1">
        <v>47.280732929999999</v>
      </c>
      <c r="J68" s="1">
        <v>12.061610140000001</v>
      </c>
      <c r="K68" s="1">
        <v>30.735504679999998</v>
      </c>
      <c r="L68" s="1">
        <v>9.9221522489999998</v>
      </c>
      <c r="M68" s="1">
        <v>84.135014929999997</v>
      </c>
      <c r="N68" s="1">
        <v>15.51511107</v>
      </c>
      <c r="O68" s="1">
        <v>0.34987400289999998</v>
      </c>
      <c r="P68" s="1">
        <v>0</v>
      </c>
      <c r="Q68" s="1">
        <f t="shared" si="0"/>
        <v>16</v>
      </c>
      <c r="R68" s="1">
        <f t="shared" si="1"/>
        <v>771.25409734953269</v>
      </c>
      <c r="S68" s="1">
        <f t="shared" si="2"/>
        <v>21.938003539999997</v>
      </c>
      <c r="T68" s="1">
        <f t="shared" si="3"/>
        <v>1</v>
      </c>
      <c r="U68" s="1">
        <v>76.049920209999996</v>
      </c>
      <c r="V68" s="1">
        <f t="shared" si="4"/>
        <v>78</v>
      </c>
      <c r="W68" s="1">
        <f t="shared" si="5"/>
        <v>22</v>
      </c>
    </row>
    <row r="69" spans="1:23" ht="12.5">
      <c r="A69" s="1" t="s">
        <v>153</v>
      </c>
      <c r="B69" s="1">
        <v>3</v>
      </c>
      <c r="C69" s="1">
        <v>32971.847659999999</v>
      </c>
      <c r="D69" s="1">
        <v>78.297004700000002</v>
      </c>
      <c r="E69" s="1">
        <v>93.139366210000006</v>
      </c>
      <c r="F69" s="1">
        <v>0.84955935110000003</v>
      </c>
      <c r="G69" s="1">
        <v>4.1504683489999996</v>
      </c>
      <c r="H69" s="1">
        <v>1.8606060870000001</v>
      </c>
      <c r="I69" s="1">
        <v>80.79943849</v>
      </c>
      <c r="J69" s="1">
        <v>1.5969437710000001</v>
      </c>
      <c r="K69" s="1">
        <v>9.6126911629999992</v>
      </c>
      <c r="L69" s="1">
        <v>7.9909265779999998</v>
      </c>
      <c r="M69" s="1">
        <v>96.559844080000005</v>
      </c>
      <c r="N69" s="1">
        <v>0.64239323559999995</v>
      </c>
      <c r="O69" s="1">
        <v>2.6364086929999999</v>
      </c>
      <c r="P69" s="1">
        <v>0.1613539953</v>
      </c>
      <c r="Q69" s="1">
        <f t="shared" si="0"/>
        <v>16</v>
      </c>
      <c r="R69" s="1">
        <f t="shared" si="1"/>
        <v>25815.96911202704</v>
      </c>
      <c r="S69" s="1">
        <f t="shared" si="2"/>
        <v>21.702995299999998</v>
      </c>
      <c r="T69" s="1">
        <f t="shared" si="3"/>
        <v>33</v>
      </c>
      <c r="U69" s="1">
        <v>93.139366210000006</v>
      </c>
      <c r="V69" s="1">
        <f t="shared" si="4"/>
        <v>78</v>
      </c>
      <c r="W69" s="1">
        <f t="shared" si="5"/>
        <v>22</v>
      </c>
    </row>
    <row r="70" spans="1:23" ht="12.5">
      <c r="A70" s="1" t="s">
        <v>155</v>
      </c>
      <c r="B70" s="1">
        <v>2</v>
      </c>
      <c r="C70" s="1">
        <v>5101.4160160000001</v>
      </c>
      <c r="D70" s="1">
        <v>76.718994140000007</v>
      </c>
      <c r="E70" s="1">
        <v>97.880397220000006</v>
      </c>
      <c r="F70" s="1">
        <v>1.029979486</v>
      </c>
      <c r="G70" s="1">
        <v>1.089623295</v>
      </c>
      <c r="H70" s="1" t="s">
        <v>29</v>
      </c>
      <c r="I70" s="1">
        <v>98.715556419999999</v>
      </c>
      <c r="J70" s="1">
        <v>0.31740062730000002</v>
      </c>
      <c r="K70" s="1">
        <v>0.96704295760000003</v>
      </c>
      <c r="L70" s="1" t="s">
        <v>29</v>
      </c>
      <c r="M70" s="1">
        <v>97.626964430000001</v>
      </c>
      <c r="N70" s="1">
        <v>1.246217358</v>
      </c>
      <c r="O70" s="1">
        <v>1.126818208</v>
      </c>
      <c r="P70" s="1" t="s">
        <v>29</v>
      </c>
      <c r="Q70" s="1">
        <f t="shared" si="0"/>
        <v>16</v>
      </c>
      <c r="R70" s="1">
        <f t="shared" si="1"/>
        <v>3913.7550543720617</v>
      </c>
      <c r="S70" s="1">
        <f t="shared" si="2"/>
        <v>23.281005859999993</v>
      </c>
      <c r="T70" s="1">
        <f t="shared" si="3"/>
        <v>6</v>
      </c>
      <c r="U70" s="1">
        <v>97.880397220000006</v>
      </c>
      <c r="V70" s="1">
        <f t="shared" si="4"/>
        <v>77</v>
      </c>
      <c r="W70" s="1">
        <f t="shared" si="5"/>
        <v>23</v>
      </c>
    </row>
    <row r="71" spans="1:23" ht="12.5">
      <c r="A71" s="1" t="s">
        <v>157</v>
      </c>
      <c r="B71" s="1">
        <v>3</v>
      </c>
      <c r="C71" s="1">
        <v>11326.61621</v>
      </c>
      <c r="D71" s="1">
        <v>77.194000239999994</v>
      </c>
      <c r="E71" s="1">
        <v>97.002696159999999</v>
      </c>
      <c r="F71" s="1">
        <v>1.471384542</v>
      </c>
      <c r="G71" s="1">
        <v>1.252811506</v>
      </c>
      <c r="H71" s="1">
        <v>0.27310779629999998</v>
      </c>
      <c r="I71" s="1">
        <v>94.386651139999998</v>
      </c>
      <c r="J71" s="1">
        <v>2.591752445</v>
      </c>
      <c r="K71" s="1">
        <v>1.9059729350000001</v>
      </c>
      <c r="L71" s="1">
        <v>1.115623477</v>
      </c>
      <c r="M71" s="1">
        <v>97.775576639999997</v>
      </c>
      <c r="N71" s="1">
        <v>1.1403859000000001</v>
      </c>
      <c r="O71" s="1">
        <v>1.059840374</v>
      </c>
      <c r="P71" s="1">
        <v>2.4197084109999999E-2</v>
      </c>
      <c r="Q71" s="1">
        <f t="shared" si="0"/>
        <v>16</v>
      </c>
      <c r="R71" s="1">
        <f t="shared" si="1"/>
        <v>8743.4681443312784</v>
      </c>
      <c r="S71" s="1">
        <f t="shared" si="2"/>
        <v>22.805999760000006</v>
      </c>
      <c r="T71" s="1">
        <f t="shared" si="3"/>
        <v>12</v>
      </c>
      <c r="U71" s="1">
        <v>97.002696159999999</v>
      </c>
      <c r="V71" s="1">
        <f t="shared" si="4"/>
        <v>77</v>
      </c>
      <c r="W71" s="1">
        <f t="shared" si="5"/>
        <v>23</v>
      </c>
    </row>
    <row r="72" spans="1:23" ht="12.5">
      <c r="A72" s="1" t="s">
        <v>159</v>
      </c>
      <c r="B72" s="1">
        <v>3</v>
      </c>
      <c r="C72" s="1">
        <v>32365.998049999998</v>
      </c>
      <c r="D72" s="1">
        <v>77.159996030000002</v>
      </c>
      <c r="E72" s="1">
        <v>97.09990707</v>
      </c>
      <c r="F72" s="1">
        <v>0.35453968650000001</v>
      </c>
      <c r="G72" s="1">
        <v>2.5455532409999999</v>
      </c>
      <c r="H72" s="1" t="s">
        <v>29</v>
      </c>
      <c r="I72" s="1">
        <v>90.197448120000004</v>
      </c>
      <c r="J72" s="1">
        <v>0.54445139710000001</v>
      </c>
      <c r="K72" s="1">
        <v>9.2581004779999994</v>
      </c>
      <c r="L72" s="1" t="s">
        <v>29</v>
      </c>
      <c r="M72" s="1">
        <v>99.14309591</v>
      </c>
      <c r="N72" s="1">
        <v>0.29832426049999999</v>
      </c>
      <c r="O72" s="1">
        <v>0.46857983190000002</v>
      </c>
      <c r="P72" s="1">
        <v>0.09</v>
      </c>
      <c r="Q72" s="1">
        <f t="shared" si="0"/>
        <v>16</v>
      </c>
      <c r="R72" s="1">
        <f t="shared" si="1"/>
        <v>24973.602810449876</v>
      </c>
      <c r="S72" s="1">
        <f t="shared" si="2"/>
        <v>22.840003969999998</v>
      </c>
      <c r="T72" s="1">
        <f t="shared" si="3"/>
        <v>33</v>
      </c>
      <c r="U72" s="1">
        <v>97.09990707</v>
      </c>
      <c r="V72" s="1">
        <f t="shared" si="4"/>
        <v>77</v>
      </c>
      <c r="W72" s="1">
        <f t="shared" si="5"/>
        <v>23</v>
      </c>
    </row>
    <row r="73" spans="1:23" ht="12.5">
      <c r="A73" s="1" t="s">
        <v>161</v>
      </c>
      <c r="B73" s="1">
        <v>4</v>
      </c>
      <c r="C73" s="1">
        <v>83783.945309999996</v>
      </c>
      <c r="D73" s="1">
        <v>77.453002929999997</v>
      </c>
      <c r="E73" s="1">
        <v>100.00000230000001</v>
      </c>
      <c r="F73" s="1">
        <v>0</v>
      </c>
      <c r="G73" s="1">
        <v>0</v>
      </c>
      <c r="H73" s="1">
        <v>0</v>
      </c>
      <c r="I73" s="1">
        <v>100</v>
      </c>
      <c r="J73" s="1">
        <v>0</v>
      </c>
      <c r="K73" s="1">
        <v>0</v>
      </c>
      <c r="L73" s="1">
        <v>0</v>
      </c>
      <c r="M73" s="1">
        <v>100</v>
      </c>
      <c r="N73" s="1">
        <v>0</v>
      </c>
      <c r="O73" s="1">
        <v>0</v>
      </c>
      <c r="P73" s="1">
        <v>0</v>
      </c>
      <c r="Q73" s="1">
        <f t="shared" si="0"/>
        <v>16</v>
      </c>
      <c r="R73" s="1">
        <f t="shared" si="1"/>
        <v>64893.181615823887</v>
      </c>
      <c r="S73" s="1">
        <f t="shared" si="2"/>
        <v>22.546997070000003</v>
      </c>
      <c r="T73" s="1">
        <f t="shared" si="3"/>
        <v>84</v>
      </c>
      <c r="U73" s="1">
        <v>100</v>
      </c>
      <c r="V73" s="1">
        <f t="shared" si="4"/>
        <v>77</v>
      </c>
      <c r="W73" s="1">
        <f t="shared" si="5"/>
        <v>23</v>
      </c>
    </row>
    <row r="74" spans="1:23" ht="12.5">
      <c r="A74" s="1" t="s">
        <v>162</v>
      </c>
      <c r="B74" s="1">
        <v>3</v>
      </c>
      <c r="C74" s="1">
        <v>6948.4448240000002</v>
      </c>
      <c r="D74" s="1">
        <v>75.685997009999994</v>
      </c>
      <c r="E74" s="1">
        <v>99.011416940000004</v>
      </c>
      <c r="F74" s="1">
        <v>0</v>
      </c>
      <c r="G74" s="1">
        <v>0.98858306070000002</v>
      </c>
      <c r="H74" s="1">
        <v>0</v>
      </c>
      <c r="I74" s="1">
        <v>97.401287969999998</v>
      </c>
      <c r="J74" s="1">
        <v>0</v>
      </c>
      <c r="K74" s="1">
        <v>2.5987120309999998</v>
      </c>
      <c r="L74" s="1">
        <v>0</v>
      </c>
      <c r="M74" s="1">
        <v>99.528670399999996</v>
      </c>
      <c r="N74" s="1">
        <v>0</v>
      </c>
      <c r="O74" s="1">
        <v>0.47132960070000002</v>
      </c>
      <c r="P74" s="1">
        <v>0</v>
      </c>
      <c r="Q74" s="1">
        <f t="shared" si="0"/>
        <v>16</v>
      </c>
      <c r="R74" s="1">
        <f t="shared" si="1"/>
        <v>5258.9997417341392</v>
      </c>
      <c r="S74" s="1">
        <f t="shared" si="2"/>
        <v>24.314002990000006</v>
      </c>
      <c r="T74" s="1">
        <f t="shared" si="3"/>
        <v>7</v>
      </c>
      <c r="U74" s="1">
        <v>99.011416940000004</v>
      </c>
      <c r="V74" s="1">
        <f t="shared" si="4"/>
        <v>76</v>
      </c>
      <c r="W74" s="1">
        <f t="shared" si="5"/>
        <v>24</v>
      </c>
    </row>
    <row r="75" spans="1:23" ht="12.5">
      <c r="A75" s="1" t="s">
        <v>164</v>
      </c>
      <c r="B75" s="1">
        <v>2</v>
      </c>
      <c r="C75" s="1">
        <v>83992.953129999994</v>
      </c>
      <c r="D75" s="1">
        <v>75.874000550000005</v>
      </c>
      <c r="E75" s="1">
        <v>97.482636330000005</v>
      </c>
      <c r="F75" s="1">
        <v>1.938311229</v>
      </c>
      <c r="G75" s="1">
        <v>0.51379736310000002</v>
      </c>
      <c r="H75" s="1">
        <v>6.5255081849999994E-2</v>
      </c>
      <c r="I75" s="1">
        <v>93.828735379999998</v>
      </c>
      <c r="J75" s="1">
        <v>4.2979487650000001</v>
      </c>
      <c r="K75" s="1">
        <v>1.602839669</v>
      </c>
      <c r="L75" s="1">
        <v>0.27047619049999999</v>
      </c>
      <c r="M75" s="1">
        <v>98.644486720000003</v>
      </c>
      <c r="N75" s="1">
        <v>1.1880066709999999</v>
      </c>
      <c r="O75" s="1">
        <v>0.1675066077</v>
      </c>
      <c r="P75" s="1">
        <v>0</v>
      </c>
      <c r="Q75" s="1">
        <f t="shared" si="0"/>
        <v>16</v>
      </c>
      <c r="R75" s="1">
        <f t="shared" si="1"/>
        <v>63728.813719817445</v>
      </c>
      <c r="S75" s="1">
        <f t="shared" si="2"/>
        <v>24.125999449999995</v>
      </c>
      <c r="T75" s="1">
        <f t="shared" si="3"/>
        <v>84</v>
      </c>
      <c r="U75" s="1">
        <v>97.482636330000005</v>
      </c>
      <c r="V75" s="1">
        <f t="shared" si="4"/>
        <v>76</v>
      </c>
      <c r="W75" s="1">
        <f t="shared" si="5"/>
        <v>24</v>
      </c>
    </row>
    <row r="76" spans="1:23" ht="12.5">
      <c r="A76" s="1" t="s">
        <v>166</v>
      </c>
      <c r="B76" s="1">
        <v>3</v>
      </c>
      <c r="C76" s="1">
        <v>84339.070309999996</v>
      </c>
      <c r="D76" s="1">
        <v>76.105003359999998</v>
      </c>
      <c r="E76" s="1">
        <v>97.014269159999998</v>
      </c>
      <c r="F76" s="1">
        <v>2.0230780749999999</v>
      </c>
      <c r="G76" s="1">
        <v>0.73767495449999998</v>
      </c>
      <c r="H76" s="1">
        <v>0.2249778093</v>
      </c>
      <c r="I76" s="1">
        <v>96.025169770000005</v>
      </c>
      <c r="J76" s="1">
        <v>2.684574639</v>
      </c>
      <c r="K76" s="1">
        <v>0.78825559109999999</v>
      </c>
      <c r="L76" s="1">
        <v>0.502</v>
      </c>
      <c r="M76" s="1">
        <v>97.324817830000001</v>
      </c>
      <c r="N76" s="1">
        <v>1.8153852029999999</v>
      </c>
      <c r="O76" s="1">
        <v>0.72179696339999999</v>
      </c>
      <c r="P76" s="1">
        <v>0.13800000000000001</v>
      </c>
      <c r="Q76" s="1">
        <f t="shared" si="0"/>
        <v>16</v>
      </c>
      <c r="R76" s="1">
        <f t="shared" si="1"/>
        <v>64186.252293218262</v>
      </c>
      <c r="S76" s="1">
        <f t="shared" si="2"/>
        <v>23.894996640000002</v>
      </c>
      <c r="T76" s="1">
        <f t="shared" si="3"/>
        <v>85</v>
      </c>
      <c r="U76" s="1">
        <v>97.014269159999998</v>
      </c>
      <c r="V76" s="1">
        <f t="shared" si="4"/>
        <v>76</v>
      </c>
      <c r="W76" s="1">
        <f t="shared" si="5"/>
        <v>24</v>
      </c>
    </row>
    <row r="77" spans="1:23" ht="12.5">
      <c r="A77" s="1" t="s">
        <v>76</v>
      </c>
      <c r="B77" s="1">
        <v>0</v>
      </c>
      <c r="C77" s="1">
        <v>17.56399918</v>
      </c>
      <c r="D77" s="1">
        <v>75.495002749999998</v>
      </c>
      <c r="E77" s="1">
        <v>99.971610220000002</v>
      </c>
      <c r="F77" s="1">
        <v>0</v>
      </c>
      <c r="G77" s="1">
        <v>2.8389782700000001E-2</v>
      </c>
      <c r="H77" s="1">
        <v>0</v>
      </c>
      <c r="I77" s="1" t="s">
        <v>29</v>
      </c>
      <c r="J77" s="1" t="s">
        <v>29</v>
      </c>
      <c r="K77" s="1" t="s">
        <v>29</v>
      </c>
      <c r="L77" s="1" t="s">
        <v>29</v>
      </c>
      <c r="M77" s="1" t="s">
        <v>29</v>
      </c>
      <c r="N77" s="1" t="s">
        <v>29</v>
      </c>
      <c r="O77" s="1" t="s">
        <v>29</v>
      </c>
      <c r="P77" s="1" t="s">
        <v>29</v>
      </c>
      <c r="Q77" s="1">
        <f t="shared" si="0"/>
        <v>16</v>
      </c>
      <c r="R77" s="1">
        <f t="shared" si="1"/>
        <v>13.259941663950977</v>
      </c>
      <c r="S77" s="1">
        <f t="shared" si="2"/>
        <v>24.504997250000002</v>
      </c>
      <c r="T77" s="1">
        <f t="shared" si="3"/>
        <v>1</v>
      </c>
      <c r="U77" s="1">
        <v>99.971610220000002</v>
      </c>
      <c r="V77" s="1">
        <f t="shared" si="4"/>
        <v>75</v>
      </c>
      <c r="W77" s="1">
        <f t="shared" si="5"/>
        <v>25</v>
      </c>
    </row>
    <row r="78" spans="1:23" ht="12.5">
      <c r="A78" s="1" t="s">
        <v>168</v>
      </c>
      <c r="B78" s="1">
        <v>3</v>
      </c>
      <c r="C78" s="1">
        <v>145934.45310000001</v>
      </c>
      <c r="D78" s="1">
        <v>74.754005430000007</v>
      </c>
      <c r="E78" s="1">
        <v>96.992548069999998</v>
      </c>
      <c r="F78" s="1">
        <v>0.62199637659999996</v>
      </c>
      <c r="G78" s="1">
        <v>2.3854555500000001</v>
      </c>
      <c r="H78" s="1" t="s">
        <v>29</v>
      </c>
      <c r="I78" s="1">
        <v>91.544101960000006</v>
      </c>
      <c r="J78" s="1">
        <v>1.5831635129999999</v>
      </c>
      <c r="K78" s="1">
        <v>6.8727345309999999</v>
      </c>
      <c r="L78" s="1" t="s">
        <v>29</v>
      </c>
      <c r="M78" s="1">
        <v>98.832599610000003</v>
      </c>
      <c r="N78" s="1">
        <v>0.29738996870000001</v>
      </c>
      <c r="O78" s="1">
        <v>0.67001042359999996</v>
      </c>
      <c r="P78" s="1">
        <v>0.2</v>
      </c>
      <c r="Q78" s="1">
        <f t="shared" si="0"/>
        <v>16</v>
      </c>
      <c r="R78" s="1">
        <f t="shared" si="1"/>
        <v>109091.84899461482</v>
      </c>
      <c r="S78" s="1">
        <f t="shared" si="2"/>
        <v>25.245994569999993</v>
      </c>
      <c r="T78" s="1">
        <f t="shared" si="3"/>
        <v>146</v>
      </c>
      <c r="U78" s="1">
        <v>96.992548069999998</v>
      </c>
      <c r="V78" s="1">
        <f t="shared" si="4"/>
        <v>75</v>
      </c>
      <c r="W78" s="1">
        <f t="shared" si="5"/>
        <v>25</v>
      </c>
    </row>
    <row r="79" spans="1:23" ht="12.5">
      <c r="A79" s="1" t="s">
        <v>114</v>
      </c>
      <c r="B79" s="1">
        <v>2</v>
      </c>
      <c r="C79" s="1">
        <v>219.16099550000001</v>
      </c>
      <c r="D79" s="1">
        <v>74.354003910000003</v>
      </c>
      <c r="E79" s="1">
        <v>78.22645516</v>
      </c>
      <c r="F79" s="1">
        <v>20.237982980000002</v>
      </c>
      <c r="G79" s="1">
        <v>0.44351992839999999</v>
      </c>
      <c r="H79" s="1">
        <v>1.0920419299999999</v>
      </c>
      <c r="I79" s="1">
        <v>74.300614490000001</v>
      </c>
      <c r="J79" s="1">
        <v>19.711842579999999</v>
      </c>
      <c r="K79" s="1">
        <v>1.7294057039999999</v>
      </c>
      <c r="L79" s="1">
        <v>4.2581372279999998</v>
      </c>
      <c r="M79" s="1">
        <v>79.580542899999998</v>
      </c>
      <c r="N79" s="1">
        <v>20.419457099999999</v>
      </c>
      <c r="O79" s="1">
        <v>0</v>
      </c>
      <c r="P79" s="1">
        <v>0</v>
      </c>
      <c r="Q79" s="1">
        <f t="shared" si="0"/>
        <v>16</v>
      </c>
      <c r="R79" s="1">
        <f t="shared" si="1"/>
        <v>162.95497516326492</v>
      </c>
      <c r="S79" s="1">
        <f t="shared" si="2"/>
        <v>25.645996089999997</v>
      </c>
      <c r="T79" s="1">
        <f t="shared" si="3"/>
        <v>1</v>
      </c>
      <c r="U79" s="1">
        <v>78.22645516</v>
      </c>
      <c r="V79" s="1">
        <f t="shared" si="4"/>
        <v>74</v>
      </c>
      <c r="W79" s="1">
        <f t="shared" si="5"/>
        <v>26</v>
      </c>
    </row>
    <row r="80" spans="1:23" ht="12.5">
      <c r="A80" s="1" t="s">
        <v>172</v>
      </c>
      <c r="B80" s="1">
        <v>4</v>
      </c>
      <c r="C80" s="1">
        <v>8654.6181639999995</v>
      </c>
      <c r="D80" s="1">
        <v>73.915000919999997</v>
      </c>
      <c r="E80" s="1">
        <v>100.0000028</v>
      </c>
      <c r="F80" s="1">
        <v>0</v>
      </c>
      <c r="G80" s="1">
        <v>0</v>
      </c>
      <c r="H80" s="1">
        <v>0</v>
      </c>
      <c r="I80" s="1">
        <v>100</v>
      </c>
      <c r="J80" s="1">
        <v>0</v>
      </c>
      <c r="K80" s="1">
        <v>0</v>
      </c>
      <c r="L80" s="1">
        <v>0</v>
      </c>
      <c r="M80" s="1">
        <v>100</v>
      </c>
      <c r="N80" s="1">
        <v>0</v>
      </c>
      <c r="O80" s="1">
        <v>0</v>
      </c>
      <c r="P80" s="1">
        <v>0</v>
      </c>
      <c r="Q80" s="1">
        <f t="shared" si="0"/>
        <v>16</v>
      </c>
      <c r="R80" s="1">
        <f t="shared" si="1"/>
        <v>6397.0610955430866</v>
      </c>
      <c r="S80" s="1">
        <f t="shared" si="2"/>
        <v>26.084999080000003</v>
      </c>
      <c r="T80" s="1">
        <f t="shared" si="3"/>
        <v>9</v>
      </c>
      <c r="U80" s="1">
        <v>100</v>
      </c>
      <c r="V80" s="1">
        <f t="shared" si="4"/>
        <v>74</v>
      </c>
      <c r="W80" s="1">
        <f t="shared" si="5"/>
        <v>26</v>
      </c>
    </row>
    <row r="81" spans="1:23" ht="12.5">
      <c r="A81" s="1" t="s">
        <v>173</v>
      </c>
      <c r="B81" s="1">
        <v>4</v>
      </c>
      <c r="C81" s="1">
        <v>10708.98242</v>
      </c>
      <c r="D81" s="1">
        <v>74.061004639999993</v>
      </c>
      <c r="E81" s="1">
        <v>99.880591670000001</v>
      </c>
      <c r="F81" s="1">
        <v>0</v>
      </c>
      <c r="G81" s="1">
        <v>0.11940833250000001</v>
      </c>
      <c r="H81" s="1">
        <v>0</v>
      </c>
      <c r="I81" s="1">
        <v>99.817599299999998</v>
      </c>
      <c r="J81" s="1">
        <v>0</v>
      </c>
      <c r="K81" s="1">
        <v>0.18240069649999999</v>
      </c>
      <c r="L81" s="1">
        <v>0</v>
      </c>
      <c r="M81" s="1">
        <v>99.902650929999993</v>
      </c>
      <c r="N81" s="1">
        <v>0</v>
      </c>
      <c r="O81" s="1">
        <v>9.7349067900000003E-2</v>
      </c>
      <c r="P81" s="1">
        <v>0</v>
      </c>
      <c r="Q81" s="1">
        <f t="shared" si="0"/>
        <v>16</v>
      </c>
      <c r="R81" s="1">
        <f t="shared" si="1"/>
        <v>7931.1799669729835</v>
      </c>
      <c r="S81" s="1">
        <f t="shared" si="2"/>
        <v>25.938995360000007</v>
      </c>
      <c r="T81" s="1">
        <f t="shared" si="3"/>
        <v>11</v>
      </c>
      <c r="U81" s="1">
        <v>99.880591670000001</v>
      </c>
      <c r="V81" s="1">
        <f t="shared" si="4"/>
        <v>74</v>
      </c>
      <c r="W81" s="1">
        <f t="shared" si="5"/>
        <v>26</v>
      </c>
    </row>
    <row r="82" spans="1:23" ht="12.5">
      <c r="A82" s="1" t="s">
        <v>175</v>
      </c>
      <c r="B82" s="1">
        <v>2</v>
      </c>
      <c r="C82" s="1">
        <v>43851.042970000002</v>
      </c>
      <c r="D82" s="1">
        <v>73.733001709999996</v>
      </c>
      <c r="E82" s="1">
        <v>94.43732996</v>
      </c>
      <c r="F82" s="1">
        <v>4.9858808420000003</v>
      </c>
      <c r="G82" s="1">
        <v>0.53183666380000005</v>
      </c>
      <c r="H82" s="1">
        <v>4.495253272E-2</v>
      </c>
      <c r="I82" s="1">
        <v>90.037537909999998</v>
      </c>
      <c r="J82" s="1">
        <v>8.79672214</v>
      </c>
      <c r="K82" s="1">
        <v>0.99460302810000001</v>
      </c>
      <c r="L82" s="1">
        <v>0.17113692580000001</v>
      </c>
      <c r="M82" s="1">
        <v>96.004735859999997</v>
      </c>
      <c r="N82" s="1">
        <v>3.628288591</v>
      </c>
      <c r="O82" s="1">
        <v>0.36697554780000002</v>
      </c>
      <c r="P82" s="1">
        <v>0</v>
      </c>
      <c r="Q82" s="1">
        <f t="shared" si="0"/>
        <v>16</v>
      </c>
      <c r="R82" s="1">
        <f t="shared" si="1"/>
        <v>32332.690262922937</v>
      </c>
      <c r="S82" s="1">
        <f t="shared" si="2"/>
        <v>26.266998290000004</v>
      </c>
      <c r="T82" s="1">
        <f t="shared" si="3"/>
        <v>44</v>
      </c>
      <c r="U82" s="1">
        <v>94.43732996</v>
      </c>
      <c r="V82" s="1">
        <f t="shared" si="4"/>
        <v>74</v>
      </c>
      <c r="W82" s="1">
        <f t="shared" si="5"/>
        <v>26</v>
      </c>
    </row>
    <row r="83" spans="1:23" ht="12.5">
      <c r="A83" s="1" t="s">
        <v>177</v>
      </c>
      <c r="B83" s="1">
        <v>2</v>
      </c>
      <c r="C83" s="1">
        <v>6486.201172</v>
      </c>
      <c r="D83" s="1">
        <v>73.444000239999994</v>
      </c>
      <c r="E83" s="1">
        <v>97.946575409999994</v>
      </c>
      <c r="F83" s="1">
        <v>0.20726323190000001</v>
      </c>
      <c r="G83" s="1">
        <v>0.31517399689999998</v>
      </c>
      <c r="H83" s="1">
        <v>1.530987366</v>
      </c>
      <c r="I83" s="1">
        <v>93.454395079999998</v>
      </c>
      <c r="J83" s="1">
        <v>0.78047620490000003</v>
      </c>
      <c r="K83" s="1">
        <v>0</v>
      </c>
      <c r="L83" s="1">
        <v>5.7651287120000001</v>
      </c>
      <c r="M83" s="1">
        <v>99.570870009999993</v>
      </c>
      <c r="N83" s="1">
        <v>0</v>
      </c>
      <c r="O83" s="1">
        <v>0.42912999439999999</v>
      </c>
      <c r="P83" s="1">
        <v>0</v>
      </c>
      <c r="Q83" s="1">
        <f t="shared" si="0"/>
        <v>16</v>
      </c>
      <c r="R83" s="1">
        <f t="shared" si="1"/>
        <v>4763.7256043305624</v>
      </c>
      <c r="S83" s="1">
        <f t="shared" si="2"/>
        <v>26.555999760000006</v>
      </c>
      <c r="T83" s="1">
        <f t="shared" si="3"/>
        <v>7</v>
      </c>
      <c r="U83" s="1">
        <v>97.946575409999994</v>
      </c>
      <c r="V83" s="1">
        <f t="shared" si="4"/>
        <v>73</v>
      </c>
      <c r="W83" s="1">
        <f t="shared" si="5"/>
        <v>27</v>
      </c>
    </row>
    <row r="84" spans="1:23" ht="12.5">
      <c r="A84" s="1" t="s">
        <v>120</v>
      </c>
      <c r="B84" s="1">
        <v>4</v>
      </c>
      <c r="C84" s="1">
        <v>285.4909973</v>
      </c>
      <c r="D84" s="1">
        <v>71.517997739999998</v>
      </c>
      <c r="E84" s="1">
        <v>99.305320570000006</v>
      </c>
      <c r="F84" s="1">
        <v>0</v>
      </c>
      <c r="G84" s="1">
        <v>0.69467942780000003</v>
      </c>
      <c r="H84" s="1">
        <v>0</v>
      </c>
      <c r="I84" s="1" t="s">
        <v>29</v>
      </c>
      <c r="J84" s="1" t="s">
        <v>29</v>
      </c>
      <c r="K84" s="1" t="s">
        <v>29</v>
      </c>
      <c r="L84" s="1" t="s">
        <v>29</v>
      </c>
      <c r="M84" s="1" t="s">
        <v>29</v>
      </c>
      <c r="N84" s="1" t="s">
        <v>29</v>
      </c>
      <c r="O84" s="1" t="s">
        <v>29</v>
      </c>
      <c r="P84" s="1" t="s">
        <v>29</v>
      </c>
      <c r="Q84" s="1">
        <f t="shared" si="0"/>
        <v>16</v>
      </c>
      <c r="R84" s="1">
        <f t="shared" si="1"/>
        <v>204.17744499691744</v>
      </c>
      <c r="S84" s="1">
        <f t="shared" si="2"/>
        <v>28.482002260000002</v>
      </c>
      <c r="T84" s="1">
        <f t="shared" si="3"/>
        <v>1</v>
      </c>
      <c r="U84" s="1">
        <v>99.305320570000006</v>
      </c>
      <c r="V84" s="1">
        <f t="shared" si="4"/>
        <v>72</v>
      </c>
      <c r="W84" s="1">
        <f t="shared" si="5"/>
        <v>28</v>
      </c>
    </row>
    <row r="85" spans="1:23" ht="12.5">
      <c r="A85" s="1" t="s">
        <v>179</v>
      </c>
      <c r="B85" s="1">
        <v>4</v>
      </c>
      <c r="C85" s="1">
        <v>9660.3496090000008</v>
      </c>
      <c r="D85" s="1">
        <v>71.942001340000004</v>
      </c>
      <c r="E85" s="1">
        <v>99.999997469999997</v>
      </c>
      <c r="F85" s="1">
        <v>0</v>
      </c>
      <c r="G85" s="1">
        <v>2.5272441919999999E-6</v>
      </c>
      <c r="H85" s="1">
        <v>0</v>
      </c>
      <c r="I85" s="1">
        <v>100</v>
      </c>
      <c r="J85" s="1">
        <v>0</v>
      </c>
      <c r="K85" s="1">
        <v>0</v>
      </c>
      <c r="L85" s="1">
        <v>0</v>
      </c>
      <c r="M85" s="1">
        <v>100</v>
      </c>
      <c r="N85" s="1">
        <v>0</v>
      </c>
      <c r="O85" s="1">
        <v>0</v>
      </c>
      <c r="P85" s="1">
        <v>0</v>
      </c>
      <c r="Q85" s="1">
        <f t="shared" si="0"/>
        <v>16</v>
      </c>
      <c r="R85" s="1">
        <f t="shared" si="1"/>
        <v>6949.8488451554658</v>
      </c>
      <c r="S85" s="1">
        <f t="shared" si="2"/>
        <v>28.057998659999996</v>
      </c>
      <c r="T85" s="1">
        <f t="shared" si="3"/>
        <v>10</v>
      </c>
      <c r="U85" s="1">
        <v>99.999997469999997</v>
      </c>
      <c r="V85" s="1">
        <f t="shared" si="4"/>
        <v>72</v>
      </c>
      <c r="W85" s="1">
        <f t="shared" si="5"/>
        <v>28</v>
      </c>
    </row>
    <row r="86" spans="1:23" ht="12.5">
      <c r="A86" s="1" t="s">
        <v>178</v>
      </c>
      <c r="B86" s="1">
        <v>3</v>
      </c>
      <c r="C86" s="1">
        <v>2351.625</v>
      </c>
      <c r="D86" s="1">
        <v>70.876998900000004</v>
      </c>
      <c r="E86" s="1">
        <v>92.213563070000006</v>
      </c>
      <c r="F86" s="1">
        <v>4.7230389700000002</v>
      </c>
      <c r="G86" s="1">
        <v>1.7325264760000001</v>
      </c>
      <c r="H86" s="1">
        <v>1.330871481</v>
      </c>
      <c r="I86" s="1">
        <v>79.04372386</v>
      </c>
      <c r="J86" s="1">
        <v>15.154947180000001</v>
      </c>
      <c r="K86" s="1">
        <v>1.5961191560000001</v>
      </c>
      <c r="L86" s="1">
        <v>4.2052098100000004</v>
      </c>
      <c r="M86" s="1">
        <v>97.624980579999999</v>
      </c>
      <c r="N86" s="1">
        <v>0.43662003220000001</v>
      </c>
      <c r="O86" s="1">
        <v>1.788579159</v>
      </c>
      <c r="P86" s="1">
        <v>0.14982022810000001</v>
      </c>
      <c r="Q86" s="1">
        <f t="shared" si="0"/>
        <v>16</v>
      </c>
      <c r="R86" s="1">
        <f t="shared" si="1"/>
        <v>1666.7612253821251</v>
      </c>
      <c r="S86" s="1">
        <f t="shared" si="2"/>
        <v>29.123001099999996</v>
      </c>
      <c r="T86" s="1">
        <f t="shared" si="3"/>
        <v>3</v>
      </c>
      <c r="U86" s="1">
        <v>92.213563070000006</v>
      </c>
      <c r="V86" s="1">
        <f t="shared" si="4"/>
        <v>71</v>
      </c>
      <c r="W86" s="1">
        <f t="shared" si="5"/>
        <v>29</v>
      </c>
    </row>
    <row r="87" spans="1:23" ht="12.5">
      <c r="A87" s="1" t="s">
        <v>182</v>
      </c>
      <c r="B87" s="1">
        <v>3</v>
      </c>
      <c r="C87" s="1">
        <v>40222.503909999999</v>
      </c>
      <c r="D87" s="1">
        <v>70.892997739999998</v>
      </c>
      <c r="E87" s="1">
        <v>98.359903250000002</v>
      </c>
      <c r="F87" s="1">
        <v>0.89216034950000001</v>
      </c>
      <c r="G87" s="1">
        <v>2.427900808E-6</v>
      </c>
      <c r="H87" s="1">
        <v>0.74793397129999994</v>
      </c>
      <c r="I87" s="1">
        <v>94.831146779999997</v>
      </c>
      <c r="J87" s="1">
        <v>2.5992513389999998</v>
      </c>
      <c r="K87" s="1">
        <v>0</v>
      </c>
      <c r="L87" s="1">
        <v>2.5696018770000002</v>
      </c>
      <c r="M87" s="1">
        <v>99.808731030000004</v>
      </c>
      <c r="N87" s="1">
        <v>0.19126897000000001</v>
      </c>
      <c r="O87" s="1">
        <v>0</v>
      </c>
      <c r="P87" s="1">
        <v>0</v>
      </c>
      <c r="Q87" s="1">
        <f t="shared" si="0"/>
        <v>16</v>
      </c>
      <c r="R87" s="1">
        <f t="shared" si="1"/>
        <v>28514.93878788771</v>
      </c>
      <c r="S87" s="1">
        <f t="shared" si="2"/>
        <v>29.107002260000002</v>
      </c>
      <c r="T87" s="1">
        <f t="shared" si="3"/>
        <v>41</v>
      </c>
      <c r="U87" s="1">
        <v>98.359903250000002</v>
      </c>
      <c r="V87" s="1">
        <f t="shared" si="4"/>
        <v>71</v>
      </c>
      <c r="W87" s="1">
        <f t="shared" si="5"/>
        <v>29</v>
      </c>
    </row>
    <row r="88" spans="1:23" ht="12.5">
      <c r="A88" s="1" t="s">
        <v>184</v>
      </c>
      <c r="B88" s="1">
        <v>4</v>
      </c>
      <c r="C88" s="1">
        <v>60461.828130000002</v>
      </c>
      <c r="D88" s="1">
        <v>71.038993840000003</v>
      </c>
      <c r="E88" s="1">
        <v>99.91703407</v>
      </c>
      <c r="F88" s="1">
        <v>0</v>
      </c>
      <c r="G88" s="1">
        <v>8.2965925910000002E-2</v>
      </c>
      <c r="H88" s="1">
        <v>0</v>
      </c>
      <c r="I88" s="1" t="s">
        <v>29</v>
      </c>
      <c r="J88" s="1" t="s">
        <v>29</v>
      </c>
      <c r="K88" s="1" t="s">
        <v>29</v>
      </c>
      <c r="L88" s="1" t="s">
        <v>29</v>
      </c>
      <c r="M88" s="1" t="s">
        <v>29</v>
      </c>
      <c r="N88" s="1" t="s">
        <v>29</v>
      </c>
      <c r="O88" s="1" t="s">
        <v>29</v>
      </c>
      <c r="P88" s="1" t="s">
        <v>29</v>
      </c>
      <c r="Q88" s="1">
        <f t="shared" si="0"/>
        <v>16</v>
      </c>
      <c r="R88" s="1">
        <f t="shared" si="1"/>
        <v>42951.474360822096</v>
      </c>
      <c r="S88" s="1">
        <f t="shared" si="2"/>
        <v>28.961006159999997</v>
      </c>
      <c r="T88" s="1">
        <f t="shared" si="3"/>
        <v>61</v>
      </c>
      <c r="U88" s="1">
        <v>99.91703407</v>
      </c>
      <c r="V88" s="1">
        <f t="shared" si="4"/>
        <v>71</v>
      </c>
      <c r="W88" s="1">
        <f t="shared" si="5"/>
        <v>29</v>
      </c>
    </row>
    <row r="89" spans="1:23" ht="12.5">
      <c r="A89" s="1" t="s">
        <v>186</v>
      </c>
      <c r="B89" s="1">
        <v>2</v>
      </c>
      <c r="C89" s="1">
        <v>11673.0293</v>
      </c>
      <c r="D89" s="1">
        <v>70.123001099999996</v>
      </c>
      <c r="E89" s="1">
        <v>93.390071629999994</v>
      </c>
      <c r="F89" s="1">
        <v>0.13659052960000001</v>
      </c>
      <c r="G89" s="1">
        <v>1.575010843</v>
      </c>
      <c r="H89" s="1">
        <v>4.8983269969999998</v>
      </c>
      <c r="I89" s="1">
        <v>79.936642829999997</v>
      </c>
      <c r="J89" s="1">
        <v>0.24473640820000001</v>
      </c>
      <c r="K89" s="1">
        <v>3.9541336930000002</v>
      </c>
      <c r="L89" s="1">
        <v>15.864487069999999</v>
      </c>
      <c r="M89" s="1">
        <v>99.122118319999998</v>
      </c>
      <c r="N89" s="1">
        <v>9.0513289469999994E-2</v>
      </c>
      <c r="O89" s="1">
        <v>0.56134538079999996</v>
      </c>
      <c r="P89" s="1">
        <v>0.22602301120000001</v>
      </c>
      <c r="Q89" s="1">
        <f t="shared" si="0"/>
        <v>16</v>
      </c>
      <c r="R89" s="1">
        <f t="shared" si="1"/>
        <v>8185.4784644423216</v>
      </c>
      <c r="S89" s="1">
        <f t="shared" si="2"/>
        <v>29.876998900000004</v>
      </c>
      <c r="T89" s="1">
        <f t="shared" si="3"/>
        <v>12</v>
      </c>
      <c r="U89" s="1">
        <v>93.390071629999994</v>
      </c>
      <c r="V89" s="1">
        <f t="shared" si="4"/>
        <v>70</v>
      </c>
      <c r="W89" s="1">
        <f t="shared" si="5"/>
        <v>30</v>
      </c>
    </row>
    <row r="90" spans="1:23" ht="12.5">
      <c r="A90" s="1" t="s">
        <v>187</v>
      </c>
      <c r="B90" s="1">
        <v>2</v>
      </c>
      <c r="C90" s="1">
        <v>11818.61816</v>
      </c>
      <c r="D90" s="1">
        <v>69.568000789999999</v>
      </c>
      <c r="E90" s="1">
        <v>97.54330899</v>
      </c>
      <c r="F90" s="1">
        <v>1.63135067</v>
      </c>
      <c r="G90" s="1">
        <v>0.82534033780000005</v>
      </c>
      <c r="H90" s="1">
        <v>0</v>
      </c>
      <c r="I90" s="1">
        <v>93.936231930000005</v>
      </c>
      <c r="J90" s="1">
        <v>3.3516873569999999</v>
      </c>
      <c r="K90" s="1">
        <v>2.71208071</v>
      </c>
      <c r="L90" s="1">
        <v>0</v>
      </c>
      <c r="M90" s="1">
        <v>99.121197629999998</v>
      </c>
      <c r="N90" s="1">
        <v>0.87880236840000003</v>
      </c>
      <c r="O90" s="1">
        <v>0</v>
      </c>
      <c r="P90" s="1">
        <v>0</v>
      </c>
      <c r="Q90" s="1">
        <f t="shared" si="0"/>
        <v>16</v>
      </c>
      <c r="R90" s="1">
        <f t="shared" si="1"/>
        <v>8221.9763749158828</v>
      </c>
      <c r="S90" s="1">
        <f t="shared" si="2"/>
        <v>30.431999210000001</v>
      </c>
      <c r="T90" s="1">
        <f t="shared" si="3"/>
        <v>12</v>
      </c>
      <c r="U90" s="1">
        <v>97.54330899</v>
      </c>
      <c r="V90" s="1">
        <f t="shared" si="4"/>
        <v>70</v>
      </c>
      <c r="W90" s="1">
        <f t="shared" si="5"/>
        <v>30</v>
      </c>
    </row>
    <row r="91" spans="1:23" ht="12.5">
      <c r="A91" s="1" t="s">
        <v>189</v>
      </c>
      <c r="B91" s="1">
        <v>2</v>
      </c>
      <c r="C91" s="1">
        <v>43733.757810000003</v>
      </c>
      <c r="D91" s="1">
        <v>69.608001709999996</v>
      </c>
      <c r="E91" s="1">
        <v>93.928281949999999</v>
      </c>
      <c r="F91" s="1">
        <v>5.671978717</v>
      </c>
      <c r="G91" s="1">
        <v>7.5904501289999995E-2</v>
      </c>
      <c r="H91" s="1">
        <v>0.32383483600000001</v>
      </c>
      <c r="I91" s="1">
        <v>100</v>
      </c>
      <c r="J91" s="1">
        <v>0</v>
      </c>
      <c r="K91" s="1">
        <v>0</v>
      </c>
      <c r="L91" s="1">
        <v>0</v>
      </c>
      <c r="M91" s="1">
        <v>91.277270110000003</v>
      </c>
      <c r="N91" s="1">
        <v>8.1484577900000001</v>
      </c>
      <c r="O91" s="1">
        <v>0.1090456533</v>
      </c>
      <c r="P91" s="1">
        <v>0.46522644460000001</v>
      </c>
      <c r="Q91" s="1">
        <f t="shared" si="0"/>
        <v>16</v>
      </c>
      <c r="R91" s="1">
        <f t="shared" si="1"/>
        <v>30442.19488423206</v>
      </c>
      <c r="S91" s="1">
        <f t="shared" si="2"/>
        <v>30.391998290000004</v>
      </c>
      <c r="T91" s="1">
        <f t="shared" si="3"/>
        <v>44</v>
      </c>
      <c r="U91" s="1">
        <v>93.928281949999999</v>
      </c>
      <c r="V91" s="1">
        <f t="shared" si="4"/>
        <v>70</v>
      </c>
      <c r="W91" s="1">
        <f t="shared" si="5"/>
        <v>30</v>
      </c>
    </row>
    <row r="92" spans="1:23" ht="12.5">
      <c r="A92" s="1" t="s">
        <v>163</v>
      </c>
      <c r="B92" s="1">
        <v>4</v>
      </c>
      <c r="C92" s="1">
        <v>1326.5389399999999</v>
      </c>
      <c r="D92" s="1">
        <v>69.229003910000003</v>
      </c>
      <c r="E92" s="1">
        <v>99.59078178</v>
      </c>
      <c r="F92" s="1">
        <v>0</v>
      </c>
      <c r="G92" s="1">
        <v>0.40921822320000001</v>
      </c>
      <c r="H92" s="1">
        <v>0</v>
      </c>
      <c r="I92" s="1" t="s">
        <v>29</v>
      </c>
      <c r="J92" s="1" t="s">
        <v>29</v>
      </c>
      <c r="K92" s="1" t="s">
        <v>29</v>
      </c>
      <c r="L92" s="1" t="s">
        <v>29</v>
      </c>
      <c r="M92" s="1">
        <v>99.98545421</v>
      </c>
      <c r="N92" s="1">
        <v>0</v>
      </c>
      <c r="O92" s="1">
        <v>1.454579307E-2</v>
      </c>
      <c r="P92" s="1">
        <v>0</v>
      </c>
      <c r="Q92" s="1">
        <f t="shared" si="0"/>
        <v>16</v>
      </c>
      <c r="R92" s="1">
        <f t="shared" si="1"/>
        <v>918.34969464027245</v>
      </c>
      <c r="S92" s="1">
        <f t="shared" si="2"/>
        <v>30.770996089999997</v>
      </c>
      <c r="T92" s="1">
        <f t="shared" si="3"/>
        <v>2</v>
      </c>
      <c r="U92" s="1">
        <v>99.59078178</v>
      </c>
      <c r="V92" s="1">
        <f t="shared" si="4"/>
        <v>69</v>
      </c>
      <c r="W92" s="1">
        <f t="shared" si="5"/>
        <v>31</v>
      </c>
    </row>
    <row r="93" spans="1:23" ht="12.5">
      <c r="A93" s="1" t="s">
        <v>191</v>
      </c>
      <c r="B93" s="1">
        <v>2</v>
      </c>
      <c r="C93" s="1">
        <v>3278.2919919999999</v>
      </c>
      <c r="D93" s="1">
        <v>68.656997680000003</v>
      </c>
      <c r="E93" s="1">
        <v>85.495625270000005</v>
      </c>
      <c r="F93" s="1">
        <v>2.1464289299999999</v>
      </c>
      <c r="G93" s="1">
        <v>6.6333667140000001</v>
      </c>
      <c r="H93" s="1">
        <v>5.7245790809999999</v>
      </c>
      <c r="I93" s="1">
        <v>61.070751139999999</v>
      </c>
      <c r="J93" s="1">
        <v>3.0841705720000001</v>
      </c>
      <c r="K93" s="1">
        <v>17.580781160000001</v>
      </c>
      <c r="L93" s="1">
        <v>18.264297129999999</v>
      </c>
      <c r="M93" s="1">
        <v>96.645965579999995</v>
      </c>
      <c r="N93" s="1">
        <v>1.718335079</v>
      </c>
      <c r="O93" s="1">
        <v>1.635699341</v>
      </c>
      <c r="P93" s="1">
        <v>0</v>
      </c>
      <c r="Q93" s="1">
        <f t="shared" si="0"/>
        <v>16</v>
      </c>
      <c r="R93" s="1">
        <f t="shared" si="1"/>
        <v>2250.7768568910656</v>
      </c>
      <c r="S93" s="1">
        <f t="shared" si="2"/>
        <v>31.343002319999997</v>
      </c>
      <c r="T93" s="1">
        <f t="shared" si="3"/>
        <v>4</v>
      </c>
      <c r="U93" s="1">
        <v>85.495625270000005</v>
      </c>
      <c r="V93" s="1">
        <f t="shared" si="4"/>
        <v>69</v>
      </c>
      <c r="W93" s="1">
        <f t="shared" si="5"/>
        <v>31</v>
      </c>
    </row>
    <row r="94" spans="1:23" ht="12.5">
      <c r="A94" s="1" t="s">
        <v>167</v>
      </c>
      <c r="B94" s="1">
        <v>4</v>
      </c>
      <c r="C94" s="1">
        <v>1886.2020259999999</v>
      </c>
      <c r="D94" s="1">
        <v>68.315002440000001</v>
      </c>
      <c r="E94" s="1">
        <v>98.782601150000005</v>
      </c>
      <c r="F94" s="1">
        <v>0.68230074240000005</v>
      </c>
      <c r="G94" s="1">
        <v>0.53509810369999999</v>
      </c>
      <c r="H94" s="1">
        <v>0</v>
      </c>
      <c r="I94" s="1">
        <v>98.579223139999996</v>
      </c>
      <c r="J94" s="1">
        <v>0</v>
      </c>
      <c r="K94" s="1">
        <v>1.4207768599999999</v>
      </c>
      <c r="L94" s="1">
        <v>0</v>
      </c>
      <c r="M94" s="1">
        <v>98.876924689999996</v>
      </c>
      <c r="N94" s="1">
        <v>0.99875681510000003</v>
      </c>
      <c r="O94" s="1">
        <v>0.1243184908</v>
      </c>
      <c r="P94" s="1">
        <v>0</v>
      </c>
      <c r="Q94" s="1">
        <f t="shared" si="0"/>
        <v>16</v>
      </c>
      <c r="R94" s="1">
        <f t="shared" si="1"/>
        <v>1288.5589600852295</v>
      </c>
      <c r="S94" s="1">
        <f t="shared" si="2"/>
        <v>31.684997559999999</v>
      </c>
      <c r="T94" s="1">
        <f t="shared" si="3"/>
        <v>2</v>
      </c>
      <c r="U94" s="1">
        <v>98.782601150000005</v>
      </c>
      <c r="V94" s="1">
        <f t="shared" si="4"/>
        <v>68</v>
      </c>
      <c r="W94" s="1">
        <f t="shared" si="5"/>
        <v>32</v>
      </c>
    </row>
    <row r="95" spans="1:23" ht="12.5">
      <c r="A95" s="1" t="s">
        <v>183</v>
      </c>
      <c r="B95" s="1">
        <v>4</v>
      </c>
      <c r="C95" s="1">
        <v>2722.2910160000001</v>
      </c>
      <c r="D95" s="1">
        <v>68.045997619999994</v>
      </c>
      <c r="E95" s="1">
        <v>98.013347240000002</v>
      </c>
      <c r="F95" s="1">
        <v>0</v>
      </c>
      <c r="G95" s="1">
        <v>1.9866527599999999</v>
      </c>
      <c r="H95" s="1">
        <v>0</v>
      </c>
      <c r="I95" s="1">
        <v>93.78278023</v>
      </c>
      <c r="J95" s="1">
        <v>0</v>
      </c>
      <c r="K95" s="1">
        <v>6.2172197709999999</v>
      </c>
      <c r="L95" s="1">
        <v>0</v>
      </c>
      <c r="M95" s="1">
        <v>100</v>
      </c>
      <c r="N95" s="1">
        <v>0</v>
      </c>
      <c r="O95" s="1">
        <v>0</v>
      </c>
      <c r="P95" s="1">
        <v>0</v>
      </c>
      <c r="Q95" s="1">
        <f t="shared" si="0"/>
        <v>16</v>
      </c>
      <c r="R95" s="1">
        <f t="shared" si="1"/>
        <v>1852.4100799568339</v>
      </c>
      <c r="S95" s="1">
        <f t="shared" si="2"/>
        <v>31.954002380000006</v>
      </c>
      <c r="T95" s="1">
        <f t="shared" si="3"/>
        <v>3</v>
      </c>
      <c r="U95" s="1">
        <v>98.013347240000002</v>
      </c>
      <c r="V95" s="1">
        <f t="shared" si="4"/>
        <v>68</v>
      </c>
      <c r="W95" s="1">
        <f t="shared" si="5"/>
        <v>32</v>
      </c>
    </row>
    <row r="96" spans="1:23" ht="12.5">
      <c r="A96" s="1" t="s">
        <v>195</v>
      </c>
      <c r="B96" s="1">
        <v>4</v>
      </c>
      <c r="C96" s="1">
        <v>4314.7680659999996</v>
      </c>
      <c r="D96" s="1">
        <v>68.414001459999994</v>
      </c>
      <c r="E96" s="1">
        <v>94.372544360000006</v>
      </c>
      <c r="F96" s="1">
        <v>1.8734805919999999</v>
      </c>
      <c r="G96" s="1">
        <v>2.2623042469999999</v>
      </c>
      <c r="H96" s="1">
        <v>1.491670799</v>
      </c>
      <c r="I96" s="1">
        <v>86.323083260000004</v>
      </c>
      <c r="J96" s="1">
        <v>1.791982583</v>
      </c>
      <c r="K96" s="1">
        <v>7.1623643420000001</v>
      </c>
      <c r="L96" s="1">
        <v>4.7225698109999996</v>
      </c>
      <c r="M96" s="1">
        <v>98.088892670000007</v>
      </c>
      <c r="N96" s="1">
        <v>1.9111073329999999</v>
      </c>
      <c r="O96" s="1">
        <v>0</v>
      </c>
      <c r="P96" s="1">
        <v>0</v>
      </c>
      <c r="Q96" s="1">
        <f t="shared" si="0"/>
        <v>16</v>
      </c>
      <c r="R96" s="1">
        <f t="shared" si="1"/>
        <v>2951.9054876688533</v>
      </c>
      <c r="S96" s="1">
        <f t="shared" si="2"/>
        <v>31.585998540000006</v>
      </c>
      <c r="T96" s="1">
        <f t="shared" si="3"/>
        <v>5</v>
      </c>
      <c r="U96" s="1">
        <v>94.372544360000006</v>
      </c>
      <c r="V96" s="1">
        <f t="shared" si="4"/>
        <v>68</v>
      </c>
      <c r="W96" s="1">
        <f t="shared" si="5"/>
        <v>32</v>
      </c>
    </row>
    <row r="97" spans="1:23" ht="12.5">
      <c r="A97" s="1" t="s">
        <v>197</v>
      </c>
      <c r="B97" s="1">
        <v>2</v>
      </c>
      <c r="C97" s="1">
        <v>5518.091797</v>
      </c>
      <c r="D97" s="1">
        <v>67.829002380000006</v>
      </c>
      <c r="E97" s="1">
        <v>73.78451158</v>
      </c>
      <c r="F97" s="1">
        <v>10.46117203</v>
      </c>
      <c r="G97" s="1">
        <v>9.5591807220000007</v>
      </c>
      <c r="H97" s="1">
        <v>6.1951356640000004</v>
      </c>
      <c r="I97" s="1">
        <v>45.724413179999999</v>
      </c>
      <c r="J97" s="1">
        <v>10.6323901</v>
      </c>
      <c r="K97" s="1">
        <v>24.405169730000001</v>
      </c>
      <c r="L97" s="1">
        <v>19.238026990000002</v>
      </c>
      <c r="M97" s="1">
        <v>87.093296159999994</v>
      </c>
      <c r="N97" s="1">
        <v>10.37996439</v>
      </c>
      <c r="O97" s="1">
        <v>2.5177899969999999</v>
      </c>
      <c r="P97" s="1">
        <v>8.9494520549999994E-3</v>
      </c>
      <c r="Q97" s="1">
        <f t="shared" si="0"/>
        <v>16</v>
      </c>
      <c r="R97" s="1">
        <f t="shared" si="1"/>
        <v>3742.8666163177149</v>
      </c>
      <c r="S97" s="1">
        <f t="shared" si="2"/>
        <v>32.170997619999994</v>
      </c>
      <c r="T97" s="1">
        <f t="shared" si="3"/>
        <v>6</v>
      </c>
      <c r="U97" s="1">
        <v>73.78451158</v>
      </c>
      <c r="V97" s="1">
        <f t="shared" si="4"/>
        <v>68</v>
      </c>
      <c r="W97" s="1">
        <f t="shared" si="5"/>
        <v>32</v>
      </c>
    </row>
    <row r="98" spans="1:23" ht="12.5">
      <c r="A98" s="1" t="s">
        <v>137</v>
      </c>
      <c r="B98" s="1">
        <v>2</v>
      </c>
      <c r="C98" s="1">
        <v>555.98797609999997</v>
      </c>
      <c r="D98" s="1">
        <v>66.652000430000001</v>
      </c>
      <c r="E98" s="1">
        <v>88.769606420000002</v>
      </c>
      <c r="F98" s="1">
        <v>7.9041508460000003</v>
      </c>
      <c r="G98" s="1">
        <v>3.2091477159999999</v>
      </c>
      <c r="H98" s="1">
        <v>0.1170950144</v>
      </c>
      <c r="I98" s="1">
        <v>80.114525439999994</v>
      </c>
      <c r="J98" s="1">
        <v>9.9111270220000005</v>
      </c>
      <c r="K98" s="1">
        <v>9.6232170030000006</v>
      </c>
      <c r="L98" s="1">
        <v>0.35113053970000002</v>
      </c>
      <c r="M98" s="1">
        <v>93.1</v>
      </c>
      <c r="N98" s="1">
        <v>6.9</v>
      </c>
      <c r="O98" s="1">
        <v>0</v>
      </c>
      <c r="P98" s="1">
        <v>0</v>
      </c>
      <c r="Q98" s="1">
        <f t="shared" si="0"/>
        <v>16</v>
      </c>
      <c r="R98" s="1">
        <f t="shared" si="1"/>
        <v>370.57710822092031</v>
      </c>
      <c r="S98" s="1">
        <f t="shared" si="2"/>
        <v>33.347999569999999</v>
      </c>
      <c r="T98" s="1">
        <f t="shared" si="3"/>
        <v>1</v>
      </c>
      <c r="U98" s="1">
        <v>88.769606420000002</v>
      </c>
      <c r="V98" s="1">
        <f t="shared" si="4"/>
        <v>67</v>
      </c>
      <c r="W98" s="1">
        <f t="shared" si="5"/>
        <v>33</v>
      </c>
    </row>
    <row r="99" spans="1:23" ht="12.5">
      <c r="A99" s="1" t="s">
        <v>142</v>
      </c>
      <c r="B99" s="1">
        <v>3</v>
      </c>
      <c r="C99" s="1">
        <v>628.06201169999997</v>
      </c>
      <c r="D99" s="1">
        <v>67.488006589999998</v>
      </c>
      <c r="E99" s="1">
        <v>98.856916519999999</v>
      </c>
      <c r="F99" s="1">
        <v>0.54547882039999995</v>
      </c>
      <c r="G99" s="1">
        <v>0.59231201099999997</v>
      </c>
      <c r="H99" s="1">
        <v>5.2926508940000002E-3</v>
      </c>
      <c r="I99" s="1">
        <v>98.161887539999995</v>
      </c>
      <c r="J99" s="1">
        <v>0</v>
      </c>
      <c r="K99" s="1">
        <v>1.821833386</v>
      </c>
      <c r="L99" s="1">
        <v>1.6279069770000001E-2</v>
      </c>
      <c r="M99" s="1">
        <v>99.191739589999997</v>
      </c>
      <c r="N99" s="1">
        <v>0.80826041280000005</v>
      </c>
      <c r="O99" s="1">
        <v>0</v>
      </c>
      <c r="P99" s="1">
        <v>0</v>
      </c>
      <c r="Q99" s="1">
        <f t="shared" si="0"/>
        <v>16</v>
      </c>
      <c r="R99" s="1">
        <f t="shared" si="1"/>
        <v>423.8665318453825</v>
      </c>
      <c r="S99" s="1">
        <f t="shared" si="2"/>
        <v>32.511993410000002</v>
      </c>
      <c r="T99" s="1">
        <f t="shared" si="3"/>
        <v>1</v>
      </c>
      <c r="U99" s="1">
        <v>98.856916519999999</v>
      </c>
      <c r="V99" s="1">
        <f t="shared" si="4"/>
        <v>67</v>
      </c>
      <c r="W99" s="1">
        <f t="shared" si="5"/>
        <v>33</v>
      </c>
    </row>
    <row r="100" spans="1:23" ht="12.5">
      <c r="A100" s="1" t="s">
        <v>156</v>
      </c>
      <c r="B100" s="1">
        <v>4</v>
      </c>
      <c r="C100" s="1">
        <v>1207.360962</v>
      </c>
      <c r="D100" s="1">
        <v>66.820999150000006</v>
      </c>
      <c r="E100" s="1">
        <v>99.765173180000005</v>
      </c>
      <c r="F100" s="1">
        <v>0</v>
      </c>
      <c r="G100" s="1">
        <v>0.2348268167</v>
      </c>
      <c r="H100" s="1">
        <v>0</v>
      </c>
      <c r="I100" s="1">
        <v>99.845761719999999</v>
      </c>
      <c r="J100" s="1">
        <v>0</v>
      </c>
      <c r="K100" s="1">
        <v>0.1542382836</v>
      </c>
      <c r="L100" s="1">
        <v>0</v>
      </c>
      <c r="M100" s="1">
        <v>99.725158120000003</v>
      </c>
      <c r="N100" s="1">
        <v>0</v>
      </c>
      <c r="O100" s="1">
        <v>0.27484188250000002</v>
      </c>
      <c r="P100" s="1">
        <v>0</v>
      </c>
      <c r="Q100" s="1">
        <f t="shared" si="0"/>
        <v>16</v>
      </c>
      <c r="R100" s="1">
        <f t="shared" si="1"/>
        <v>806.77065815545188</v>
      </c>
      <c r="S100" s="1">
        <f t="shared" si="2"/>
        <v>33.179000849999994</v>
      </c>
      <c r="T100" s="1">
        <f t="shared" si="3"/>
        <v>2</v>
      </c>
      <c r="U100" s="1">
        <v>99.765173180000005</v>
      </c>
      <c r="V100" s="1">
        <f t="shared" si="4"/>
        <v>67</v>
      </c>
      <c r="W100" s="1">
        <f t="shared" si="5"/>
        <v>33</v>
      </c>
    </row>
    <row r="101" spans="1:23" ht="12.5">
      <c r="A101" s="1" t="s">
        <v>199</v>
      </c>
      <c r="B101" s="1">
        <v>2</v>
      </c>
      <c r="C101" s="1">
        <v>32866.269529999998</v>
      </c>
      <c r="D101" s="1">
        <v>66.824996949999999</v>
      </c>
      <c r="E101" s="1">
        <v>57.167737619999997</v>
      </c>
      <c r="F101" s="1">
        <v>9.2873499190000004</v>
      </c>
      <c r="G101" s="1">
        <v>19.450825340000002</v>
      </c>
      <c r="H101" s="1">
        <v>14.094087119999999</v>
      </c>
      <c r="I101" s="1">
        <v>27.808226609999998</v>
      </c>
      <c r="J101" s="1">
        <v>8.7404883889999994</v>
      </c>
      <c r="K101" s="1">
        <v>22.933152580000002</v>
      </c>
      <c r="L101" s="1">
        <v>40.518132420000001</v>
      </c>
      <c r="M101" s="1">
        <v>71.743148619999999</v>
      </c>
      <c r="N101" s="1">
        <v>9.5588374890000001</v>
      </c>
      <c r="O101" s="1">
        <v>17.722034730000001</v>
      </c>
      <c r="P101" s="1">
        <v>0.97597916289999997</v>
      </c>
      <c r="Q101" s="1">
        <f t="shared" si="0"/>
        <v>16</v>
      </c>
      <c r="R101" s="1">
        <f t="shared" si="1"/>
        <v>21962.883611001278</v>
      </c>
      <c r="S101" s="1">
        <f t="shared" si="2"/>
        <v>33.175003050000001</v>
      </c>
      <c r="T101" s="1">
        <f t="shared" si="3"/>
        <v>33</v>
      </c>
      <c r="U101" s="1">
        <v>57.167737619999997</v>
      </c>
      <c r="V101" s="1">
        <f t="shared" si="4"/>
        <v>67</v>
      </c>
      <c r="W101" s="1">
        <f t="shared" si="5"/>
        <v>33</v>
      </c>
    </row>
    <row r="102" spans="1:23" ht="12.5">
      <c r="A102" s="1" t="s">
        <v>202</v>
      </c>
      <c r="B102" s="1">
        <v>3</v>
      </c>
      <c r="C102" s="1">
        <v>59308.691409999999</v>
      </c>
      <c r="D102" s="1">
        <v>67.354003910000003</v>
      </c>
      <c r="E102" s="1">
        <v>93.885057439999997</v>
      </c>
      <c r="F102" s="1">
        <v>2.7727361859999999</v>
      </c>
      <c r="G102" s="1">
        <v>1.410816657</v>
      </c>
      <c r="H102" s="1">
        <v>1.9313897120000001</v>
      </c>
      <c r="I102" s="1">
        <v>83.329481180000002</v>
      </c>
      <c r="J102" s="1">
        <v>6.9773593590000003</v>
      </c>
      <c r="K102" s="1">
        <v>3.7769992870000002</v>
      </c>
      <c r="L102" s="1">
        <v>5.9161601729999997</v>
      </c>
      <c r="M102" s="1">
        <v>99.001264840000005</v>
      </c>
      <c r="N102" s="1">
        <v>0.73478540299999995</v>
      </c>
      <c r="O102" s="1">
        <v>0.26394975469999998</v>
      </c>
      <c r="P102" s="1">
        <v>0</v>
      </c>
      <c r="Q102" s="1">
        <f t="shared" si="0"/>
        <v>16</v>
      </c>
      <c r="R102" s="1">
        <f t="shared" si="1"/>
        <v>39946.778331261237</v>
      </c>
      <c r="S102" s="1">
        <f t="shared" si="2"/>
        <v>32.645996089999997</v>
      </c>
      <c r="T102" s="1">
        <f t="shared" si="3"/>
        <v>60</v>
      </c>
      <c r="U102" s="1">
        <v>93.885057439999997</v>
      </c>
      <c r="V102" s="1">
        <f t="shared" si="4"/>
        <v>67</v>
      </c>
      <c r="W102" s="1">
        <f t="shared" si="5"/>
        <v>33</v>
      </c>
    </row>
    <row r="103" spans="1:23" ht="12.5">
      <c r="A103" s="1" t="s">
        <v>139</v>
      </c>
      <c r="B103" s="1">
        <v>3</v>
      </c>
      <c r="C103" s="1">
        <v>586.63397220000002</v>
      </c>
      <c r="D103" s="1">
        <v>66.149002080000002</v>
      </c>
      <c r="E103" s="1">
        <v>97.989631669999994</v>
      </c>
      <c r="F103" s="1">
        <v>1.0672469410000001</v>
      </c>
      <c r="G103" s="1">
        <v>0.37933650730000001</v>
      </c>
      <c r="H103" s="1">
        <v>0.56378488400000004</v>
      </c>
      <c r="I103" s="1">
        <v>96.574412629999998</v>
      </c>
      <c r="J103" s="1">
        <v>1.6002958599999999</v>
      </c>
      <c r="K103" s="1">
        <v>0.1598017947</v>
      </c>
      <c r="L103" s="1">
        <v>1.6654897200000001</v>
      </c>
      <c r="M103" s="1">
        <v>98.713853869999994</v>
      </c>
      <c r="N103" s="1">
        <v>0.79446523710000005</v>
      </c>
      <c r="O103" s="1">
        <v>0.49168089250000002</v>
      </c>
      <c r="P103" s="1">
        <v>0</v>
      </c>
      <c r="Q103" s="1">
        <f t="shared" si="0"/>
        <v>16</v>
      </c>
      <c r="R103" s="1">
        <f t="shared" si="1"/>
        <v>388.05251847256466</v>
      </c>
      <c r="S103" s="1">
        <f t="shared" si="2"/>
        <v>33.850997919999998</v>
      </c>
      <c r="T103" s="1">
        <f t="shared" si="3"/>
        <v>1</v>
      </c>
      <c r="U103" s="1">
        <v>97.989631669999994</v>
      </c>
      <c r="V103" s="1">
        <f t="shared" si="4"/>
        <v>66</v>
      </c>
      <c r="W103" s="1">
        <f t="shared" si="5"/>
        <v>34</v>
      </c>
    </row>
    <row r="104" spans="1:23" ht="12.5">
      <c r="A104" s="1" t="s">
        <v>204</v>
      </c>
      <c r="B104" s="1">
        <v>4</v>
      </c>
      <c r="C104" s="1">
        <v>10196.70703</v>
      </c>
      <c r="D104" s="1">
        <v>66.309997559999999</v>
      </c>
      <c r="E104" s="1">
        <v>99.911993670000001</v>
      </c>
      <c r="F104" s="1">
        <v>0</v>
      </c>
      <c r="G104" s="1">
        <v>8.8006333689999994E-2</v>
      </c>
      <c r="H104" s="1">
        <v>0</v>
      </c>
      <c r="I104" s="1">
        <v>99.738776090000002</v>
      </c>
      <c r="J104" s="1">
        <v>0</v>
      </c>
      <c r="K104" s="1">
        <v>0.26122391220000002</v>
      </c>
      <c r="L104" s="1">
        <v>0</v>
      </c>
      <c r="M104" s="1">
        <v>100</v>
      </c>
      <c r="N104" s="1">
        <v>0</v>
      </c>
      <c r="O104" s="1">
        <v>0</v>
      </c>
      <c r="P104" s="1">
        <v>0</v>
      </c>
      <c r="Q104" s="1">
        <f t="shared" si="0"/>
        <v>16</v>
      </c>
      <c r="R104" s="1">
        <f t="shared" si="1"/>
        <v>6761.4361827933481</v>
      </c>
      <c r="S104" s="1">
        <f t="shared" si="2"/>
        <v>33.690002440000001</v>
      </c>
      <c r="T104" s="1">
        <f t="shared" si="3"/>
        <v>11</v>
      </c>
      <c r="U104" s="1">
        <v>99.911993670000001</v>
      </c>
      <c r="V104" s="1">
        <f t="shared" si="4"/>
        <v>66</v>
      </c>
      <c r="W104" s="1">
        <f t="shared" si="5"/>
        <v>34</v>
      </c>
    </row>
    <row r="105" spans="1:23" ht="12.5">
      <c r="A105" s="1" t="s">
        <v>73</v>
      </c>
      <c r="B105" s="1">
        <v>3</v>
      </c>
      <c r="C105" s="1">
        <v>11.791999819999999</v>
      </c>
      <c r="D105" s="1">
        <v>64.013999940000005</v>
      </c>
      <c r="E105" s="1">
        <v>100</v>
      </c>
      <c r="F105" s="1">
        <v>0</v>
      </c>
      <c r="G105" s="1">
        <v>0</v>
      </c>
      <c r="H105" s="1">
        <v>0</v>
      </c>
      <c r="I105" s="1">
        <v>100</v>
      </c>
      <c r="J105" s="1">
        <v>0</v>
      </c>
      <c r="K105" s="1">
        <v>0</v>
      </c>
      <c r="L105" s="1">
        <v>0</v>
      </c>
      <c r="M105" s="1">
        <v>100</v>
      </c>
      <c r="N105" s="1">
        <v>0</v>
      </c>
      <c r="O105" s="1">
        <v>0</v>
      </c>
      <c r="P105" s="1">
        <v>0</v>
      </c>
      <c r="Q105" s="1">
        <f t="shared" si="0"/>
        <v>16</v>
      </c>
      <c r="R105" s="1">
        <f t="shared" si="1"/>
        <v>7.5485307576996004</v>
      </c>
      <c r="S105" s="1">
        <f t="shared" si="2"/>
        <v>35.986000059999995</v>
      </c>
      <c r="T105" s="1">
        <f t="shared" si="3"/>
        <v>1</v>
      </c>
      <c r="U105" s="1">
        <v>100</v>
      </c>
      <c r="V105" s="1">
        <f t="shared" si="4"/>
        <v>64</v>
      </c>
      <c r="W105" s="1">
        <f t="shared" si="5"/>
        <v>36</v>
      </c>
    </row>
    <row r="106" spans="1:23" ht="12.5">
      <c r="A106" s="1" t="s">
        <v>201</v>
      </c>
      <c r="B106" s="1">
        <v>4</v>
      </c>
      <c r="C106" s="1">
        <v>4937.7958980000003</v>
      </c>
      <c r="D106" s="1">
        <v>63.652999880000003</v>
      </c>
      <c r="E106" s="1">
        <v>97.399706510000001</v>
      </c>
      <c r="F106" s="1">
        <v>0</v>
      </c>
      <c r="G106" s="1">
        <v>2.6002934849999999</v>
      </c>
      <c r="H106" s="1">
        <v>0</v>
      </c>
      <c r="I106" s="1">
        <v>98.134920750000006</v>
      </c>
      <c r="J106" s="1">
        <v>0</v>
      </c>
      <c r="K106" s="1">
        <v>1.8650792469999999</v>
      </c>
      <c r="L106" s="1">
        <v>0</v>
      </c>
      <c r="M106" s="1">
        <v>96.979886030000003</v>
      </c>
      <c r="N106" s="1">
        <v>0</v>
      </c>
      <c r="O106" s="1">
        <v>3.0201139659999998</v>
      </c>
      <c r="P106" s="1">
        <v>0</v>
      </c>
      <c r="Q106" s="1">
        <f t="shared" si="0"/>
        <v>16</v>
      </c>
      <c r="R106" s="1">
        <f t="shared" si="1"/>
        <v>3143.0552170285855</v>
      </c>
      <c r="S106" s="1">
        <f t="shared" si="2"/>
        <v>36.347000119999997</v>
      </c>
      <c r="T106" s="1">
        <f t="shared" si="3"/>
        <v>5</v>
      </c>
      <c r="U106" s="1">
        <v>97.399706510000001</v>
      </c>
      <c r="V106" s="1">
        <f t="shared" si="4"/>
        <v>64</v>
      </c>
      <c r="W106" s="1">
        <f t="shared" si="5"/>
        <v>36</v>
      </c>
    </row>
    <row r="107" spans="1:23" ht="12.5">
      <c r="A107" s="1" t="s">
        <v>206</v>
      </c>
      <c r="B107" s="1">
        <v>3</v>
      </c>
      <c r="C107" s="1">
        <v>17643.060549999998</v>
      </c>
      <c r="D107" s="1">
        <v>64.166000370000006</v>
      </c>
      <c r="E107" s="1">
        <v>95.359763560000005</v>
      </c>
      <c r="F107" s="1">
        <v>3.451463449E-3</v>
      </c>
      <c r="G107" s="1">
        <v>2.6044853890000002</v>
      </c>
      <c r="H107" s="1">
        <v>2.032299589</v>
      </c>
      <c r="I107" s="1">
        <v>87.050744949999995</v>
      </c>
      <c r="J107" s="1">
        <v>9.6318110219999996E-3</v>
      </c>
      <c r="K107" s="1">
        <v>7.2681954900000001</v>
      </c>
      <c r="L107" s="1">
        <v>5.6714277470000001</v>
      </c>
      <c r="M107" s="1">
        <v>100</v>
      </c>
      <c r="N107" s="1">
        <v>0</v>
      </c>
      <c r="O107" s="1">
        <v>0</v>
      </c>
      <c r="P107" s="1">
        <v>0</v>
      </c>
      <c r="Q107" s="1">
        <f t="shared" si="0"/>
        <v>16</v>
      </c>
      <c r="R107" s="1">
        <f t="shared" si="1"/>
        <v>11320.846297792325</v>
      </c>
      <c r="S107" s="1">
        <f t="shared" si="2"/>
        <v>35.833999629999994</v>
      </c>
      <c r="T107" s="1">
        <f t="shared" si="3"/>
        <v>18</v>
      </c>
      <c r="U107" s="1">
        <v>95.359763560000005</v>
      </c>
      <c r="V107" s="1">
        <f t="shared" si="4"/>
        <v>64</v>
      </c>
      <c r="W107" s="1">
        <f t="shared" si="5"/>
        <v>36</v>
      </c>
    </row>
    <row r="108" spans="1:23" ht="12.5">
      <c r="A108" s="1" t="s">
        <v>207</v>
      </c>
      <c r="B108" s="1">
        <v>2</v>
      </c>
      <c r="C108" s="1">
        <v>36910.558590000001</v>
      </c>
      <c r="D108" s="1">
        <v>63.531997680000003</v>
      </c>
      <c r="E108" s="1">
        <v>90.402344679999999</v>
      </c>
      <c r="F108" s="1">
        <v>5.2635496010000002</v>
      </c>
      <c r="G108" s="1">
        <v>2.8776725000000001</v>
      </c>
      <c r="H108" s="1">
        <v>1.456433219</v>
      </c>
      <c r="I108" s="1">
        <v>77.346128960000001</v>
      </c>
      <c r="J108" s="1">
        <v>12.03707816</v>
      </c>
      <c r="K108" s="1">
        <v>6.6230633729999999</v>
      </c>
      <c r="L108" s="1">
        <v>3.9937295019999999</v>
      </c>
      <c r="M108" s="1">
        <v>97.896746010000001</v>
      </c>
      <c r="N108" s="1">
        <v>1.375477117</v>
      </c>
      <c r="O108" s="1">
        <v>0.72777687589999995</v>
      </c>
      <c r="P108" s="1">
        <v>0</v>
      </c>
      <c r="Q108" s="1">
        <f t="shared" si="0"/>
        <v>16</v>
      </c>
      <c r="R108" s="1">
        <f t="shared" si="1"/>
        <v>23450.015227073844</v>
      </c>
      <c r="S108" s="1">
        <f t="shared" si="2"/>
        <v>36.468002319999997</v>
      </c>
      <c r="T108" s="1">
        <f t="shared" si="3"/>
        <v>37</v>
      </c>
      <c r="U108" s="1">
        <v>90.402344679999999</v>
      </c>
      <c r="V108" s="1">
        <f t="shared" si="4"/>
        <v>64</v>
      </c>
      <c r="W108" s="1">
        <f t="shared" si="5"/>
        <v>36</v>
      </c>
    </row>
    <row r="109" spans="1:23" ht="12.5">
      <c r="A109" s="1" t="s">
        <v>180</v>
      </c>
      <c r="B109" s="1">
        <v>1</v>
      </c>
      <c r="C109" s="1">
        <v>2416.6640630000002</v>
      </c>
      <c r="D109" s="1">
        <v>62.581996920000002</v>
      </c>
      <c r="E109" s="1">
        <v>80.940407140000005</v>
      </c>
      <c r="F109" s="1">
        <v>8.5973913910000004</v>
      </c>
      <c r="G109" s="1">
        <v>10.352852070000001</v>
      </c>
      <c r="H109" s="1">
        <v>0.10934939270000001</v>
      </c>
      <c r="I109" s="1">
        <v>69.18852321</v>
      </c>
      <c r="J109" s="1">
        <v>16.497832389999999</v>
      </c>
      <c r="K109" s="1">
        <v>14.24376547</v>
      </c>
      <c r="L109" s="1">
        <v>6.9878936799999999E-2</v>
      </c>
      <c r="M109" s="1">
        <v>87.966904270000001</v>
      </c>
      <c r="N109" s="1">
        <v>3.8736895219999998</v>
      </c>
      <c r="O109" s="1">
        <v>8.0264572780000005</v>
      </c>
      <c r="P109" s="1">
        <v>0.13294892529999999</v>
      </c>
      <c r="Q109" s="1">
        <f t="shared" si="0"/>
        <v>16</v>
      </c>
      <c r="R109" s="1">
        <f t="shared" si="1"/>
        <v>1512.3966294734071</v>
      </c>
      <c r="S109" s="1">
        <f t="shared" si="2"/>
        <v>37.418003079999998</v>
      </c>
      <c r="T109" s="1">
        <f t="shared" si="3"/>
        <v>3</v>
      </c>
      <c r="U109" s="1">
        <v>80.940407140000005</v>
      </c>
      <c r="V109" s="1">
        <f t="shared" si="4"/>
        <v>63</v>
      </c>
      <c r="W109" s="1">
        <f t="shared" si="5"/>
        <v>37</v>
      </c>
    </row>
    <row r="110" spans="1:23" ht="12.5">
      <c r="A110" s="1" t="s">
        <v>190</v>
      </c>
      <c r="B110" s="1">
        <v>3</v>
      </c>
      <c r="C110" s="1">
        <v>2963.2338869999999</v>
      </c>
      <c r="D110" s="1">
        <v>63.312999730000001</v>
      </c>
      <c r="E110" s="1">
        <v>99.971180689999997</v>
      </c>
      <c r="F110" s="1">
        <v>0</v>
      </c>
      <c r="G110" s="1">
        <v>2.8819308009999999E-2</v>
      </c>
      <c r="H110" s="1">
        <v>0</v>
      </c>
      <c r="I110" s="1">
        <v>100</v>
      </c>
      <c r="J110" s="1">
        <v>0</v>
      </c>
      <c r="K110" s="1">
        <v>0</v>
      </c>
      <c r="L110" s="1">
        <v>0</v>
      </c>
      <c r="M110" s="1">
        <v>99.954481220000005</v>
      </c>
      <c r="N110" s="1">
        <v>0</v>
      </c>
      <c r="O110" s="1">
        <v>4.5518783639999998E-2</v>
      </c>
      <c r="P110" s="1">
        <v>0</v>
      </c>
      <c r="Q110" s="1">
        <f t="shared" si="0"/>
        <v>16</v>
      </c>
      <c r="R110" s="1">
        <f t="shared" si="1"/>
        <v>1876.1122628755784</v>
      </c>
      <c r="S110" s="1">
        <f t="shared" si="2"/>
        <v>36.687000269999999</v>
      </c>
      <c r="T110" s="1">
        <f t="shared" si="3"/>
        <v>3</v>
      </c>
      <c r="U110" s="1">
        <v>99.971180689999997</v>
      </c>
      <c r="V110" s="1">
        <f t="shared" si="4"/>
        <v>63</v>
      </c>
      <c r="W110" s="1">
        <f t="shared" si="5"/>
        <v>37</v>
      </c>
    </row>
    <row r="111" spans="1:23" ht="12.5">
      <c r="A111" s="1" t="s">
        <v>117</v>
      </c>
      <c r="B111" s="1">
        <v>4</v>
      </c>
      <c r="C111" s="1">
        <v>280.90399170000001</v>
      </c>
      <c r="D111" s="1">
        <v>61.975002289999999</v>
      </c>
      <c r="E111" s="1">
        <v>100</v>
      </c>
      <c r="F111" s="1">
        <v>0</v>
      </c>
      <c r="G111" s="1">
        <v>0</v>
      </c>
      <c r="H111" s="1">
        <v>0</v>
      </c>
      <c r="I111" s="1" t="s">
        <v>29</v>
      </c>
      <c r="J111" s="1" t="s">
        <v>29</v>
      </c>
      <c r="K111" s="1" t="s">
        <v>29</v>
      </c>
      <c r="L111" s="1" t="s">
        <v>29</v>
      </c>
      <c r="M111" s="1" t="s">
        <v>29</v>
      </c>
      <c r="N111" s="1" t="s">
        <v>29</v>
      </c>
      <c r="O111" s="1" t="s">
        <v>29</v>
      </c>
      <c r="P111" s="1" t="s">
        <v>29</v>
      </c>
      <c r="Q111" s="1">
        <f t="shared" si="0"/>
        <v>16</v>
      </c>
      <c r="R111" s="1">
        <f t="shared" si="1"/>
        <v>174.09025528877643</v>
      </c>
      <c r="S111" s="1">
        <f t="shared" si="2"/>
        <v>38.024997710000001</v>
      </c>
      <c r="T111" s="1">
        <f t="shared" si="3"/>
        <v>1</v>
      </c>
      <c r="U111" s="1">
        <v>100</v>
      </c>
      <c r="V111" s="1">
        <f t="shared" si="4"/>
        <v>62</v>
      </c>
      <c r="W111" s="1">
        <f t="shared" si="5"/>
        <v>38</v>
      </c>
    </row>
    <row r="112" spans="1:23" ht="12.5">
      <c r="A112" s="1" t="s">
        <v>185</v>
      </c>
      <c r="B112" s="1">
        <v>3</v>
      </c>
      <c r="C112" s="1">
        <v>2877.8000489999999</v>
      </c>
      <c r="D112" s="1">
        <v>62.111999509999997</v>
      </c>
      <c r="E112" s="1">
        <v>95.068038830000006</v>
      </c>
      <c r="F112" s="1">
        <v>1.8846560919999999</v>
      </c>
      <c r="G112" s="1">
        <v>3.0473050810000002</v>
      </c>
      <c r="H112" s="1">
        <v>0</v>
      </c>
      <c r="I112" s="1">
        <v>94.091358060000005</v>
      </c>
      <c r="J112" s="1">
        <v>2.3052649550000002</v>
      </c>
      <c r="K112" s="1">
        <v>3.6033769859999998</v>
      </c>
      <c r="L112" s="1">
        <v>0</v>
      </c>
      <c r="M112" s="1">
        <v>95.663809119999996</v>
      </c>
      <c r="N112" s="1">
        <v>1.62808683</v>
      </c>
      <c r="O112" s="1">
        <v>2.7081040540000001</v>
      </c>
      <c r="P112" s="1">
        <v>0</v>
      </c>
      <c r="Q112" s="1">
        <f t="shared" si="0"/>
        <v>16</v>
      </c>
      <c r="R112" s="1">
        <f t="shared" si="1"/>
        <v>1787.4591523336596</v>
      </c>
      <c r="S112" s="1">
        <f t="shared" si="2"/>
        <v>37.888000490000003</v>
      </c>
      <c r="T112" s="1">
        <f t="shared" si="3"/>
        <v>3</v>
      </c>
      <c r="U112" s="1">
        <v>95.068038830000006</v>
      </c>
      <c r="V112" s="1">
        <f t="shared" si="4"/>
        <v>62</v>
      </c>
      <c r="W112" s="1">
        <f t="shared" si="5"/>
        <v>38</v>
      </c>
    </row>
    <row r="113" spans="1:23" ht="12.5">
      <c r="A113" s="1" t="s">
        <v>209</v>
      </c>
      <c r="B113" s="1">
        <v>3</v>
      </c>
      <c r="C113" s="1">
        <v>7132.5297849999997</v>
      </c>
      <c r="D113" s="1">
        <v>62.182994839999999</v>
      </c>
      <c r="E113" s="1">
        <v>99.593466329999998</v>
      </c>
      <c r="F113" s="1">
        <v>0.40653024389999998</v>
      </c>
      <c r="G113" s="1">
        <v>3.4229177000000001E-6</v>
      </c>
      <c r="H113" s="1">
        <v>0</v>
      </c>
      <c r="I113" s="1">
        <v>99.111227529999994</v>
      </c>
      <c r="J113" s="1">
        <v>0.88877246840000002</v>
      </c>
      <c r="K113" s="1">
        <v>0</v>
      </c>
      <c r="L113" s="1">
        <v>0</v>
      </c>
      <c r="M113" s="1">
        <v>99.886748539999999</v>
      </c>
      <c r="N113" s="1">
        <v>0.11325146429999999</v>
      </c>
      <c r="O113" s="1">
        <v>0</v>
      </c>
      <c r="P113" s="1">
        <v>0</v>
      </c>
      <c r="Q113" s="1">
        <f t="shared" si="0"/>
        <v>16</v>
      </c>
      <c r="R113" s="1">
        <f t="shared" si="1"/>
        <v>4435.2206281680128</v>
      </c>
      <c r="S113" s="1">
        <f t="shared" si="2"/>
        <v>37.817005160000001</v>
      </c>
      <c r="T113" s="1">
        <f t="shared" si="3"/>
        <v>8</v>
      </c>
      <c r="U113" s="1">
        <v>99.593466329999998</v>
      </c>
      <c r="V113" s="1">
        <f t="shared" si="4"/>
        <v>62</v>
      </c>
      <c r="W113" s="1">
        <f t="shared" si="5"/>
        <v>38</v>
      </c>
    </row>
    <row r="114" spans="1:23" ht="12.5">
      <c r="A114" s="1" t="s">
        <v>210</v>
      </c>
      <c r="B114" s="1">
        <v>1</v>
      </c>
      <c r="C114" s="1">
        <v>25778.814450000002</v>
      </c>
      <c r="D114" s="1">
        <v>62.381000520000001</v>
      </c>
      <c r="E114" s="1">
        <v>93.843843030000002</v>
      </c>
      <c r="F114" s="1">
        <v>0.68313118719999999</v>
      </c>
      <c r="G114" s="1">
        <v>5.2096927800000001</v>
      </c>
      <c r="H114" s="1">
        <v>0.26333300580000002</v>
      </c>
      <c r="I114" s="1">
        <v>88.753624880000004</v>
      </c>
      <c r="J114" s="1">
        <v>0.3564402606</v>
      </c>
      <c r="K114" s="1">
        <v>10.189934859999999</v>
      </c>
      <c r="L114" s="1">
        <v>0.7</v>
      </c>
      <c r="M114" s="1">
        <v>96.913510439999996</v>
      </c>
      <c r="N114" s="1">
        <v>0.88014287989999995</v>
      </c>
      <c r="O114" s="1">
        <v>2.206346677</v>
      </c>
      <c r="P114" s="1">
        <v>0</v>
      </c>
      <c r="Q114" s="1">
        <f t="shared" si="0"/>
        <v>16</v>
      </c>
      <c r="R114" s="1">
        <f t="shared" si="1"/>
        <v>16081.082376104336</v>
      </c>
      <c r="S114" s="1">
        <f t="shared" si="2"/>
        <v>37.618999479999999</v>
      </c>
      <c r="T114" s="1">
        <f t="shared" si="3"/>
        <v>26</v>
      </c>
      <c r="U114" s="1">
        <v>93.843843030000002</v>
      </c>
      <c r="V114" s="1">
        <f t="shared" si="4"/>
        <v>62</v>
      </c>
      <c r="W114" s="1">
        <f t="shared" si="5"/>
        <v>38</v>
      </c>
    </row>
    <row r="115" spans="1:23" ht="12.5">
      <c r="A115" s="1" t="s">
        <v>212</v>
      </c>
      <c r="B115" s="1">
        <v>3</v>
      </c>
      <c r="C115" s="1">
        <v>1463140.5</v>
      </c>
      <c r="D115" s="1">
        <v>61.713088990000003</v>
      </c>
      <c r="E115" s="1">
        <v>94.261110590000001</v>
      </c>
      <c r="F115" s="1">
        <v>0.8147213297</v>
      </c>
      <c r="G115" s="1">
        <v>4.725451938</v>
      </c>
      <c r="H115" s="1">
        <v>0.19871614409999999</v>
      </c>
      <c r="I115" s="1">
        <v>89.661233510000002</v>
      </c>
      <c r="J115" s="1">
        <v>1.832679086</v>
      </c>
      <c r="K115" s="1">
        <v>8.5060874089999992</v>
      </c>
      <c r="L115" s="1">
        <v>0</v>
      </c>
      <c r="M115" s="1">
        <v>97.11488267</v>
      </c>
      <c r="N115" s="1">
        <v>0.1831784927</v>
      </c>
      <c r="O115" s="1">
        <v>2.3799388399999999</v>
      </c>
      <c r="P115" s="1">
        <v>0.32200000000000001</v>
      </c>
      <c r="Q115" s="1">
        <f t="shared" si="0"/>
        <v>16</v>
      </c>
      <c r="R115" s="1">
        <f t="shared" si="1"/>
        <v>902949.19881373097</v>
      </c>
      <c r="S115" s="1">
        <f t="shared" si="2"/>
        <v>38.286911009999997</v>
      </c>
      <c r="T115" s="1">
        <f t="shared" si="3"/>
        <v>1464</v>
      </c>
      <c r="U115" s="1">
        <v>94.261110590000001</v>
      </c>
      <c r="V115" s="1">
        <f t="shared" si="4"/>
        <v>62</v>
      </c>
      <c r="W115" s="1">
        <f t="shared" si="5"/>
        <v>38</v>
      </c>
    </row>
    <row r="116" spans="1:23" ht="12.5">
      <c r="A116" s="1" t="s">
        <v>213</v>
      </c>
      <c r="B116" s="1">
        <v>4</v>
      </c>
      <c r="C116" s="1">
        <v>37846.605470000002</v>
      </c>
      <c r="D116" s="1">
        <v>60.043003079999998</v>
      </c>
      <c r="E116" s="1">
        <v>99.966591550000004</v>
      </c>
      <c r="F116" s="1">
        <v>0</v>
      </c>
      <c r="G116" s="1">
        <v>3.3408445289999998E-2</v>
      </c>
      <c r="H116" s="1">
        <v>0</v>
      </c>
      <c r="I116" s="1">
        <v>100</v>
      </c>
      <c r="J116" s="1">
        <v>0</v>
      </c>
      <c r="K116" s="1">
        <v>0</v>
      </c>
      <c r="L116" s="1">
        <v>0</v>
      </c>
      <c r="M116" s="1">
        <v>99.944354840000003</v>
      </c>
      <c r="N116" s="1">
        <v>0</v>
      </c>
      <c r="O116" s="1">
        <v>5.5645161290000002E-2</v>
      </c>
      <c r="P116" s="1">
        <v>0</v>
      </c>
      <c r="Q116" s="1">
        <f t="shared" si="0"/>
        <v>16</v>
      </c>
      <c r="R116" s="1">
        <f t="shared" si="1"/>
        <v>22724.238488027549</v>
      </c>
      <c r="S116" s="1">
        <f t="shared" si="2"/>
        <v>39.956996920000002</v>
      </c>
      <c r="T116" s="1">
        <f t="shared" si="3"/>
        <v>38</v>
      </c>
      <c r="U116" s="1">
        <v>99.966591550000004</v>
      </c>
      <c r="V116" s="1">
        <f t="shared" si="4"/>
        <v>60</v>
      </c>
      <c r="W116" s="1">
        <f t="shared" si="5"/>
        <v>40</v>
      </c>
    </row>
    <row r="117" spans="1:23" ht="12.5">
      <c r="A117" s="1" t="s">
        <v>193</v>
      </c>
      <c r="B117" s="1">
        <v>3</v>
      </c>
      <c r="C117" s="1">
        <v>3989.1750489999999</v>
      </c>
      <c r="D117" s="1">
        <v>59.452995299999998</v>
      </c>
      <c r="E117" s="1">
        <v>97.348139700000004</v>
      </c>
      <c r="F117" s="1">
        <v>0</v>
      </c>
      <c r="G117" s="1">
        <v>2.6327613790000002</v>
      </c>
      <c r="H117" s="1">
        <v>1.9098923269999998E-2</v>
      </c>
      <c r="I117" s="1">
        <v>94.271884200000002</v>
      </c>
      <c r="J117" s="1">
        <v>0</v>
      </c>
      <c r="K117" s="1">
        <v>5.7039236180000001</v>
      </c>
      <c r="L117" s="1">
        <v>2.4192183450000002E-2</v>
      </c>
      <c r="M117" s="1">
        <v>99.446153940000002</v>
      </c>
      <c r="N117" s="1">
        <v>0</v>
      </c>
      <c r="O117" s="1">
        <v>0.53822074200000003</v>
      </c>
      <c r="P117" s="1">
        <v>1.5625315859999999E-2</v>
      </c>
      <c r="Q117" s="1">
        <f t="shared" si="0"/>
        <v>16</v>
      </c>
      <c r="R117" s="1">
        <f t="shared" si="1"/>
        <v>2371.6840543907429</v>
      </c>
      <c r="S117" s="1">
        <f t="shared" si="2"/>
        <v>40.547004700000002</v>
      </c>
      <c r="T117" s="1">
        <f t="shared" si="3"/>
        <v>4</v>
      </c>
      <c r="U117" s="1">
        <v>97.348139700000004</v>
      </c>
      <c r="V117" s="1">
        <f t="shared" si="4"/>
        <v>59</v>
      </c>
      <c r="W117" s="1">
        <f t="shared" si="5"/>
        <v>41</v>
      </c>
    </row>
    <row r="118" spans="1:23" ht="12.5">
      <c r="A118" s="1" t="s">
        <v>214</v>
      </c>
      <c r="B118" s="1">
        <v>2</v>
      </c>
      <c r="C118" s="1">
        <v>6624.5541990000002</v>
      </c>
      <c r="D118" s="1">
        <v>59.012001040000001</v>
      </c>
      <c r="E118" s="1">
        <v>81.708753799999997</v>
      </c>
      <c r="F118" s="1">
        <v>1.506645682</v>
      </c>
      <c r="G118" s="1">
        <v>13.530531140000001</v>
      </c>
      <c r="H118" s="1">
        <v>3.2540693780000001</v>
      </c>
      <c r="I118" s="1">
        <v>59.107446629999998</v>
      </c>
      <c r="J118" s="1">
        <v>3.5209742849999999</v>
      </c>
      <c r="K118" s="1">
        <v>29.780173680000001</v>
      </c>
      <c r="L118" s="1">
        <v>7.5914054000000002</v>
      </c>
      <c r="M118" s="1">
        <v>97.406956609999995</v>
      </c>
      <c r="N118" s="1">
        <v>0.10755231429999999</v>
      </c>
      <c r="O118" s="1">
        <v>2.244007656</v>
      </c>
      <c r="P118" s="1">
        <v>0.24148342289999999</v>
      </c>
      <c r="Q118" s="1">
        <f t="shared" si="0"/>
        <v>16</v>
      </c>
      <c r="R118" s="1">
        <f t="shared" si="1"/>
        <v>3909.281992809244</v>
      </c>
      <c r="S118" s="1">
        <f t="shared" si="2"/>
        <v>40.987998959999999</v>
      </c>
      <c r="T118" s="1">
        <f t="shared" si="3"/>
        <v>7</v>
      </c>
      <c r="U118" s="1">
        <v>81.708753799999997</v>
      </c>
      <c r="V118" s="1">
        <f t="shared" si="4"/>
        <v>59</v>
      </c>
      <c r="W118" s="1">
        <f t="shared" si="5"/>
        <v>41</v>
      </c>
    </row>
    <row r="119" spans="1:23" ht="12.5">
      <c r="A119" s="1" t="s">
        <v>215</v>
      </c>
      <c r="B119" s="1">
        <v>4</v>
      </c>
      <c r="C119" s="1">
        <v>9006.4003909999992</v>
      </c>
      <c r="D119" s="1">
        <v>58.748001100000003</v>
      </c>
      <c r="E119" s="1">
        <v>100</v>
      </c>
      <c r="F119" s="1">
        <v>0</v>
      </c>
      <c r="G119" s="1">
        <v>0</v>
      </c>
      <c r="H119" s="1">
        <v>0</v>
      </c>
      <c r="I119" s="1">
        <v>100</v>
      </c>
      <c r="J119" s="1">
        <v>0</v>
      </c>
      <c r="K119" s="1">
        <v>0</v>
      </c>
      <c r="L119" s="1">
        <v>0</v>
      </c>
      <c r="M119" s="1">
        <v>100</v>
      </c>
      <c r="N119" s="1">
        <v>0</v>
      </c>
      <c r="O119" s="1">
        <v>0</v>
      </c>
      <c r="P119" s="1">
        <v>0</v>
      </c>
      <c r="Q119" s="1">
        <f t="shared" si="0"/>
        <v>16</v>
      </c>
      <c r="R119" s="1">
        <f t="shared" si="1"/>
        <v>5291.0802007750844</v>
      </c>
      <c r="S119" s="1">
        <f t="shared" si="2"/>
        <v>41.251998899999997</v>
      </c>
      <c r="T119" s="1">
        <f t="shared" si="3"/>
        <v>10</v>
      </c>
      <c r="U119" s="1">
        <v>100</v>
      </c>
      <c r="V119" s="1">
        <f t="shared" si="4"/>
        <v>59</v>
      </c>
      <c r="W119" s="1">
        <f t="shared" si="5"/>
        <v>41</v>
      </c>
    </row>
    <row r="120" spans="1:23" ht="12.5">
      <c r="A120" s="1" t="s">
        <v>174</v>
      </c>
      <c r="B120" s="1">
        <v>3</v>
      </c>
      <c r="C120" s="1">
        <v>2083.3798830000001</v>
      </c>
      <c r="D120" s="1">
        <v>58.481998439999998</v>
      </c>
      <c r="E120" s="1">
        <v>97.742815789999995</v>
      </c>
      <c r="F120" s="1">
        <v>1.6349941400000001</v>
      </c>
      <c r="G120" s="1">
        <v>0.57422847619999995</v>
      </c>
      <c r="H120" s="1">
        <v>4.796159706E-2</v>
      </c>
      <c r="I120" s="1">
        <v>97.468714570000003</v>
      </c>
      <c r="J120" s="1">
        <v>1.505202232</v>
      </c>
      <c r="K120" s="1">
        <v>0.91056319819999998</v>
      </c>
      <c r="L120" s="1">
        <v>0.11552</v>
      </c>
      <c r="M120" s="1">
        <v>97.937402989999995</v>
      </c>
      <c r="N120" s="1">
        <v>1.7271369539999999</v>
      </c>
      <c r="O120" s="1">
        <v>0.33546005629999998</v>
      </c>
      <c r="P120" s="1">
        <v>0</v>
      </c>
      <c r="Q120" s="1">
        <f t="shared" si="0"/>
        <v>16</v>
      </c>
      <c r="R120" s="1">
        <f t="shared" si="1"/>
        <v>1218.4021906753337</v>
      </c>
      <c r="S120" s="1">
        <f t="shared" si="2"/>
        <v>41.518001560000002</v>
      </c>
      <c r="T120" s="1">
        <f t="shared" si="3"/>
        <v>3</v>
      </c>
      <c r="U120" s="1">
        <v>97.742815789999995</v>
      </c>
      <c r="V120" s="1">
        <f t="shared" si="4"/>
        <v>58</v>
      </c>
      <c r="W120" s="1">
        <f t="shared" si="5"/>
        <v>42</v>
      </c>
    </row>
    <row r="121" spans="1:23" ht="12.5">
      <c r="A121" s="1" t="s">
        <v>196</v>
      </c>
      <c r="B121" s="1">
        <v>4</v>
      </c>
      <c r="C121" s="1">
        <v>4105.2680659999996</v>
      </c>
      <c r="D121" s="1">
        <v>57.552997589999997</v>
      </c>
      <c r="E121" s="1" t="s">
        <v>29</v>
      </c>
      <c r="F121" s="1" t="s">
        <v>29</v>
      </c>
      <c r="G121" s="1" t="s">
        <v>29</v>
      </c>
      <c r="H121" s="1" t="s">
        <v>29</v>
      </c>
      <c r="I121" s="1" t="s">
        <v>29</v>
      </c>
      <c r="J121" s="1" t="s">
        <v>29</v>
      </c>
      <c r="K121" s="1" t="s">
        <v>29</v>
      </c>
      <c r="L121" s="1" t="s">
        <v>29</v>
      </c>
      <c r="M121" s="1">
        <v>100</v>
      </c>
      <c r="N121" s="1">
        <v>0</v>
      </c>
      <c r="O121" s="1">
        <v>0</v>
      </c>
      <c r="P121" s="1">
        <v>0</v>
      </c>
      <c r="Q121" s="1">
        <f t="shared" si="0"/>
        <v>16</v>
      </c>
      <c r="R121" s="1">
        <f t="shared" si="1"/>
        <v>2362.7048310880195</v>
      </c>
      <c r="S121" s="1">
        <f t="shared" si="2"/>
        <v>42.447002410000003</v>
      </c>
      <c r="T121" s="1">
        <f t="shared" si="3"/>
        <v>5</v>
      </c>
      <c r="U121" s="1" t="s">
        <v>29</v>
      </c>
      <c r="V121" s="1">
        <f t="shared" si="4"/>
        <v>58</v>
      </c>
      <c r="W121" s="1">
        <f t="shared" si="5"/>
        <v>42</v>
      </c>
    </row>
    <row r="122" spans="1:23" ht="12.5">
      <c r="A122" s="1" t="s">
        <v>217</v>
      </c>
      <c r="B122" s="1">
        <v>2</v>
      </c>
      <c r="C122" s="1">
        <v>9904.6083980000003</v>
      </c>
      <c r="D122" s="1">
        <v>58.358997340000002</v>
      </c>
      <c r="E122" s="1">
        <v>95.689221130000007</v>
      </c>
      <c r="F122" s="1">
        <v>0.4256206085</v>
      </c>
      <c r="G122" s="1">
        <v>3.8851582640000002</v>
      </c>
      <c r="H122" s="1">
        <v>0</v>
      </c>
      <c r="I122" s="1">
        <v>89.875799549999996</v>
      </c>
      <c r="J122" s="1">
        <v>0.80670950789999996</v>
      </c>
      <c r="K122" s="1">
        <v>9.3174909459999995</v>
      </c>
      <c r="L122" s="1">
        <v>0</v>
      </c>
      <c r="M122" s="1">
        <v>99.837282810000005</v>
      </c>
      <c r="N122" s="1">
        <v>0.15370152619999999</v>
      </c>
      <c r="O122" s="1">
        <v>9.0156632960000007E-3</v>
      </c>
      <c r="P122" s="1">
        <v>0</v>
      </c>
      <c r="Q122" s="1">
        <f t="shared" si="0"/>
        <v>16</v>
      </c>
      <c r="R122" s="1">
        <f t="shared" si="1"/>
        <v>5780.2301515262379</v>
      </c>
      <c r="S122" s="1">
        <f t="shared" si="2"/>
        <v>41.641002659999998</v>
      </c>
      <c r="T122" s="1">
        <f t="shared" si="3"/>
        <v>10</v>
      </c>
      <c r="U122" s="1">
        <v>95.689221130000007</v>
      </c>
      <c r="V122" s="1">
        <f t="shared" si="4"/>
        <v>58</v>
      </c>
      <c r="W122" s="1">
        <f t="shared" si="5"/>
        <v>42</v>
      </c>
    </row>
    <row r="123" spans="1:23" ht="12.5">
      <c r="A123" s="1" t="s">
        <v>219</v>
      </c>
      <c r="B123" s="1">
        <v>3</v>
      </c>
      <c r="C123" s="1">
        <v>18776.707030000001</v>
      </c>
      <c r="D123" s="1">
        <v>57.671001429999997</v>
      </c>
      <c r="E123" s="1">
        <v>95.434970320000005</v>
      </c>
      <c r="F123" s="1">
        <v>1.9414250390000001</v>
      </c>
      <c r="G123" s="1">
        <v>2.5459569339999999</v>
      </c>
      <c r="H123" s="1">
        <v>7.7647704710000001E-2</v>
      </c>
      <c r="I123" s="1">
        <v>91.939252339999996</v>
      </c>
      <c r="J123" s="1">
        <v>1.862616064</v>
      </c>
      <c r="K123" s="1">
        <v>6.0146930489999999</v>
      </c>
      <c r="L123" s="1">
        <v>0.18343854379999999</v>
      </c>
      <c r="M123" s="1">
        <v>98.000731329999994</v>
      </c>
      <c r="N123" s="1">
        <v>1.999268673</v>
      </c>
      <c r="O123" s="1">
        <v>0</v>
      </c>
      <c r="P123" s="1">
        <v>0</v>
      </c>
      <c r="Q123" s="1">
        <f t="shared" si="0"/>
        <v>16</v>
      </c>
      <c r="R123" s="1">
        <f t="shared" si="1"/>
        <v>10828.714979778211</v>
      </c>
      <c r="S123" s="1">
        <f t="shared" si="2"/>
        <v>42.328998570000003</v>
      </c>
      <c r="T123" s="1">
        <f t="shared" si="3"/>
        <v>19</v>
      </c>
      <c r="U123" s="1">
        <v>95.434970320000005</v>
      </c>
      <c r="V123" s="1">
        <f t="shared" si="4"/>
        <v>58</v>
      </c>
      <c r="W123" s="1">
        <f t="shared" si="5"/>
        <v>42</v>
      </c>
    </row>
    <row r="124" spans="1:23" ht="12.5">
      <c r="A124" s="1" t="s">
        <v>221</v>
      </c>
      <c r="B124" s="1">
        <v>2</v>
      </c>
      <c r="C124" s="1">
        <v>26545.863280000001</v>
      </c>
      <c r="D124" s="1">
        <v>57.560005189999998</v>
      </c>
      <c r="E124" s="1">
        <v>65.720418179999996</v>
      </c>
      <c r="F124" s="1">
        <v>12.874748629999999</v>
      </c>
      <c r="G124" s="1">
        <v>15.00100626</v>
      </c>
      <c r="H124" s="1">
        <v>6.4038269269999999</v>
      </c>
      <c r="I124" s="1">
        <v>43.527581120000001</v>
      </c>
      <c r="J124" s="1">
        <v>12.67259943</v>
      </c>
      <c r="K124" s="1">
        <v>30.12380645</v>
      </c>
      <c r="L124" s="1">
        <v>13.676012999999999</v>
      </c>
      <c r="M124" s="1">
        <v>82.083584860000002</v>
      </c>
      <c r="N124" s="1">
        <v>13.023796770000001</v>
      </c>
      <c r="O124" s="1">
        <v>3.8507013510000001</v>
      </c>
      <c r="P124" s="1">
        <v>1.041917019</v>
      </c>
      <c r="Q124" s="1">
        <f t="shared" si="0"/>
        <v>16</v>
      </c>
      <c r="R124" s="1">
        <f t="shared" si="1"/>
        <v>15279.800281698304</v>
      </c>
      <c r="S124" s="1">
        <f t="shared" si="2"/>
        <v>42.439994810000002</v>
      </c>
      <c r="T124" s="1">
        <f t="shared" si="3"/>
        <v>27</v>
      </c>
      <c r="U124" s="1">
        <v>65.720418179999996</v>
      </c>
      <c r="V124" s="1">
        <f t="shared" si="4"/>
        <v>58</v>
      </c>
      <c r="W124" s="1">
        <f t="shared" si="5"/>
        <v>42</v>
      </c>
    </row>
    <row r="125" spans="1:23" ht="12.5">
      <c r="A125" s="1" t="s">
        <v>151</v>
      </c>
      <c r="B125" s="1">
        <v>3</v>
      </c>
      <c r="C125" s="1">
        <v>896.44396970000003</v>
      </c>
      <c r="D125" s="1">
        <v>57.247005459999997</v>
      </c>
      <c r="E125" s="1">
        <v>94.30106524</v>
      </c>
      <c r="F125" s="1">
        <v>0</v>
      </c>
      <c r="G125" s="1">
        <v>3.3186027660000001</v>
      </c>
      <c r="H125" s="1">
        <v>2.380331999</v>
      </c>
      <c r="I125" s="1">
        <v>89.088024050000001</v>
      </c>
      <c r="J125" s="1">
        <v>0</v>
      </c>
      <c r="K125" s="1">
        <v>5.7598979379999999</v>
      </c>
      <c r="L125" s="1">
        <v>5.1520780119999996</v>
      </c>
      <c r="M125" s="1">
        <v>98.194244060000003</v>
      </c>
      <c r="N125" s="1">
        <v>0</v>
      </c>
      <c r="O125" s="1">
        <v>1.495409344</v>
      </c>
      <c r="P125" s="1">
        <v>0.31034659219999999</v>
      </c>
      <c r="Q125" s="1">
        <f t="shared" si="0"/>
        <v>16</v>
      </c>
      <c r="R125" s="1">
        <f t="shared" si="1"/>
        <v>513.18732827999975</v>
      </c>
      <c r="S125" s="1">
        <f t="shared" si="2"/>
        <v>42.752994540000003</v>
      </c>
      <c r="T125" s="1">
        <f t="shared" si="3"/>
        <v>1</v>
      </c>
      <c r="U125" s="1">
        <v>94.30106524</v>
      </c>
      <c r="V125" s="1">
        <f t="shared" si="4"/>
        <v>57</v>
      </c>
      <c r="W125" s="1">
        <f t="shared" si="5"/>
        <v>43</v>
      </c>
    </row>
    <row r="126" spans="1:23" ht="12.5">
      <c r="A126" s="1" t="s">
        <v>222</v>
      </c>
      <c r="B126" s="1">
        <v>2</v>
      </c>
      <c r="C126" s="1">
        <v>11402.5332</v>
      </c>
      <c r="D126" s="1">
        <v>57.087997440000002</v>
      </c>
      <c r="E126" s="1">
        <v>66.695308400000002</v>
      </c>
      <c r="F126" s="1">
        <v>9.8145436519999993</v>
      </c>
      <c r="G126" s="1">
        <v>23.490147950000001</v>
      </c>
      <c r="H126" s="1">
        <v>0</v>
      </c>
      <c r="I126" s="1">
        <v>42.845700100000002</v>
      </c>
      <c r="J126" s="1">
        <v>13.25598695</v>
      </c>
      <c r="K126" s="1">
        <v>43.898312949999998</v>
      </c>
      <c r="L126" s="1">
        <v>0</v>
      </c>
      <c r="M126" s="1">
        <v>84.622621289999998</v>
      </c>
      <c r="N126" s="1">
        <v>7.2276738790000001</v>
      </c>
      <c r="O126" s="1">
        <v>8.1497048349999996</v>
      </c>
      <c r="P126" s="1">
        <v>0</v>
      </c>
      <c r="Q126" s="1">
        <f t="shared" si="0"/>
        <v>16</v>
      </c>
      <c r="R126" s="1">
        <f t="shared" si="1"/>
        <v>6509.4778613111503</v>
      </c>
      <c r="S126" s="1">
        <f t="shared" si="2"/>
        <v>42.912002559999998</v>
      </c>
      <c r="T126" s="1">
        <f t="shared" si="3"/>
        <v>12</v>
      </c>
      <c r="U126" s="1">
        <v>66.695308400000002</v>
      </c>
      <c r="V126" s="1">
        <f t="shared" si="4"/>
        <v>57</v>
      </c>
      <c r="W126" s="1">
        <f t="shared" si="5"/>
        <v>43</v>
      </c>
    </row>
    <row r="127" spans="1:23" ht="12.5">
      <c r="A127" s="1" t="s">
        <v>224</v>
      </c>
      <c r="B127" s="1">
        <v>2</v>
      </c>
      <c r="C127" s="1">
        <v>31072.945309999999</v>
      </c>
      <c r="D127" s="1">
        <v>57.348999020000001</v>
      </c>
      <c r="E127" s="1">
        <v>85.790996649999997</v>
      </c>
      <c r="F127" s="1">
        <v>6.5860621129999997</v>
      </c>
      <c r="G127" s="1">
        <v>2.8122161760000002</v>
      </c>
      <c r="H127" s="1">
        <v>4.8107250580000001</v>
      </c>
      <c r="I127" s="1">
        <v>71.892750050000004</v>
      </c>
      <c r="J127" s="1">
        <v>11.934548270000001</v>
      </c>
      <c r="K127" s="1">
        <v>4.9993564829999997</v>
      </c>
      <c r="L127" s="1">
        <v>11.173345189999999</v>
      </c>
      <c r="M127" s="1">
        <v>96.127259519999996</v>
      </c>
      <c r="N127" s="1">
        <v>2.6083424549999998</v>
      </c>
      <c r="O127" s="1">
        <v>1.1856138030000001</v>
      </c>
      <c r="P127" s="1">
        <v>7.8784218190000005E-2</v>
      </c>
      <c r="Q127" s="1">
        <f t="shared" si="0"/>
        <v>16</v>
      </c>
      <c r="R127" s="1">
        <f t="shared" si="1"/>
        <v>17820.023101317038</v>
      </c>
      <c r="S127" s="1">
        <f t="shared" si="2"/>
        <v>42.651000979999999</v>
      </c>
      <c r="T127" s="1">
        <f t="shared" si="3"/>
        <v>32</v>
      </c>
      <c r="U127" s="1">
        <v>85.790996649999997</v>
      </c>
      <c r="V127" s="1">
        <f t="shared" si="4"/>
        <v>57</v>
      </c>
      <c r="W127" s="1">
        <f t="shared" si="5"/>
        <v>43</v>
      </c>
    </row>
    <row r="128" spans="1:23" ht="12.5">
      <c r="A128" s="1" t="s">
        <v>226</v>
      </c>
      <c r="B128" s="1">
        <v>2</v>
      </c>
      <c r="C128" s="1">
        <v>273523.625</v>
      </c>
      <c r="D128" s="1">
        <v>56.640998840000002</v>
      </c>
      <c r="E128" s="1">
        <v>92.415349610000007</v>
      </c>
      <c r="F128" s="1">
        <v>0.85547463349999997</v>
      </c>
      <c r="G128" s="1">
        <v>5.553871666</v>
      </c>
      <c r="H128" s="1">
        <v>1.175304087</v>
      </c>
      <c r="I128" s="1">
        <v>85.667962380000006</v>
      </c>
      <c r="J128" s="1">
        <v>1.1780912299999999</v>
      </c>
      <c r="K128" s="1">
        <v>10.61491462</v>
      </c>
      <c r="L128" s="1">
        <v>2.539031772</v>
      </c>
      <c r="M128" s="1">
        <v>97.580512069999997</v>
      </c>
      <c r="N128" s="1">
        <v>0.60850983449999996</v>
      </c>
      <c r="O128" s="1">
        <v>1.679615139</v>
      </c>
      <c r="P128" s="1">
        <v>0.13136295880000001</v>
      </c>
      <c r="Q128" s="1">
        <f t="shared" si="0"/>
        <v>16</v>
      </c>
      <c r="R128" s="1">
        <f t="shared" si="1"/>
        <v>154926.51326337596</v>
      </c>
      <c r="S128" s="1">
        <f t="shared" si="2"/>
        <v>43.359001159999998</v>
      </c>
      <c r="T128" s="1">
        <f t="shared" si="3"/>
        <v>274</v>
      </c>
      <c r="U128" s="1">
        <v>92.415349610000007</v>
      </c>
      <c r="V128" s="1">
        <f t="shared" si="4"/>
        <v>57</v>
      </c>
      <c r="W128" s="1">
        <f t="shared" si="5"/>
        <v>43</v>
      </c>
    </row>
    <row r="129" spans="1:23" ht="12.5">
      <c r="A129" s="1" t="s">
        <v>106</v>
      </c>
      <c r="B129" s="1">
        <v>2</v>
      </c>
      <c r="C129" s="1">
        <v>119.44599909999999</v>
      </c>
      <c r="D129" s="1">
        <v>55.593997960000003</v>
      </c>
      <c r="E129" s="1">
        <v>77.970920849999999</v>
      </c>
      <c r="F129" s="1">
        <v>4.0768996250000002</v>
      </c>
      <c r="G129" s="1">
        <v>17.952179529999999</v>
      </c>
      <c r="H129" s="1">
        <v>0</v>
      </c>
      <c r="I129" s="1">
        <v>60.99418489</v>
      </c>
      <c r="J129" s="1">
        <v>2.0966097989999999</v>
      </c>
      <c r="K129" s="1">
        <v>36.909205319999998</v>
      </c>
      <c r="L129" s="1">
        <v>0</v>
      </c>
      <c r="M129" s="1">
        <v>91.531174849999999</v>
      </c>
      <c r="N129" s="1">
        <v>5.6586664610000001</v>
      </c>
      <c r="O129" s="1">
        <v>2.8101586909999998</v>
      </c>
      <c r="P129" s="1">
        <v>0</v>
      </c>
      <c r="Q129" s="1">
        <f t="shared" si="0"/>
        <v>16</v>
      </c>
      <c r="R129" s="1">
        <f t="shared" si="1"/>
        <v>66.40480630295562</v>
      </c>
      <c r="S129" s="1">
        <f t="shared" si="2"/>
        <v>44.406002039999997</v>
      </c>
      <c r="T129" s="1">
        <f t="shared" si="3"/>
        <v>1</v>
      </c>
      <c r="U129" s="1">
        <v>77.970920849999999</v>
      </c>
      <c r="V129" s="1">
        <f t="shared" si="4"/>
        <v>56</v>
      </c>
      <c r="W129" s="1">
        <f t="shared" si="5"/>
        <v>44</v>
      </c>
    </row>
    <row r="130" spans="1:23" ht="12.5">
      <c r="A130" s="1" t="s">
        <v>188</v>
      </c>
      <c r="B130" s="1">
        <v>3</v>
      </c>
      <c r="C130" s="1">
        <v>2961.1608890000002</v>
      </c>
      <c r="D130" s="1">
        <v>56.311000819999997</v>
      </c>
      <c r="E130" s="1">
        <v>91.029944499999999</v>
      </c>
      <c r="F130" s="1">
        <v>5.3675709139999999</v>
      </c>
      <c r="G130" s="1">
        <v>1.8640102030000001</v>
      </c>
      <c r="H130" s="1">
        <v>1.7384743789999999</v>
      </c>
      <c r="I130" s="1">
        <v>85.39991216</v>
      </c>
      <c r="J130" s="1">
        <v>8.4907373709999998</v>
      </c>
      <c r="K130" s="1">
        <v>2.5689718949999998</v>
      </c>
      <c r="L130" s="1">
        <v>3.540378574</v>
      </c>
      <c r="M130" s="1">
        <v>95.398015909999998</v>
      </c>
      <c r="N130" s="1">
        <v>2.944456223</v>
      </c>
      <c r="O130" s="1">
        <v>1.317064322</v>
      </c>
      <c r="P130" s="1">
        <v>0.34046355</v>
      </c>
      <c r="Q130" s="1">
        <f t="shared" si="0"/>
        <v>16</v>
      </c>
      <c r="R130" s="1">
        <f t="shared" si="1"/>
        <v>1667.4593324863094</v>
      </c>
      <c r="S130" s="1">
        <f t="shared" si="2"/>
        <v>43.688999180000003</v>
      </c>
      <c r="T130" s="1">
        <f t="shared" si="3"/>
        <v>3</v>
      </c>
      <c r="U130" s="1">
        <v>91.029944499999999</v>
      </c>
      <c r="V130" s="1">
        <f t="shared" si="4"/>
        <v>56</v>
      </c>
      <c r="W130" s="1">
        <f t="shared" si="5"/>
        <v>44</v>
      </c>
    </row>
    <row r="131" spans="1:23" ht="12.5">
      <c r="A131" s="1" t="s">
        <v>223</v>
      </c>
      <c r="B131" s="1">
        <v>3</v>
      </c>
      <c r="C131" s="1">
        <v>8737.3701170000004</v>
      </c>
      <c r="D131" s="1">
        <v>56.445999149999999</v>
      </c>
      <c r="E131" s="1">
        <v>95.29552932</v>
      </c>
      <c r="F131" s="1">
        <v>4.244199279</v>
      </c>
      <c r="G131" s="1">
        <v>0.44372047780000001</v>
      </c>
      <c r="H131" s="1">
        <v>1.6550926470000001E-2</v>
      </c>
      <c r="I131" s="1">
        <v>95.844974750000006</v>
      </c>
      <c r="J131" s="1">
        <v>3.545864028</v>
      </c>
      <c r="K131" s="1">
        <v>0.57116028659999996</v>
      </c>
      <c r="L131" s="1">
        <v>3.8000931410000001E-2</v>
      </c>
      <c r="M131" s="1">
        <v>94.871569890000004</v>
      </c>
      <c r="N131" s="1">
        <v>4.7830378649999998</v>
      </c>
      <c r="O131" s="1">
        <v>0.3453922445</v>
      </c>
      <c r="P131" s="1">
        <v>0</v>
      </c>
      <c r="Q131" s="1">
        <f t="shared" si="0"/>
        <v>16</v>
      </c>
      <c r="R131" s="1">
        <f t="shared" si="1"/>
        <v>4931.8958619741743</v>
      </c>
      <c r="S131" s="1">
        <f t="shared" si="2"/>
        <v>43.554000850000001</v>
      </c>
      <c r="T131" s="1">
        <f t="shared" si="3"/>
        <v>9</v>
      </c>
      <c r="U131" s="1">
        <v>95.29552932</v>
      </c>
      <c r="V131" s="1">
        <f t="shared" si="4"/>
        <v>56</v>
      </c>
      <c r="W131" s="1">
        <f t="shared" si="5"/>
        <v>44</v>
      </c>
    </row>
    <row r="132" spans="1:23" ht="12.5">
      <c r="A132" s="1" t="s">
        <v>228</v>
      </c>
      <c r="B132" s="1">
        <v>3</v>
      </c>
      <c r="C132" s="1">
        <v>10139.174800000001</v>
      </c>
      <c r="D132" s="1">
        <v>56.397003169999998</v>
      </c>
      <c r="E132" s="1">
        <v>96.043376129999999</v>
      </c>
      <c r="F132" s="1">
        <v>1.04278118</v>
      </c>
      <c r="G132" s="1">
        <v>2.9138426879999999</v>
      </c>
      <c r="H132" s="1">
        <v>0</v>
      </c>
      <c r="I132" s="1">
        <v>90.925797950000003</v>
      </c>
      <c r="J132" s="1">
        <v>2.3915356710000002</v>
      </c>
      <c r="K132" s="1">
        <v>6.6826663770000003</v>
      </c>
      <c r="L132" s="1">
        <v>0</v>
      </c>
      <c r="M132" s="1">
        <v>100</v>
      </c>
      <c r="N132" s="1">
        <v>0</v>
      </c>
      <c r="O132" s="1">
        <v>0</v>
      </c>
      <c r="P132" s="1">
        <v>0</v>
      </c>
      <c r="Q132" s="1">
        <f t="shared" si="0"/>
        <v>16</v>
      </c>
      <c r="R132" s="1">
        <f t="shared" si="1"/>
        <v>5718.1907333678409</v>
      </c>
      <c r="S132" s="1">
        <f t="shared" si="2"/>
        <v>43.602996830000002</v>
      </c>
      <c r="T132" s="1">
        <f t="shared" si="3"/>
        <v>11</v>
      </c>
      <c r="U132" s="1">
        <v>96.043376129999999</v>
      </c>
      <c r="V132" s="1">
        <f t="shared" si="4"/>
        <v>56</v>
      </c>
      <c r="W132" s="1">
        <f t="shared" si="5"/>
        <v>44</v>
      </c>
    </row>
    <row r="133" spans="1:23" ht="12.5">
      <c r="A133" s="1" t="s">
        <v>171</v>
      </c>
      <c r="B133" s="1">
        <v>4</v>
      </c>
      <c r="C133" s="1">
        <v>2078.931885</v>
      </c>
      <c r="D133" s="1">
        <v>55.118003850000001</v>
      </c>
      <c r="E133" s="1">
        <v>99.5</v>
      </c>
      <c r="F133" s="1">
        <v>0</v>
      </c>
      <c r="G133" s="1">
        <v>0.5</v>
      </c>
      <c r="H133" s="1">
        <v>0</v>
      </c>
      <c r="I133" s="1" t="s">
        <v>29</v>
      </c>
      <c r="J133" s="1" t="s">
        <v>29</v>
      </c>
      <c r="K133" s="1" t="s">
        <v>29</v>
      </c>
      <c r="L133" s="1" t="s">
        <v>29</v>
      </c>
      <c r="M133" s="1" t="s">
        <v>29</v>
      </c>
      <c r="N133" s="1" t="s">
        <v>29</v>
      </c>
      <c r="O133" s="1" t="s">
        <v>29</v>
      </c>
      <c r="P133" s="1" t="s">
        <v>29</v>
      </c>
      <c r="Q133" s="1">
        <f t="shared" si="0"/>
        <v>16</v>
      </c>
      <c r="R133" s="1">
        <f t="shared" si="1"/>
        <v>1145.8657564131775</v>
      </c>
      <c r="S133" s="1">
        <f t="shared" si="2"/>
        <v>44.881996149999999</v>
      </c>
      <c r="T133" s="1">
        <f t="shared" si="3"/>
        <v>3</v>
      </c>
      <c r="U133" s="1">
        <v>99.5</v>
      </c>
      <c r="V133" s="1">
        <f t="shared" si="4"/>
        <v>55</v>
      </c>
      <c r="W133" s="1">
        <f t="shared" si="5"/>
        <v>45</v>
      </c>
    </row>
    <row r="134" spans="1:23" ht="12.5">
      <c r="A134" s="1" t="s">
        <v>198</v>
      </c>
      <c r="B134" s="1">
        <v>2</v>
      </c>
      <c r="C134" s="1">
        <v>4649.6601559999999</v>
      </c>
      <c r="D134" s="1">
        <v>55.326995850000003</v>
      </c>
      <c r="E134" s="1">
        <v>71.681049229999999</v>
      </c>
      <c r="F134" s="1">
        <v>13.476891930000001</v>
      </c>
      <c r="G134" s="1">
        <v>14.820326809999999</v>
      </c>
      <c r="H134" s="1">
        <v>2.173203433E-2</v>
      </c>
      <c r="I134" s="1">
        <v>49.911338899999997</v>
      </c>
      <c r="J134" s="1">
        <v>18.49039689</v>
      </c>
      <c r="K134" s="1">
        <v>31.549617300000001</v>
      </c>
      <c r="L134" s="1">
        <v>4.8646907220000001E-2</v>
      </c>
      <c r="M134" s="1">
        <v>89.258694649999995</v>
      </c>
      <c r="N134" s="1">
        <v>9.4288080829999998</v>
      </c>
      <c r="O134" s="1">
        <v>1.3124972699999999</v>
      </c>
      <c r="P134" s="1">
        <v>0</v>
      </c>
      <c r="Q134" s="1">
        <f t="shared" si="0"/>
        <v>16</v>
      </c>
      <c r="R134" s="1">
        <f t="shared" si="1"/>
        <v>2572.5172815492238</v>
      </c>
      <c r="S134" s="1">
        <f t="shared" si="2"/>
        <v>44.673004149999997</v>
      </c>
      <c r="T134" s="1">
        <f t="shared" si="3"/>
        <v>5</v>
      </c>
      <c r="U134" s="1">
        <v>71.681049229999999</v>
      </c>
      <c r="V134" s="1">
        <f t="shared" si="4"/>
        <v>55</v>
      </c>
      <c r="W134" s="1">
        <f t="shared" si="5"/>
        <v>45</v>
      </c>
    </row>
    <row r="135" spans="1:23" ht="12.5">
      <c r="A135" s="1" t="s">
        <v>229</v>
      </c>
      <c r="B135" s="1">
        <v>1</v>
      </c>
      <c r="C135" s="1">
        <v>17500.65625</v>
      </c>
      <c r="D135" s="1">
        <v>55.475002289999999</v>
      </c>
      <c r="E135" s="1">
        <v>93.925857179999994</v>
      </c>
      <c r="F135" s="1">
        <v>5.8737307679999997</v>
      </c>
      <c r="G135" s="1">
        <v>0.20041205419999999</v>
      </c>
      <c r="H135" s="1">
        <v>0</v>
      </c>
      <c r="I135" s="1">
        <v>92.082745000000003</v>
      </c>
      <c r="J135" s="1">
        <v>7.9172549999999999</v>
      </c>
      <c r="K135" s="1">
        <v>0</v>
      </c>
      <c r="L135" s="1">
        <v>0</v>
      </c>
      <c r="M135" s="1">
        <v>95.405164360000001</v>
      </c>
      <c r="N135" s="1">
        <v>4.2335701170000002</v>
      </c>
      <c r="O135" s="1">
        <v>0.36126552499999998</v>
      </c>
      <c r="P135" s="1">
        <v>0</v>
      </c>
      <c r="Q135" s="1">
        <f t="shared" si="0"/>
        <v>16</v>
      </c>
      <c r="R135" s="1">
        <f t="shared" si="1"/>
        <v>9708.4894554525272</v>
      </c>
      <c r="S135" s="1">
        <f t="shared" si="2"/>
        <v>44.524997710000001</v>
      </c>
      <c r="T135" s="1">
        <f t="shared" si="3"/>
        <v>18</v>
      </c>
      <c r="U135" s="1">
        <v>93.925857179999994</v>
      </c>
      <c r="V135" s="1">
        <f t="shared" si="4"/>
        <v>55</v>
      </c>
      <c r="W135" s="1">
        <f t="shared" si="5"/>
        <v>45</v>
      </c>
    </row>
    <row r="136" spans="1:23" ht="12.5">
      <c r="A136" s="1" t="s">
        <v>205</v>
      </c>
      <c r="B136" s="1">
        <v>4</v>
      </c>
      <c r="C136" s="1">
        <v>5459.6430659999996</v>
      </c>
      <c r="D136" s="1">
        <v>53.759998320000001</v>
      </c>
      <c r="E136" s="1">
        <v>99.787698579999997</v>
      </c>
      <c r="F136" s="1">
        <v>0.2123014241</v>
      </c>
      <c r="G136" s="1">
        <v>0</v>
      </c>
      <c r="H136" s="1">
        <v>0</v>
      </c>
      <c r="I136" s="1">
        <v>100</v>
      </c>
      <c r="J136" s="1">
        <v>0</v>
      </c>
      <c r="K136" s="1">
        <v>0</v>
      </c>
      <c r="L136" s="1">
        <v>0</v>
      </c>
      <c r="M136" s="1">
        <v>99.605094059999999</v>
      </c>
      <c r="N136" s="1">
        <v>0.39490593740000002</v>
      </c>
      <c r="O136" s="1">
        <v>0</v>
      </c>
      <c r="P136" s="1">
        <v>0</v>
      </c>
      <c r="Q136" s="1">
        <f t="shared" si="0"/>
        <v>16</v>
      </c>
      <c r="R136" s="1">
        <f t="shared" si="1"/>
        <v>2935.1040205595964</v>
      </c>
      <c r="S136" s="1">
        <f t="shared" si="2"/>
        <v>46.240001679999999</v>
      </c>
      <c r="T136" s="1">
        <f t="shared" si="3"/>
        <v>6</v>
      </c>
      <c r="U136" s="1">
        <v>99.787698579999997</v>
      </c>
      <c r="V136" s="1">
        <f t="shared" si="4"/>
        <v>54</v>
      </c>
      <c r="W136" s="1">
        <f t="shared" si="5"/>
        <v>46</v>
      </c>
    </row>
    <row r="137" spans="1:23" ht="12.5">
      <c r="A137" s="1" t="s">
        <v>230</v>
      </c>
      <c r="B137" s="1">
        <v>4</v>
      </c>
      <c r="C137" s="1">
        <v>19237.681639999999</v>
      </c>
      <c r="D137" s="1">
        <v>54.194000240000001</v>
      </c>
      <c r="E137" s="1">
        <v>100</v>
      </c>
      <c r="F137" s="1">
        <v>0</v>
      </c>
      <c r="G137" s="1">
        <v>0</v>
      </c>
      <c r="H137" s="1">
        <v>0</v>
      </c>
      <c r="I137" s="1">
        <v>100</v>
      </c>
      <c r="J137" s="1">
        <v>0</v>
      </c>
      <c r="K137" s="1">
        <v>0</v>
      </c>
      <c r="L137" s="1">
        <v>0</v>
      </c>
      <c r="M137" s="1">
        <v>100</v>
      </c>
      <c r="N137" s="1">
        <v>0</v>
      </c>
      <c r="O137" s="1">
        <v>0</v>
      </c>
      <c r="P137" s="1">
        <v>0</v>
      </c>
      <c r="Q137" s="1">
        <f t="shared" si="0"/>
        <v>16</v>
      </c>
      <c r="R137" s="1">
        <f t="shared" si="1"/>
        <v>10425.669234152037</v>
      </c>
      <c r="S137" s="1">
        <f t="shared" si="2"/>
        <v>45.805999759999999</v>
      </c>
      <c r="T137" s="1">
        <f t="shared" si="3"/>
        <v>20</v>
      </c>
      <c r="U137" s="1">
        <v>100</v>
      </c>
      <c r="V137" s="1">
        <f t="shared" si="4"/>
        <v>54</v>
      </c>
      <c r="W137" s="1">
        <f t="shared" si="5"/>
        <v>46</v>
      </c>
    </row>
    <row r="138" spans="1:23" ht="12.5">
      <c r="A138" s="1" t="s">
        <v>101</v>
      </c>
      <c r="B138" s="1">
        <v>4</v>
      </c>
      <c r="C138" s="1">
        <v>85.031997680000003</v>
      </c>
      <c r="D138" s="1">
        <v>52.89800262</v>
      </c>
      <c r="E138" s="1">
        <v>99.075000000000003</v>
      </c>
      <c r="F138" s="1">
        <v>0</v>
      </c>
      <c r="G138" s="1">
        <v>0.92500000000000004</v>
      </c>
      <c r="H138" s="1">
        <v>0</v>
      </c>
      <c r="I138" s="1" t="s">
        <v>29</v>
      </c>
      <c r="J138" s="1" t="s">
        <v>29</v>
      </c>
      <c r="K138" s="1" t="s">
        <v>29</v>
      </c>
      <c r="L138" s="1" t="s">
        <v>29</v>
      </c>
      <c r="M138" s="1" t="s">
        <v>29</v>
      </c>
      <c r="N138" s="1" t="s">
        <v>29</v>
      </c>
      <c r="O138" s="1" t="s">
        <v>29</v>
      </c>
      <c r="P138" s="1" t="s">
        <v>29</v>
      </c>
      <c r="Q138" s="1">
        <f t="shared" si="0"/>
        <v>16</v>
      </c>
      <c r="R138" s="1">
        <f t="shared" si="1"/>
        <v>44.980228360604734</v>
      </c>
      <c r="S138" s="1">
        <f t="shared" si="2"/>
        <v>47.10199738</v>
      </c>
      <c r="T138" s="1">
        <f t="shared" si="3"/>
        <v>1</v>
      </c>
      <c r="U138" s="1">
        <v>99.075000000000003</v>
      </c>
      <c r="V138" s="1">
        <f t="shared" si="4"/>
        <v>53</v>
      </c>
      <c r="W138" s="1">
        <f t="shared" si="5"/>
        <v>47</v>
      </c>
    </row>
    <row r="139" spans="1:23" ht="12.5">
      <c r="A139" s="1" t="s">
        <v>165</v>
      </c>
      <c r="B139" s="1">
        <v>4</v>
      </c>
      <c r="C139" s="1">
        <v>1399.490967</v>
      </c>
      <c r="D139" s="1">
        <v>53.2140007</v>
      </c>
      <c r="E139" s="1">
        <v>98.875170769999997</v>
      </c>
      <c r="F139" s="1">
        <v>1.1248292310000001</v>
      </c>
      <c r="G139" s="1">
        <v>0</v>
      </c>
      <c r="H139" s="1">
        <v>0</v>
      </c>
      <c r="I139" s="1" t="s">
        <v>29</v>
      </c>
      <c r="J139" s="1" t="s">
        <v>29</v>
      </c>
      <c r="K139" s="1" t="s">
        <v>29</v>
      </c>
      <c r="L139" s="1" t="s">
        <v>29</v>
      </c>
      <c r="M139" s="1" t="s">
        <v>29</v>
      </c>
      <c r="N139" s="1" t="s">
        <v>29</v>
      </c>
      <c r="O139" s="1" t="s">
        <v>29</v>
      </c>
      <c r="P139" s="1" t="s">
        <v>29</v>
      </c>
      <c r="Q139" s="1">
        <f t="shared" si="0"/>
        <v>16</v>
      </c>
      <c r="R139" s="1">
        <f t="shared" si="1"/>
        <v>744.72513297581668</v>
      </c>
      <c r="S139" s="1">
        <f t="shared" si="2"/>
        <v>46.7859993</v>
      </c>
      <c r="T139" s="1">
        <f t="shared" si="3"/>
        <v>2</v>
      </c>
      <c r="U139" s="1">
        <v>98.875170769999997</v>
      </c>
      <c r="V139" s="1">
        <f t="shared" si="4"/>
        <v>53</v>
      </c>
      <c r="W139" s="1">
        <f t="shared" si="5"/>
        <v>47</v>
      </c>
    </row>
    <row r="140" spans="1:23" ht="12.5">
      <c r="A140" s="1" t="s">
        <v>208</v>
      </c>
      <c r="B140" s="1">
        <v>3</v>
      </c>
      <c r="C140" s="1">
        <v>6031.1870120000003</v>
      </c>
      <c r="D140" s="1">
        <v>52.516002659999998</v>
      </c>
      <c r="E140" s="1">
        <v>100</v>
      </c>
      <c r="F140" s="1">
        <v>0</v>
      </c>
      <c r="G140" s="1">
        <v>0</v>
      </c>
      <c r="H140" s="1">
        <v>0</v>
      </c>
      <c r="I140" s="1">
        <v>100</v>
      </c>
      <c r="J140" s="1">
        <v>0</v>
      </c>
      <c r="K140" s="1">
        <v>0</v>
      </c>
      <c r="L140" s="1">
        <v>0</v>
      </c>
      <c r="M140" s="1">
        <v>100</v>
      </c>
      <c r="N140" s="1">
        <v>0</v>
      </c>
      <c r="O140" s="1">
        <v>0</v>
      </c>
      <c r="P140" s="1">
        <v>0</v>
      </c>
      <c r="Q140" s="1">
        <f t="shared" si="0"/>
        <v>16</v>
      </c>
      <c r="R140" s="1">
        <f t="shared" si="1"/>
        <v>3167.3383316514942</v>
      </c>
      <c r="S140" s="1">
        <f t="shared" si="2"/>
        <v>47.483997340000002</v>
      </c>
      <c r="T140" s="1">
        <f t="shared" si="3"/>
        <v>7</v>
      </c>
      <c r="U140" s="1">
        <v>100</v>
      </c>
      <c r="V140" s="1">
        <f t="shared" si="4"/>
        <v>53</v>
      </c>
      <c r="W140" s="1">
        <f t="shared" si="5"/>
        <v>47</v>
      </c>
    </row>
    <row r="141" spans="1:23" ht="12.5">
      <c r="A141" s="1" t="s">
        <v>181</v>
      </c>
      <c r="B141" s="1">
        <v>3</v>
      </c>
      <c r="C141" s="1">
        <v>2540.9160160000001</v>
      </c>
      <c r="D141" s="1">
        <v>52.033000950000002</v>
      </c>
      <c r="E141" s="1">
        <v>84.270036279999999</v>
      </c>
      <c r="F141" s="1">
        <v>7.0876275099999999</v>
      </c>
      <c r="G141" s="1">
        <v>3.740143722</v>
      </c>
      <c r="H141" s="1">
        <v>4.9021924849999996</v>
      </c>
      <c r="I141" s="1">
        <v>71.256167430000005</v>
      </c>
      <c r="J141" s="1">
        <v>11.97218925</v>
      </c>
      <c r="K141" s="1">
        <v>7.0818037589999996</v>
      </c>
      <c r="L141" s="1">
        <v>9.6898395629999996</v>
      </c>
      <c r="M141" s="1">
        <v>96.266965350000007</v>
      </c>
      <c r="N141" s="1">
        <v>2.5847589649999998</v>
      </c>
      <c r="O141" s="1">
        <v>0.65961026379999999</v>
      </c>
      <c r="P141" s="1">
        <v>0.4886654211</v>
      </c>
      <c r="Q141" s="1">
        <f t="shared" si="0"/>
        <v>16</v>
      </c>
      <c r="R141" s="1">
        <f t="shared" si="1"/>
        <v>1322.1148547439821</v>
      </c>
      <c r="S141" s="1">
        <f t="shared" si="2"/>
        <v>47.966999049999998</v>
      </c>
      <c r="T141" s="1">
        <f t="shared" si="3"/>
        <v>3</v>
      </c>
      <c r="U141" s="1">
        <v>84.270036279999999</v>
      </c>
      <c r="V141" s="1">
        <f t="shared" si="4"/>
        <v>52</v>
      </c>
      <c r="W141" s="1">
        <f t="shared" si="5"/>
        <v>48</v>
      </c>
    </row>
    <row r="142" spans="1:23" ht="12.5">
      <c r="A142" s="1" t="s">
        <v>203</v>
      </c>
      <c r="B142" s="1">
        <v>1</v>
      </c>
      <c r="C142" s="1">
        <v>5057.6767579999996</v>
      </c>
      <c r="D142" s="1">
        <v>52.088996889999997</v>
      </c>
      <c r="E142" s="1">
        <v>75.261791590000001</v>
      </c>
      <c r="F142" s="1">
        <v>8.7006574749999999</v>
      </c>
      <c r="G142" s="1">
        <v>3.488080869</v>
      </c>
      <c r="H142" s="1">
        <v>12.549470060000001</v>
      </c>
      <c r="I142" s="1">
        <v>64.100216889999999</v>
      </c>
      <c r="J142" s="1">
        <v>6.5377757970000001</v>
      </c>
      <c r="K142" s="1">
        <v>3.3837098750000001</v>
      </c>
      <c r="L142" s="1">
        <v>25.978297439999999</v>
      </c>
      <c r="M142" s="1">
        <v>85.528109630000003</v>
      </c>
      <c r="N142" s="1">
        <v>10.69005698</v>
      </c>
      <c r="O142" s="1">
        <v>3.58408039</v>
      </c>
      <c r="P142" s="1">
        <v>0.19775300060000001</v>
      </c>
      <c r="Q142" s="1">
        <f t="shared" si="0"/>
        <v>16</v>
      </c>
      <c r="R142" s="1">
        <f t="shared" si="1"/>
        <v>2634.4930891808722</v>
      </c>
      <c r="S142" s="1">
        <f t="shared" si="2"/>
        <v>47.911003110000003</v>
      </c>
      <c r="T142" s="1">
        <f t="shared" si="3"/>
        <v>6</v>
      </c>
      <c r="U142" s="1">
        <v>75.261791590000001</v>
      </c>
      <c r="V142" s="1">
        <f t="shared" si="4"/>
        <v>52</v>
      </c>
      <c r="W142" s="1">
        <f t="shared" si="5"/>
        <v>48</v>
      </c>
    </row>
    <row r="143" spans="1:23" ht="12.5">
      <c r="A143" s="1" t="s">
        <v>232</v>
      </c>
      <c r="B143" s="1">
        <v>3</v>
      </c>
      <c r="C143" s="1">
        <v>17915.566409999999</v>
      </c>
      <c r="D143" s="1">
        <v>51.835998539999999</v>
      </c>
      <c r="E143" s="1">
        <v>94.006428270000001</v>
      </c>
      <c r="F143" s="1">
        <v>1.034150511</v>
      </c>
      <c r="G143" s="1">
        <v>3.2159118150000001</v>
      </c>
      <c r="H143" s="1">
        <v>1.7435094040000001</v>
      </c>
      <c r="I143" s="1">
        <v>90.119329800000003</v>
      </c>
      <c r="J143" s="1">
        <v>1.8491699989999999</v>
      </c>
      <c r="K143" s="1">
        <v>4.5834386909999996</v>
      </c>
      <c r="L143" s="1">
        <v>3.4480615079999999</v>
      </c>
      <c r="M143" s="1">
        <v>97.618169440000003</v>
      </c>
      <c r="N143" s="1">
        <v>0.27686600569999997</v>
      </c>
      <c r="O143" s="1">
        <v>1.94525887</v>
      </c>
      <c r="P143" s="1">
        <v>0.15970568490000001</v>
      </c>
      <c r="Q143" s="1">
        <f t="shared" si="0"/>
        <v>16</v>
      </c>
      <c r="R143" s="1">
        <f t="shared" si="1"/>
        <v>9286.7127427203286</v>
      </c>
      <c r="S143" s="1">
        <f t="shared" si="2"/>
        <v>48.164001460000001</v>
      </c>
      <c r="T143" s="1">
        <f t="shared" si="3"/>
        <v>18</v>
      </c>
      <c r="U143" s="1">
        <v>94.006428270000001</v>
      </c>
      <c r="V143" s="1">
        <f t="shared" si="4"/>
        <v>52</v>
      </c>
      <c r="W143" s="1">
        <f t="shared" si="5"/>
        <v>48</v>
      </c>
    </row>
    <row r="144" spans="1:23" ht="12.5">
      <c r="A144" s="1" t="s">
        <v>233</v>
      </c>
      <c r="B144" s="1">
        <v>2</v>
      </c>
      <c r="C144" s="1">
        <v>26378.275389999999</v>
      </c>
      <c r="D144" s="1">
        <v>51.70599747</v>
      </c>
      <c r="E144" s="1">
        <v>70.909070389999997</v>
      </c>
      <c r="F144" s="1">
        <v>8.9354217019999993</v>
      </c>
      <c r="G144" s="1">
        <v>14.192441609999999</v>
      </c>
      <c r="H144" s="1">
        <v>5.9630662929999998</v>
      </c>
      <c r="I144" s="1">
        <v>55.722446859999998</v>
      </c>
      <c r="J144" s="1">
        <v>13.343168289999999</v>
      </c>
      <c r="K144" s="1">
        <v>23.17527956</v>
      </c>
      <c r="L144" s="1">
        <v>7.7591052889999998</v>
      </c>
      <c r="M144" s="1">
        <v>85.093553290000003</v>
      </c>
      <c r="N144" s="1">
        <v>4.8185351560000003</v>
      </c>
      <c r="O144" s="1">
        <v>5.8023665600000003</v>
      </c>
      <c r="P144" s="1">
        <v>4.2855449940000003</v>
      </c>
      <c r="Q144" s="1">
        <f t="shared" si="0"/>
        <v>16</v>
      </c>
      <c r="R144" s="1">
        <f t="shared" si="1"/>
        <v>13639.150405783032</v>
      </c>
      <c r="S144" s="1">
        <f t="shared" si="2"/>
        <v>48.29400253</v>
      </c>
      <c r="T144" s="1">
        <f t="shared" si="3"/>
        <v>27</v>
      </c>
      <c r="U144" s="1">
        <v>70.909070389999997</v>
      </c>
      <c r="V144" s="1">
        <f t="shared" si="4"/>
        <v>52</v>
      </c>
      <c r="W144" s="1">
        <f t="shared" si="5"/>
        <v>48</v>
      </c>
    </row>
    <row r="145" spans="1:23" ht="12.5">
      <c r="A145" s="1" t="s">
        <v>234</v>
      </c>
      <c r="B145" s="1">
        <v>2</v>
      </c>
      <c r="C145" s="1">
        <v>206139.5938</v>
      </c>
      <c r="D145" s="1">
        <v>51.958000179999999</v>
      </c>
      <c r="E145" s="1">
        <v>77.609053380000006</v>
      </c>
      <c r="F145" s="1">
        <v>4.9793993429999999</v>
      </c>
      <c r="G145" s="1">
        <v>11.79691148</v>
      </c>
      <c r="H145" s="1">
        <v>5.6146357939999998</v>
      </c>
      <c r="I145" s="1">
        <v>61.658210029999999</v>
      </c>
      <c r="J145" s="1">
        <v>7.1289245829999999</v>
      </c>
      <c r="K145" s="1">
        <v>20.924875350000001</v>
      </c>
      <c r="L145" s="1">
        <v>10.28799004</v>
      </c>
      <c r="M145" s="1">
        <v>92.357705190000004</v>
      </c>
      <c r="N145" s="1">
        <v>2.9918806500000001</v>
      </c>
      <c r="O145" s="1">
        <v>3.356908786</v>
      </c>
      <c r="P145" s="1">
        <v>1.2935053700000001</v>
      </c>
      <c r="Q145" s="1">
        <f t="shared" si="0"/>
        <v>16</v>
      </c>
      <c r="R145" s="1">
        <f t="shared" si="1"/>
        <v>107106.01051765526</v>
      </c>
      <c r="S145" s="1">
        <f t="shared" si="2"/>
        <v>48.041999820000001</v>
      </c>
      <c r="T145" s="1">
        <f t="shared" si="3"/>
        <v>207</v>
      </c>
      <c r="U145" s="1">
        <v>77.609053380000006</v>
      </c>
      <c r="V145" s="1">
        <f t="shared" si="4"/>
        <v>52</v>
      </c>
      <c r="W145" s="1">
        <f t="shared" si="5"/>
        <v>48</v>
      </c>
    </row>
    <row r="146" spans="1:23" ht="12.5">
      <c r="A146" s="1" t="s">
        <v>235</v>
      </c>
      <c r="B146" s="1">
        <v>3</v>
      </c>
      <c r="C146" s="1">
        <v>69799.976559999996</v>
      </c>
      <c r="D146" s="1">
        <v>51.430000309999997</v>
      </c>
      <c r="E146" s="1">
        <v>100</v>
      </c>
      <c r="F146" s="1">
        <v>0</v>
      </c>
      <c r="G146" s="1">
        <v>0</v>
      </c>
      <c r="H146" s="1">
        <v>0</v>
      </c>
      <c r="I146" s="1">
        <v>100</v>
      </c>
      <c r="J146" s="1">
        <v>0</v>
      </c>
      <c r="K146" s="1">
        <v>0</v>
      </c>
      <c r="L146" s="1">
        <v>0</v>
      </c>
      <c r="M146" s="1">
        <v>100</v>
      </c>
      <c r="N146" s="1">
        <v>0</v>
      </c>
      <c r="O146" s="1">
        <v>0</v>
      </c>
      <c r="P146" s="1">
        <v>0</v>
      </c>
      <c r="Q146" s="1">
        <f t="shared" si="0"/>
        <v>16</v>
      </c>
      <c r="R146" s="1">
        <f t="shared" si="1"/>
        <v>35898.128161187924</v>
      </c>
      <c r="S146" s="1">
        <f t="shared" si="2"/>
        <v>48.569999690000003</v>
      </c>
      <c r="T146" s="1">
        <f t="shared" si="3"/>
        <v>70</v>
      </c>
      <c r="U146" s="1">
        <v>100</v>
      </c>
      <c r="V146" s="1">
        <f t="shared" si="4"/>
        <v>51</v>
      </c>
      <c r="W146" s="1">
        <f t="shared" si="5"/>
        <v>49</v>
      </c>
    </row>
    <row r="147" spans="1:23" ht="12.5">
      <c r="A147" s="1" t="s">
        <v>237</v>
      </c>
      <c r="B147" s="1">
        <v>2</v>
      </c>
      <c r="C147" s="1">
        <v>33469.199220000002</v>
      </c>
      <c r="D147" s="1">
        <v>50.415996550000003</v>
      </c>
      <c r="E147" s="1">
        <v>97.828784850000005</v>
      </c>
      <c r="F147" s="1">
        <v>0</v>
      </c>
      <c r="G147" s="1">
        <v>0.22384422000000001</v>
      </c>
      <c r="H147" s="1">
        <v>1.947370925</v>
      </c>
      <c r="I147" s="1">
        <v>96.072582359999998</v>
      </c>
      <c r="J147" s="1">
        <v>0</v>
      </c>
      <c r="K147" s="1">
        <v>0</v>
      </c>
      <c r="L147" s="1">
        <v>3.927417637</v>
      </c>
      <c r="M147" s="1">
        <v>99.556005560000003</v>
      </c>
      <c r="N147" s="1">
        <v>0</v>
      </c>
      <c r="O147" s="1">
        <v>0.44399444339999999</v>
      </c>
      <c r="P147" s="1">
        <v>0</v>
      </c>
      <c r="Q147" s="1">
        <f t="shared" si="0"/>
        <v>16</v>
      </c>
      <c r="R147" s="1">
        <f t="shared" si="1"/>
        <v>16873.830324067829</v>
      </c>
      <c r="S147" s="1">
        <f t="shared" si="2"/>
        <v>49.584003449999997</v>
      </c>
      <c r="T147" s="1">
        <f t="shared" si="3"/>
        <v>34</v>
      </c>
      <c r="U147" s="1">
        <v>97.828784850000005</v>
      </c>
      <c r="V147" s="1">
        <f t="shared" si="4"/>
        <v>50</v>
      </c>
      <c r="W147" s="1">
        <f t="shared" si="5"/>
        <v>50</v>
      </c>
    </row>
    <row r="148" spans="1:23" ht="12.5">
      <c r="A148" s="1" t="s">
        <v>80</v>
      </c>
      <c r="B148" s="1">
        <v>4</v>
      </c>
      <c r="C148" s="1">
        <v>30.23699951</v>
      </c>
      <c r="D148" s="1">
        <v>48.51499939</v>
      </c>
      <c r="E148" s="1">
        <v>99.864383559999993</v>
      </c>
      <c r="F148" s="1">
        <v>0</v>
      </c>
      <c r="G148" s="1">
        <v>0.13561643840000001</v>
      </c>
      <c r="H148" s="1">
        <v>0</v>
      </c>
      <c r="I148" s="1" t="s">
        <v>29</v>
      </c>
      <c r="J148" s="1" t="s">
        <v>29</v>
      </c>
      <c r="K148" s="1" t="s">
        <v>29</v>
      </c>
      <c r="L148" s="1" t="s">
        <v>29</v>
      </c>
      <c r="M148" s="1" t="s">
        <v>29</v>
      </c>
      <c r="N148" s="1" t="s">
        <v>29</v>
      </c>
      <c r="O148" s="1" t="s">
        <v>29</v>
      </c>
      <c r="P148" s="1" t="s">
        <v>29</v>
      </c>
      <c r="Q148" s="1">
        <f t="shared" si="0"/>
        <v>16</v>
      </c>
      <c r="R148" s="1">
        <f t="shared" si="1"/>
        <v>14.669480127830804</v>
      </c>
      <c r="S148" s="1">
        <f t="shared" si="2"/>
        <v>51.48500061</v>
      </c>
      <c r="T148" s="1">
        <f t="shared" si="3"/>
        <v>1</v>
      </c>
      <c r="U148" s="1">
        <v>99.864383559999993</v>
      </c>
      <c r="V148" s="1">
        <f t="shared" si="4"/>
        <v>49</v>
      </c>
      <c r="W148" s="1">
        <f t="shared" si="5"/>
        <v>51</v>
      </c>
    </row>
    <row r="149" spans="1:23" ht="12.5">
      <c r="A149" s="1" t="s">
        <v>192</v>
      </c>
      <c r="B149" s="1">
        <v>3</v>
      </c>
      <c r="C149" s="1">
        <v>3280.8149410000001</v>
      </c>
      <c r="D149" s="1">
        <v>49.020000459999999</v>
      </c>
      <c r="E149" s="1">
        <v>96.113897620000003</v>
      </c>
      <c r="F149" s="1">
        <v>3.8236639380000002</v>
      </c>
      <c r="G149" s="1">
        <v>6.2438437520000001E-2</v>
      </c>
      <c r="H149" s="1">
        <v>0</v>
      </c>
      <c r="I149" s="1">
        <v>97.333333330000002</v>
      </c>
      <c r="J149" s="1">
        <v>2.6666666669999999</v>
      </c>
      <c r="K149" s="1">
        <v>0</v>
      </c>
      <c r="L149" s="1">
        <v>0</v>
      </c>
      <c r="M149" s="1">
        <v>94.845704400000002</v>
      </c>
      <c r="N149" s="1">
        <v>5.0269222060000001</v>
      </c>
      <c r="O149" s="1">
        <v>0.12737339280000001</v>
      </c>
      <c r="P149" s="1">
        <v>0</v>
      </c>
      <c r="Q149" s="1">
        <f t="shared" si="0"/>
        <v>16</v>
      </c>
      <c r="R149" s="1">
        <f t="shared" si="1"/>
        <v>1608.2554991699487</v>
      </c>
      <c r="S149" s="1">
        <f t="shared" si="2"/>
        <v>50.979999540000001</v>
      </c>
      <c r="T149" s="1">
        <f t="shared" si="3"/>
        <v>4</v>
      </c>
      <c r="U149" s="1">
        <v>96.113897620000003</v>
      </c>
      <c r="V149" s="1">
        <f t="shared" si="4"/>
        <v>49</v>
      </c>
      <c r="W149" s="1">
        <f t="shared" si="5"/>
        <v>51</v>
      </c>
    </row>
    <row r="150" spans="1:23" ht="12.5">
      <c r="A150" s="1" t="s">
        <v>238</v>
      </c>
      <c r="B150" s="1">
        <v>2</v>
      </c>
      <c r="C150" s="1">
        <v>12123.19824</v>
      </c>
      <c r="D150" s="1">
        <v>48.414997100000001</v>
      </c>
      <c r="E150" s="1">
        <v>65.414122989999996</v>
      </c>
      <c r="F150" s="1">
        <v>9.317535586</v>
      </c>
      <c r="G150" s="1">
        <v>21.97254088</v>
      </c>
      <c r="H150" s="1">
        <v>3.2958005469999998</v>
      </c>
      <c r="I150" s="1">
        <v>58.052267989999997</v>
      </c>
      <c r="J150" s="1">
        <v>12.705205039999999</v>
      </c>
      <c r="K150" s="1">
        <v>23.977968329999999</v>
      </c>
      <c r="L150" s="1">
        <v>5.2645586340000001</v>
      </c>
      <c r="M150" s="1">
        <v>73.258000039999999</v>
      </c>
      <c r="N150" s="1">
        <v>5.7080563529999999</v>
      </c>
      <c r="O150" s="1">
        <v>19.835806810000001</v>
      </c>
      <c r="P150" s="1">
        <v>1.1981367940000001</v>
      </c>
      <c r="Q150" s="1">
        <f t="shared" si="0"/>
        <v>16</v>
      </c>
      <c r="R150" s="1">
        <f t="shared" si="1"/>
        <v>5869.446076323251</v>
      </c>
      <c r="S150" s="1">
        <f t="shared" si="2"/>
        <v>51.585002899999999</v>
      </c>
      <c r="T150" s="1">
        <f t="shared" si="3"/>
        <v>13</v>
      </c>
      <c r="U150" s="1">
        <v>65.414122989999996</v>
      </c>
      <c r="V150" s="1">
        <f t="shared" si="4"/>
        <v>48</v>
      </c>
      <c r="W150" s="1">
        <f t="shared" si="5"/>
        <v>52</v>
      </c>
    </row>
    <row r="151" spans="1:23" ht="12.5">
      <c r="A151" s="1" t="s">
        <v>243</v>
      </c>
      <c r="B151" s="1">
        <v>2</v>
      </c>
      <c r="C151" s="1">
        <v>16743.929690000001</v>
      </c>
      <c r="D151" s="1">
        <v>48.122001650000001</v>
      </c>
      <c r="E151" s="1">
        <v>84.905237790000001</v>
      </c>
      <c r="F151" s="1">
        <v>2.3872175090000001</v>
      </c>
      <c r="G151" s="1">
        <v>12.60781566</v>
      </c>
      <c r="H151" s="1">
        <v>9.9729040419999998E-2</v>
      </c>
      <c r="I151" s="1">
        <v>75.242928199999994</v>
      </c>
      <c r="J151" s="1">
        <v>4.052382433</v>
      </c>
      <c r="K151" s="1">
        <v>20.512451739999999</v>
      </c>
      <c r="L151" s="1">
        <v>0.1922376314</v>
      </c>
      <c r="M151" s="1">
        <v>95.321700939999999</v>
      </c>
      <c r="N151" s="1">
        <v>0.59208365669999996</v>
      </c>
      <c r="O151" s="1">
        <v>4.0862154019999997</v>
      </c>
      <c r="P151" s="1">
        <v>0</v>
      </c>
      <c r="Q151" s="1">
        <f t="shared" si="0"/>
        <v>16</v>
      </c>
      <c r="R151" s="1">
        <f t="shared" si="1"/>
        <v>8057.5141216966404</v>
      </c>
      <c r="S151" s="1">
        <f t="shared" si="2"/>
        <v>51.877998349999999</v>
      </c>
      <c r="T151" s="1">
        <f t="shared" si="3"/>
        <v>17</v>
      </c>
      <c r="U151" s="1">
        <v>84.905237790000001</v>
      </c>
      <c r="V151" s="1">
        <f t="shared" si="4"/>
        <v>48</v>
      </c>
      <c r="W151" s="1">
        <f t="shared" si="5"/>
        <v>52</v>
      </c>
    </row>
    <row r="152" spans="1:23" ht="12.5">
      <c r="A152" s="1" t="s">
        <v>245</v>
      </c>
      <c r="B152" s="1">
        <v>2</v>
      </c>
      <c r="C152" s="1">
        <v>109581.08590000001</v>
      </c>
      <c r="D152" s="1">
        <v>47.407997129999998</v>
      </c>
      <c r="E152" s="1">
        <v>94.109034559999998</v>
      </c>
      <c r="F152" s="1">
        <v>2.8564861370000001</v>
      </c>
      <c r="G152" s="1">
        <v>3.0344793069999998</v>
      </c>
      <c r="H152" s="1">
        <v>0</v>
      </c>
      <c r="I152" s="1">
        <v>91.06193322</v>
      </c>
      <c r="J152" s="1">
        <v>3.9595204279999998</v>
      </c>
      <c r="K152" s="1">
        <v>4.978546347</v>
      </c>
      <c r="L152" s="1">
        <v>0</v>
      </c>
      <c r="M152" s="1">
        <v>97.489332500000003</v>
      </c>
      <c r="N152" s="1">
        <v>1.632836465</v>
      </c>
      <c r="O152" s="1">
        <v>0.87783103600000001</v>
      </c>
      <c r="P152" s="1">
        <v>0</v>
      </c>
      <c r="Q152" s="1">
        <f t="shared" si="0"/>
        <v>16</v>
      </c>
      <c r="R152" s="1">
        <f t="shared" si="1"/>
        <v>51950.198058494832</v>
      </c>
      <c r="S152" s="1">
        <f t="shared" si="2"/>
        <v>52.592002870000002</v>
      </c>
      <c r="T152" s="1">
        <f t="shared" si="3"/>
        <v>110</v>
      </c>
      <c r="U152" s="1">
        <v>94.109034559999998</v>
      </c>
      <c r="V152" s="1">
        <f t="shared" si="4"/>
        <v>47</v>
      </c>
      <c r="W152" s="1">
        <f t="shared" si="5"/>
        <v>53</v>
      </c>
    </row>
    <row r="153" spans="1:23" ht="12.5">
      <c r="A153" s="1" t="s">
        <v>38</v>
      </c>
      <c r="B153" s="1">
        <v>0</v>
      </c>
      <c r="C153" s="1">
        <v>1.618000031</v>
      </c>
      <c r="D153" s="1">
        <v>46.202003480000002</v>
      </c>
      <c r="E153" s="1">
        <v>97.010876179999997</v>
      </c>
      <c r="F153" s="1">
        <v>0</v>
      </c>
      <c r="G153" s="1">
        <v>2.9891238219999998</v>
      </c>
      <c r="H153" s="1">
        <v>0</v>
      </c>
      <c r="I153" s="1" t="s">
        <v>29</v>
      </c>
      <c r="J153" s="1" t="s">
        <v>29</v>
      </c>
      <c r="K153" s="1" t="s">
        <v>29</v>
      </c>
      <c r="L153" s="1" t="s">
        <v>29</v>
      </c>
      <c r="M153" s="1" t="s">
        <v>29</v>
      </c>
      <c r="N153" s="1" t="s">
        <v>29</v>
      </c>
      <c r="O153" s="1" t="s">
        <v>29</v>
      </c>
      <c r="P153" s="1" t="s">
        <v>29</v>
      </c>
      <c r="Q153" s="1">
        <f t="shared" si="0"/>
        <v>16</v>
      </c>
      <c r="R153" s="1">
        <f t="shared" si="1"/>
        <v>0.7475484306290211</v>
      </c>
      <c r="S153" s="1">
        <f t="shared" si="2"/>
        <v>53.797996519999998</v>
      </c>
      <c r="T153" s="1">
        <f t="shared" si="3"/>
        <v>1</v>
      </c>
      <c r="U153" s="1">
        <v>97.010876179999997</v>
      </c>
      <c r="V153" s="1">
        <f t="shared" si="4"/>
        <v>46</v>
      </c>
      <c r="W153" s="1">
        <f t="shared" si="5"/>
        <v>54</v>
      </c>
    </row>
    <row r="154" spans="1:23" ht="12.5">
      <c r="A154" s="1" t="s">
        <v>115</v>
      </c>
      <c r="B154" s="1">
        <v>0</v>
      </c>
      <c r="C154" s="1">
        <v>272.81298829999997</v>
      </c>
      <c r="D154" s="1">
        <v>45.750999450000002</v>
      </c>
      <c r="E154" s="1">
        <v>96.371179710000007</v>
      </c>
      <c r="F154" s="1">
        <v>0</v>
      </c>
      <c r="G154" s="1">
        <v>3.6288202950000001</v>
      </c>
      <c r="H154" s="1" t="s">
        <v>29</v>
      </c>
      <c r="I154" s="1" t="s">
        <v>29</v>
      </c>
      <c r="J154" s="1" t="s">
        <v>29</v>
      </c>
      <c r="K154" s="1" t="s">
        <v>29</v>
      </c>
      <c r="L154" s="1" t="s">
        <v>29</v>
      </c>
      <c r="M154" s="1" t="s">
        <v>29</v>
      </c>
      <c r="N154" s="1" t="s">
        <v>29</v>
      </c>
      <c r="O154" s="1" t="s">
        <v>29</v>
      </c>
      <c r="P154" s="1" t="s">
        <v>29</v>
      </c>
      <c r="Q154" s="1">
        <f t="shared" si="0"/>
        <v>16</v>
      </c>
      <c r="R154" s="1">
        <f t="shared" si="1"/>
        <v>124.81466877666156</v>
      </c>
      <c r="S154" s="1">
        <f t="shared" si="2"/>
        <v>54.249000549999998</v>
      </c>
      <c r="T154" s="1">
        <f t="shared" si="3"/>
        <v>1</v>
      </c>
      <c r="U154" s="1">
        <v>96.371179710000007</v>
      </c>
      <c r="V154" s="1">
        <f t="shared" si="4"/>
        <v>46</v>
      </c>
      <c r="W154" s="1">
        <f t="shared" si="5"/>
        <v>54</v>
      </c>
    </row>
    <row r="155" spans="1:23" ht="12.5">
      <c r="A155" s="1" t="s">
        <v>130</v>
      </c>
      <c r="B155" s="1">
        <v>3</v>
      </c>
      <c r="C155" s="1">
        <v>397.62100220000002</v>
      </c>
      <c r="D155" s="1">
        <v>46.025001529999997</v>
      </c>
      <c r="E155" s="1">
        <v>98.401954630000006</v>
      </c>
      <c r="F155" s="1">
        <v>1.249110629</v>
      </c>
      <c r="G155" s="1">
        <v>0.3489347411</v>
      </c>
      <c r="H155" s="1">
        <v>0</v>
      </c>
      <c r="I155" s="1">
        <v>97.995207579999999</v>
      </c>
      <c r="J155" s="1">
        <v>1.358317682</v>
      </c>
      <c r="K155" s="1">
        <v>0.64647473929999999</v>
      </c>
      <c r="L155" s="1">
        <v>0</v>
      </c>
      <c r="M155" s="1">
        <v>98.878960000000006</v>
      </c>
      <c r="N155" s="1">
        <v>1.12104</v>
      </c>
      <c r="O155" s="1">
        <v>0</v>
      </c>
      <c r="P155" s="1">
        <v>0</v>
      </c>
      <c r="Q155" s="1">
        <f t="shared" si="0"/>
        <v>16</v>
      </c>
      <c r="R155" s="1">
        <f t="shared" si="1"/>
        <v>183.00507234615134</v>
      </c>
      <c r="S155" s="1">
        <f t="shared" si="2"/>
        <v>53.974998470000003</v>
      </c>
      <c r="T155" s="1">
        <f t="shared" si="3"/>
        <v>1</v>
      </c>
      <c r="U155" s="1">
        <v>98.401954630000006</v>
      </c>
      <c r="V155" s="1">
        <f t="shared" si="4"/>
        <v>46</v>
      </c>
      <c r="W155" s="1">
        <f t="shared" si="5"/>
        <v>54</v>
      </c>
    </row>
    <row r="156" spans="1:23" ht="12.5">
      <c r="A156" s="1" t="s">
        <v>242</v>
      </c>
      <c r="B156" s="1">
        <v>1</v>
      </c>
      <c r="C156" s="1">
        <v>15893.21875</v>
      </c>
      <c r="D156" s="1">
        <v>46.140998840000002</v>
      </c>
      <c r="E156" s="1">
        <v>56.476973389999998</v>
      </c>
      <c r="F156" s="1">
        <v>27.704199559999999</v>
      </c>
      <c r="G156" s="1">
        <v>13.41704303</v>
      </c>
      <c r="H156" s="1">
        <v>2.4017840210000001</v>
      </c>
      <c r="I156" s="1">
        <v>37.075862819999998</v>
      </c>
      <c r="J156" s="1">
        <v>36.643249580000003</v>
      </c>
      <c r="K156" s="1">
        <v>21.821495460000001</v>
      </c>
      <c r="L156" s="1">
        <v>4.4593921429999996</v>
      </c>
      <c r="M156" s="1">
        <v>79.123305740000006</v>
      </c>
      <c r="N156" s="1">
        <v>17.269915560000001</v>
      </c>
      <c r="O156" s="1">
        <v>3.6067787029999998</v>
      </c>
      <c r="P156" s="1">
        <v>0</v>
      </c>
      <c r="Q156" s="1">
        <f t="shared" si="0"/>
        <v>16</v>
      </c>
      <c r="R156" s="1">
        <f t="shared" si="1"/>
        <v>7333.2898790761628</v>
      </c>
      <c r="S156" s="1">
        <f t="shared" si="2"/>
        <v>53.859001159999998</v>
      </c>
      <c r="T156" s="1">
        <f t="shared" si="3"/>
        <v>16</v>
      </c>
      <c r="U156" s="1">
        <v>56.476973389999998</v>
      </c>
      <c r="V156" s="1">
        <f t="shared" si="4"/>
        <v>46</v>
      </c>
      <c r="W156" s="1">
        <f t="shared" si="5"/>
        <v>54</v>
      </c>
    </row>
    <row r="157" spans="1:23" ht="12.5">
      <c r="A157" s="1" t="s">
        <v>247</v>
      </c>
      <c r="B157" s="1">
        <v>2</v>
      </c>
      <c r="C157" s="1">
        <v>89561.40625</v>
      </c>
      <c r="D157" s="1">
        <v>45.638000490000003</v>
      </c>
      <c r="E157" s="1">
        <v>45.952126960000001</v>
      </c>
      <c r="F157" s="1">
        <v>13.44122447</v>
      </c>
      <c r="G157" s="1">
        <v>32.542316069999998</v>
      </c>
      <c r="H157" s="1">
        <v>8.0643324950000004</v>
      </c>
      <c r="I157" s="1">
        <v>21.98279234</v>
      </c>
      <c r="J157" s="1">
        <v>12.68294146</v>
      </c>
      <c r="K157" s="1">
        <v>51.215981669999998</v>
      </c>
      <c r="L157" s="1">
        <v>14.11828453</v>
      </c>
      <c r="M157" s="1">
        <v>74.503354779999995</v>
      </c>
      <c r="N157" s="1">
        <v>14.34445818</v>
      </c>
      <c r="O157" s="1">
        <v>10.29905862</v>
      </c>
      <c r="P157" s="1">
        <v>0.85312841309999998</v>
      </c>
      <c r="Q157" s="1">
        <f t="shared" si="0"/>
        <v>16</v>
      </c>
      <c r="R157" s="1">
        <f t="shared" si="1"/>
        <v>40874.035023225893</v>
      </c>
      <c r="S157" s="1">
        <f t="shared" si="2"/>
        <v>54.361999509999997</v>
      </c>
      <c r="T157" s="1">
        <f t="shared" si="3"/>
        <v>90</v>
      </c>
      <c r="U157" s="1">
        <v>45.952126960000001</v>
      </c>
      <c r="V157" s="1">
        <f t="shared" si="4"/>
        <v>46</v>
      </c>
      <c r="W157" s="1">
        <f t="shared" si="5"/>
        <v>54</v>
      </c>
    </row>
    <row r="158" spans="1:23" ht="12.5">
      <c r="A158" s="1" t="s">
        <v>248</v>
      </c>
      <c r="B158" s="1">
        <v>1</v>
      </c>
      <c r="C158" s="1">
        <v>18383.95508</v>
      </c>
      <c r="D158" s="1">
        <v>44.6289978</v>
      </c>
      <c r="E158" s="1">
        <v>65.412383570000003</v>
      </c>
      <c r="F158" s="1">
        <v>6.1539390200000001</v>
      </c>
      <c r="G158" s="1">
        <v>21.576840709999999</v>
      </c>
      <c r="H158" s="1">
        <v>6.8568367060000002</v>
      </c>
      <c r="I158" s="1">
        <v>48.22728833</v>
      </c>
      <c r="J158" s="1">
        <v>8.3317036130000002</v>
      </c>
      <c r="K158" s="1">
        <v>31.608654439999999</v>
      </c>
      <c r="L158" s="1">
        <v>11.832353619999999</v>
      </c>
      <c r="M158" s="1">
        <v>86.733854660000006</v>
      </c>
      <c r="N158" s="1">
        <v>3.4519961939999999</v>
      </c>
      <c r="O158" s="1">
        <v>9.1304141049999998</v>
      </c>
      <c r="P158" s="1">
        <v>0.68373504630000004</v>
      </c>
      <c r="Q158" s="1">
        <f t="shared" si="0"/>
        <v>16</v>
      </c>
      <c r="R158" s="1">
        <f t="shared" si="1"/>
        <v>8204.5749082061884</v>
      </c>
      <c r="S158" s="1">
        <f t="shared" si="2"/>
        <v>55.3710022</v>
      </c>
      <c r="T158" s="1">
        <f t="shared" si="3"/>
        <v>19</v>
      </c>
      <c r="U158" s="1">
        <v>65.412383570000003</v>
      </c>
      <c r="V158" s="1">
        <f t="shared" si="4"/>
        <v>45</v>
      </c>
      <c r="W158" s="1">
        <f t="shared" si="5"/>
        <v>55</v>
      </c>
    </row>
    <row r="159" spans="1:23" ht="12.5">
      <c r="A159" s="1" t="s">
        <v>169</v>
      </c>
      <c r="B159" s="1">
        <v>1</v>
      </c>
      <c r="C159" s="1">
        <v>1967.998047</v>
      </c>
      <c r="D159" s="1">
        <v>44.195999149999999</v>
      </c>
      <c r="E159" s="1">
        <v>59.016912210000001</v>
      </c>
      <c r="F159" s="1">
        <v>14.03457137</v>
      </c>
      <c r="G159" s="1">
        <v>26.6263769</v>
      </c>
      <c r="H159" s="1">
        <v>0.3221395192</v>
      </c>
      <c r="I159" s="1">
        <v>49.831905300000003</v>
      </c>
      <c r="J159" s="1">
        <v>9.2857730259999993</v>
      </c>
      <c r="K159" s="1">
        <v>40.316451290000003</v>
      </c>
      <c r="L159" s="1">
        <v>0.56587038450000005</v>
      </c>
      <c r="M159" s="1">
        <v>70.614347910000006</v>
      </c>
      <c r="N159" s="1">
        <v>20.03063358</v>
      </c>
      <c r="O159" s="1">
        <v>9.3406252839999997</v>
      </c>
      <c r="P159" s="1">
        <v>1.4393226929999999E-2</v>
      </c>
      <c r="Q159" s="1">
        <f t="shared" si="0"/>
        <v>16</v>
      </c>
      <c r="R159" s="1">
        <f t="shared" si="1"/>
        <v>869.77640012413656</v>
      </c>
      <c r="S159" s="1">
        <f t="shared" si="2"/>
        <v>55.804000850000001</v>
      </c>
      <c r="T159" s="1">
        <f t="shared" si="3"/>
        <v>2</v>
      </c>
      <c r="U159" s="1">
        <v>59.016912210000001</v>
      </c>
      <c r="V159" s="1">
        <f t="shared" si="4"/>
        <v>44</v>
      </c>
      <c r="W159" s="1">
        <f t="shared" si="5"/>
        <v>56</v>
      </c>
    </row>
    <row r="160" spans="1:23" ht="12.5">
      <c r="A160" s="1" t="s">
        <v>249</v>
      </c>
      <c r="B160" s="1">
        <v>1</v>
      </c>
      <c r="C160" s="1">
        <v>20250.833979999999</v>
      </c>
      <c r="D160" s="1">
        <v>43.909004209999999</v>
      </c>
      <c r="E160" s="1">
        <v>82.547291029999997</v>
      </c>
      <c r="F160" s="1">
        <v>3.8547345270000002</v>
      </c>
      <c r="G160" s="1">
        <v>12.246971350000001</v>
      </c>
      <c r="H160" s="1">
        <v>1.3510030900000001</v>
      </c>
      <c r="I160" s="1">
        <v>72.080895209999994</v>
      </c>
      <c r="J160" s="1">
        <v>3.7824122299999998</v>
      </c>
      <c r="K160" s="1">
        <v>21.72810084</v>
      </c>
      <c r="L160" s="1">
        <v>2.4085917170000002</v>
      </c>
      <c r="M160" s="1">
        <v>95.917454750000005</v>
      </c>
      <c r="N160" s="1">
        <v>3.947121723</v>
      </c>
      <c r="O160" s="1">
        <v>0.13542353139999999</v>
      </c>
      <c r="P160" s="1">
        <v>0</v>
      </c>
      <c r="Q160" s="1">
        <f t="shared" si="0"/>
        <v>16</v>
      </c>
      <c r="R160" s="1">
        <f t="shared" si="1"/>
        <v>8891.9395448383093</v>
      </c>
      <c r="S160" s="1">
        <f t="shared" si="2"/>
        <v>56.090995790000001</v>
      </c>
      <c r="T160" s="1">
        <f t="shared" si="3"/>
        <v>21</v>
      </c>
      <c r="U160" s="1">
        <v>82.547291029999997</v>
      </c>
      <c r="V160" s="1">
        <f t="shared" si="4"/>
        <v>44</v>
      </c>
      <c r="W160" s="1">
        <f t="shared" si="5"/>
        <v>56</v>
      </c>
    </row>
    <row r="161" spans="1:23" ht="12.5">
      <c r="A161" s="1" t="s">
        <v>194</v>
      </c>
      <c r="B161" s="1">
        <v>3</v>
      </c>
      <c r="C161" s="1">
        <v>4033.9628910000001</v>
      </c>
      <c r="D161" s="1">
        <v>42.849002839999997</v>
      </c>
      <c r="E161" s="1">
        <v>90.569962239999995</v>
      </c>
      <c r="F161" s="1">
        <v>1.519776762</v>
      </c>
      <c r="G161" s="1">
        <v>7.910260997</v>
      </c>
      <c r="H161" s="1">
        <v>0</v>
      </c>
      <c r="I161" s="1">
        <v>85.481038119999994</v>
      </c>
      <c r="J161" s="1">
        <v>1.52256302</v>
      </c>
      <c r="K161" s="1">
        <v>12.996398859999999</v>
      </c>
      <c r="L161" s="1">
        <v>0</v>
      </c>
      <c r="M161" s="1">
        <v>97.357444479999998</v>
      </c>
      <c r="N161" s="1">
        <v>1.516060408</v>
      </c>
      <c r="O161" s="1">
        <v>1.1264951110000001</v>
      </c>
      <c r="P161" s="1">
        <v>0</v>
      </c>
      <c r="Q161" s="1">
        <f t="shared" si="0"/>
        <v>16</v>
      </c>
      <c r="R161" s="1">
        <f t="shared" si="1"/>
        <v>1728.5128737291359</v>
      </c>
      <c r="S161" s="1">
        <f t="shared" si="2"/>
        <v>57.150997160000003</v>
      </c>
      <c r="T161" s="1">
        <f t="shared" si="3"/>
        <v>5</v>
      </c>
      <c r="U161" s="1">
        <v>90.569962239999995</v>
      </c>
      <c r="V161" s="1">
        <f t="shared" si="4"/>
        <v>43</v>
      </c>
      <c r="W161" s="1">
        <f t="shared" si="5"/>
        <v>57</v>
      </c>
    </row>
    <row r="162" spans="1:23" ht="12.5">
      <c r="A162" s="1" t="s">
        <v>218</v>
      </c>
      <c r="B162" s="1">
        <v>1</v>
      </c>
      <c r="C162" s="1">
        <v>7976.9848629999997</v>
      </c>
      <c r="D162" s="1">
        <v>42.923000340000002</v>
      </c>
      <c r="E162" s="1">
        <v>63.766285619999998</v>
      </c>
      <c r="F162" s="1">
        <v>9.0233163570000006</v>
      </c>
      <c r="G162" s="1">
        <v>15.5639457</v>
      </c>
      <c r="H162" s="1">
        <v>11.646452330000001</v>
      </c>
      <c r="I162" s="1">
        <v>52.752702669999998</v>
      </c>
      <c r="J162" s="1">
        <v>5.2211368890000003</v>
      </c>
      <c r="K162" s="1">
        <v>23.142949089999998</v>
      </c>
      <c r="L162" s="1">
        <v>18.88321135</v>
      </c>
      <c r="M162" s="1">
        <v>78.411637659999997</v>
      </c>
      <c r="N162" s="1">
        <v>14.079277429999999</v>
      </c>
      <c r="O162" s="1">
        <v>5.4857354369999998</v>
      </c>
      <c r="P162" s="1">
        <v>2.0233494749999998</v>
      </c>
      <c r="Q162" s="1">
        <f t="shared" si="0"/>
        <v>16</v>
      </c>
      <c r="R162" s="1">
        <f t="shared" si="1"/>
        <v>3423.9612398672384</v>
      </c>
      <c r="S162" s="1">
        <f t="shared" si="2"/>
        <v>57.076999659999998</v>
      </c>
      <c r="T162" s="1">
        <f t="shared" si="3"/>
        <v>8</v>
      </c>
      <c r="U162" s="1">
        <v>63.766285619999998</v>
      </c>
      <c r="V162" s="1">
        <f t="shared" si="4"/>
        <v>43</v>
      </c>
      <c r="W162" s="1">
        <f t="shared" si="5"/>
        <v>57</v>
      </c>
    </row>
    <row r="163" spans="1:23" ht="12.5">
      <c r="A163" s="1" t="s">
        <v>220</v>
      </c>
      <c r="B163" s="1">
        <v>1</v>
      </c>
      <c r="C163" s="1">
        <v>8278.7373050000006</v>
      </c>
      <c r="D163" s="1">
        <v>42.799999239999998</v>
      </c>
      <c r="E163" s="1">
        <v>68.58372009</v>
      </c>
      <c r="F163" s="1">
        <v>6.065434765</v>
      </c>
      <c r="G163" s="1">
        <v>14.16432245</v>
      </c>
      <c r="H163" s="1">
        <v>11.18652269</v>
      </c>
      <c r="I163" s="1">
        <v>52.117552750000002</v>
      </c>
      <c r="J163" s="1">
        <v>8.1875420190000003</v>
      </c>
      <c r="K163" s="1">
        <v>20.7910842</v>
      </c>
      <c r="L163" s="1">
        <v>18.90382103</v>
      </c>
      <c r="M163" s="1">
        <v>90.589910009999997</v>
      </c>
      <c r="N163" s="1">
        <v>3.2293480560000001</v>
      </c>
      <c r="O163" s="1">
        <v>5.3079905280000004</v>
      </c>
      <c r="P163" s="1">
        <v>0.87275140490000003</v>
      </c>
      <c r="Q163" s="1">
        <f t="shared" si="0"/>
        <v>16</v>
      </c>
      <c r="R163" s="1">
        <f t="shared" si="1"/>
        <v>3543.2995036215966</v>
      </c>
      <c r="S163" s="1">
        <f t="shared" si="2"/>
        <v>57.200000760000002</v>
      </c>
      <c r="T163" s="1">
        <f t="shared" si="3"/>
        <v>9</v>
      </c>
      <c r="U163" s="1">
        <v>68.58372009</v>
      </c>
      <c r="V163" s="1">
        <f t="shared" si="4"/>
        <v>43</v>
      </c>
      <c r="W163" s="1">
        <f t="shared" si="5"/>
        <v>57</v>
      </c>
    </row>
    <row r="164" spans="1:23" ht="12.5">
      <c r="A164" s="1" t="s">
        <v>251</v>
      </c>
      <c r="B164" s="1">
        <v>2</v>
      </c>
      <c r="C164" s="1">
        <v>102334.4063</v>
      </c>
      <c r="D164" s="1">
        <v>42.783000950000002</v>
      </c>
      <c r="E164" s="1">
        <v>99.440175960000005</v>
      </c>
      <c r="F164" s="1">
        <v>0.23760910860000001</v>
      </c>
      <c r="G164" s="1">
        <v>0.3222149265</v>
      </c>
      <c r="H164" s="1">
        <v>0</v>
      </c>
      <c r="I164" s="1">
        <v>99.332835149999994</v>
      </c>
      <c r="J164" s="1">
        <v>0.33594182239999998</v>
      </c>
      <c r="K164" s="1">
        <v>0.33122303190000002</v>
      </c>
      <c r="L164" s="1">
        <v>0</v>
      </c>
      <c r="M164" s="1">
        <v>99.583731099999994</v>
      </c>
      <c r="N164" s="1">
        <v>0.10610120670000001</v>
      </c>
      <c r="O164" s="1">
        <v>0.31016769430000002</v>
      </c>
      <c r="P164" s="1">
        <v>0</v>
      </c>
      <c r="Q164" s="1">
        <f t="shared" si="0"/>
        <v>16</v>
      </c>
      <c r="R164" s="1">
        <f t="shared" si="1"/>
        <v>43781.730019505863</v>
      </c>
      <c r="S164" s="1">
        <f t="shared" si="2"/>
        <v>57.216999049999998</v>
      </c>
      <c r="T164" s="1">
        <f t="shared" si="3"/>
        <v>103</v>
      </c>
      <c r="U164" s="1">
        <v>99.440175960000005</v>
      </c>
      <c r="V164" s="1">
        <f t="shared" si="4"/>
        <v>43</v>
      </c>
      <c r="W164" s="1">
        <f t="shared" si="5"/>
        <v>57</v>
      </c>
    </row>
    <row r="165" spans="1:23" ht="12.5">
      <c r="A165" s="1" t="s">
        <v>89</v>
      </c>
      <c r="B165" s="1">
        <v>4</v>
      </c>
      <c r="C165" s="1">
        <v>48.865001679999999</v>
      </c>
      <c r="D165" s="1">
        <v>42.397998809999997</v>
      </c>
      <c r="E165" s="1">
        <v>100</v>
      </c>
      <c r="F165" s="1">
        <v>0</v>
      </c>
      <c r="G165" s="1">
        <v>0</v>
      </c>
      <c r="H165" s="1">
        <v>0</v>
      </c>
      <c r="I165" s="1" t="s">
        <v>29</v>
      </c>
      <c r="J165" s="1" t="s">
        <v>29</v>
      </c>
      <c r="K165" s="1" t="s">
        <v>29</v>
      </c>
      <c r="L165" s="1" t="s">
        <v>29</v>
      </c>
      <c r="M165" s="1" t="s">
        <v>29</v>
      </c>
      <c r="N165" s="1" t="s">
        <v>29</v>
      </c>
      <c r="O165" s="1" t="s">
        <v>29</v>
      </c>
      <c r="P165" s="1" t="s">
        <v>29</v>
      </c>
      <c r="Q165" s="1">
        <f t="shared" si="0"/>
        <v>16</v>
      </c>
      <c r="R165" s="1">
        <f t="shared" si="1"/>
        <v>20.717782830792878</v>
      </c>
      <c r="S165" s="1">
        <f t="shared" si="2"/>
        <v>57.602001190000003</v>
      </c>
      <c r="T165" s="1">
        <f t="shared" si="3"/>
        <v>1</v>
      </c>
      <c r="U165" s="1">
        <v>100</v>
      </c>
      <c r="V165" s="1">
        <f t="shared" si="4"/>
        <v>42</v>
      </c>
      <c r="W165" s="1">
        <f t="shared" si="5"/>
        <v>58</v>
      </c>
    </row>
    <row r="166" spans="1:23" ht="12.5">
      <c r="A166" s="1" t="s">
        <v>148</v>
      </c>
      <c r="B166" s="1">
        <v>2</v>
      </c>
      <c r="C166" s="1">
        <v>771.61199950000002</v>
      </c>
      <c r="D166" s="1">
        <v>42.31599808</v>
      </c>
      <c r="E166" s="1">
        <v>97.313222629999999</v>
      </c>
      <c r="F166" s="1">
        <v>2.4607126070000001</v>
      </c>
      <c r="G166" s="1">
        <v>0.17642421829999999</v>
      </c>
      <c r="H166" s="1">
        <v>4.9640541420000003E-2</v>
      </c>
      <c r="I166" s="1">
        <v>96.731193649999994</v>
      </c>
      <c r="J166" s="1">
        <v>3.2688063509999998</v>
      </c>
      <c r="K166" s="1">
        <v>0</v>
      </c>
      <c r="L166" s="1">
        <v>0</v>
      </c>
      <c r="M166" s="1">
        <v>98.106628490000006</v>
      </c>
      <c r="N166" s="1">
        <v>1.3591415</v>
      </c>
      <c r="O166" s="1">
        <v>0.41692084750000002</v>
      </c>
      <c r="P166" s="1">
        <v>0.1173091586</v>
      </c>
      <c r="Q166" s="1">
        <f t="shared" si="0"/>
        <v>16</v>
      </c>
      <c r="R166" s="1">
        <f t="shared" si="1"/>
        <v>326.51531889346961</v>
      </c>
      <c r="S166" s="1">
        <f t="shared" si="2"/>
        <v>57.68400192</v>
      </c>
      <c r="T166" s="1">
        <f t="shared" si="3"/>
        <v>1</v>
      </c>
      <c r="U166" s="1">
        <v>97.313222629999999</v>
      </c>
      <c r="V166" s="1">
        <f t="shared" si="4"/>
        <v>42</v>
      </c>
      <c r="W166" s="1">
        <f t="shared" si="5"/>
        <v>58</v>
      </c>
    </row>
    <row r="167" spans="1:23" ht="12.5">
      <c r="A167" s="1" t="s">
        <v>200</v>
      </c>
      <c r="B167" s="1">
        <v>1</v>
      </c>
      <c r="C167" s="1">
        <v>4829.7641599999997</v>
      </c>
      <c r="D167" s="1">
        <v>42.197998050000002</v>
      </c>
      <c r="E167" s="1">
        <v>37.202402050000003</v>
      </c>
      <c r="F167" s="1">
        <v>25.682373479999999</v>
      </c>
      <c r="G167" s="1">
        <v>33.53911377</v>
      </c>
      <c r="H167" s="1">
        <v>3.5761107079999999</v>
      </c>
      <c r="I167" s="1">
        <v>28.106594149999999</v>
      </c>
      <c r="J167" s="1">
        <v>19.405889899999998</v>
      </c>
      <c r="K167" s="1">
        <v>46.373073009999999</v>
      </c>
      <c r="L167" s="1">
        <v>6.1144429440000003</v>
      </c>
      <c r="M167" s="1">
        <v>49.661664950000002</v>
      </c>
      <c r="N167" s="1">
        <v>34.279780090000003</v>
      </c>
      <c r="O167" s="1">
        <v>15.95940214</v>
      </c>
      <c r="P167" s="1">
        <v>9.915281712E-2</v>
      </c>
      <c r="Q167" s="1">
        <f t="shared" si="0"/>
        <v>16</v>
      </c>
      <c r="R167" s="1">
        <f t="shared" si="1"/>
        <v>2038.0637860563988</v>
      </c>
      <c r="S167" s="1">
        <f t="shared" si="2"/>
        <v>57.802001949999998</v>
      </c>
      <c r="T167" s="1">
        <f t="shared" si="3"/>
        <v>5</v>
      </c>
      <c r="U167" s="1">
        <v>37.202402050000003</v>
      </c>
      <c r="V167" s="1">
        <f t="shared" si="4"/>
        <v>42</v>
      </c>
      <c r="W167" s="1">
        <f t="shared" si="5"/>
        <v>58</v>
      </c>
    </row>
    <row r="168" spans="1:23" ht="12.5">
      <c r="A168" s="1" t="s">
        <v>135</v>
      </c>
      <c r="B168" s="1">
        <v>3</v>
      </c>
      <c r="C168" s="1">
        <v>540.54199219999998</v>
      </c>
      <c r="D168" s="1">
        <v>40.668998719999998</v>
      </c>
      <c r="E168" s="1">
        <v>99.544438600000007</v>
      </c>
      <c r="F168" s="1">
        <v>4.8050691299999997E-2</v>
      </c>
      <c r="G168" s="1">
        <v>0.40751070499999997</v>
      </c>
      <c r="H168" s="1">
        <v>0</v>
      </c>
      <c r="I168" s="1">
        <v>99.919012499999994</v>
      </c>
      <c r="J168" s="1">
        <v>8.0987500000000004E-2</v>
      </c>
      <c r="K168" s="1">
        <v>0</v>
      </c>
      <c r="L168" s="1">
        <v>0</v>
      </c>
      <c r="M168" s="1">
        <v>98.997988930000005</v>
      </c>
      <c r="N168" s="1">
        <v>0</v>
      </c>
      <c r="O168" s="1">
        <v>1.0020110689999999</v>
      </c>
      <c r="P168" s="1">
        <v>0</v>
      </c>
      <c r="Q168" s="1">
        <f t="shared" si="0"/>
        <v>16</v>
      </c>
      <c r="R168" s="1">
        <f t="shared" si="1"/>
        <v>219.83301588888048</v>
      </c>
      <c r="S168" s="1">
        <f t="shared" si="2"/>
        <v>59.331001280000002</v>
      </c>
      <c r="T168" s="1">
        <f t="shared" si="3"/>
        <v>1</v>
      </c>
      <c r="U168" s="1">
        <v>99.544438600000007</v>
      </c>
      <c r="V168" s="1">
        <f t="shared" si="4"/>
        <v>41</v>
      </c>
      <c r="W168" s="1">
        <f t="shared" si="5"/>
        <v>59</v>
      </c>
    </row>
    <row r="169" spans="1:23" ht="12.5">
      <c r="A169" s="1" t="s">
        <v>158</v>
      </c>
      <c r="B169" s="1">
        <v>3</v>
      </c>
      <c r="C169" s="1">
        <v>1271.7669679999999</v>
      </c>
      <c r="D169" s="1">
        <v>40.759998320000001</v>
      </c>
      <c r="E169" s="1">
        <v>99.866254699999999</v>
      </c>
      <c r="F169" s="1">
        <v>0</v>
      </c>
      <c r="G169" s="1">
        <v>0.13374530139999999</v>
      </c>
      <c r="H169" s="1">
        <v>0</v>
      </c>
      <c r="I169" s="1">
        <v>99.827682339999996</v>
      </c>
      <c r="J169" s="1">
        <v>0</v>
      </c>
      <c r="K169" s="1">
        <v>0.17231766179999999</v>
      </c>
      <c r="L169" s="1">
        <v>0</v>
      </c>
      <c r="M169" s="1">
        <v>99.922315220000002</v>
      </c>
      <c r="N169" s="1">
        <v>0</v>
      </c>
      <c r="O169" s="1">
        <v>7.7684781189999996E-2</v>
      </c>
      <c r="P169" s="1">
        <v>0</v>
      </c>
      <c r="Q169" s="1">
        <f t="shared" si="0"/>
        <v>16</v>
      </c>
      <c r="R169" s="1">
        <f t="shared" si="1"/>
        <v>518.37219479111491</v>
      </c>
      <c r="S169" s="1">
        <f t="shared" si="2"/>
        <v>59.240001679999999</v>
      </c>
      <c r="T169" s="1">
        <f t="shared" si="3"/>
        <v>2</v>
      </c>
      <c r="U169" s="1">
        <v>99.866254699999999</v>
      </c>
      <c r="V169" s="1">
        <f t="shared" si="4"/>
        <v>41</v>
      </c>
      <c r="W169" s="1">
        <f t="shared" si="5"/>
        <v>59</v>
      </c>
    </row>
    <row r="170" spans="1:23" ht="12.5">
      <c r="A170" s="1" t="s">
        <v>58</v>
      </c>
      <c r="B170" s="1">
        <v>0</v>
      </c>
      <c r="C170" s="1">
        <v>6.0710000989999999</v>
      </c>
      <c r="D170" s="1">
        <v>40.082000729999997</v>
      </c>
      <c r="E170" s="1">
        <v>99.1</v>
      </c>
      <c r="F170" s="1">
        <v>0</v>
      </c>
      <c r="G170" s="1">
        <v>0.9</v>
      </c>
      <c r="H170" s="1">
        <v>0</v>
      </c>
      <c r="I170" s="1" t="s">
        <v>29</v>
      </c>
      <c r="J170" s="1" t="s">
        <v>29</v>
      </c>
      <c r="K170" s="1" t="s">
        <v>29</v>
      </c>
      <c r="L170" s="1" t="s">
        <v>29</v>
      </c>
      <c r="M170" s="1" t="s">
        <v>29</v>
      </c>
      <c r="N170" s="1" t="s">
        <v>29</v>
      </c>
      <c r="O170" s="1" t="s">
        <v>29</v>
      </c>
      <c r="P170" s="1" t="s">
        <v>29</v>
      </c>
      <c r="Q170" s="1">
        <f t="shared" si="0"/>
        <v>16</v>
      </c>
      <c r="R170" s="1">
        <f t="shared" si="1"/>
        <v>2.4333783039994805</v>
      </c>
      <c r="S170" s="1">
        <f t="shared" si="2"/>
        <v>59.917999270000003</v>
      </c>
      <c r="T170" s="1">
        <f t="shared" si="3"/>
        <v>1</v>
      </c>
      <c r="U170" s="1">
        <v>99.1</v>
      </c>
      <c r="V170" s="1">
        <f t="shared" si="4"/>
        <v>40</v>
      </c>
      <c r="W170" s="1">
        <f t="shared" si="5"/>
        <v>60</v>
      </c>
    </row>
    <row r="171" spans="1:23" ht="12.5">
      <c r="A171" s="1" t="s">
        <v>257</v>
      </c>
      <c r="B171" s="1">
        <v>1</v>
      </c>
      <c r="C171" s="1">
        <v>27691.019530000001</v>
      </c>
      <c r="D171" s="1">
        <v>38.534000399999996</v>
      </c>
      <c r="E171" s="1">
        <v>53.385884910000001</v>
      </c>
      <c r="F171" s="1">
        <v>2.7179729799999999</v>
      </c>
      <c r="G171" s="1">
        <v>32.311459669999998</v>
      </c>
      <c r="H171" s="1">
        <v>11.58468244</v>
      </c>
      <c r="I171" s="1">
        <v>36.406420279999999</v>
      </c>
      <c r="J171" s="1">
        <v>1.601776163</v>
      </c>
      <c r="K171" s="1">
        <v>43.953893450000002</v>
      </c>
      <c r="L171" s="1">
        <v>18.037910109999999</v>
      </c>
      <c r="M171" s="1">
        <v>80.470006940000005</v>
      </c>
      <c r="N171" s="1">
        <v>4.4984302979999997</v>
      </c>
      <c r="O171" s="1">
        <v>13.74049434</v>
      </c>
      <c r="P171" s="1">
        <v>1.291068417</v>
      </c>
      <c r="Q171" s="1">
        <f t="shared" si="0"/>
        <v>16</v>
      </c>
      <c r="R171" s="1">
        <f t="shared" si="1"/>
        <v>10670.457576454277</v>
      </c>
      <c r="S171" s="1">
        <f t="shared" si="2"/>
        <v>61.465999600000004</v>
      </c>
      <c r="T171" s="1">
        <f t="shared" si="3"/>
        <v>28</v>
      </c>
      <c r="U171" s="1">
        <v>53.385884910000001</v>
      </c>
      <c r="V171" s="1">
        <f t="shared" si="4"/>
        <v>39</v>
      </c>
      <c r="W171" s="1">
        <f t="shared" si="5"/>
        <v>61</v>
      </c>
    </row>
    <row r="172" spans="1:23" ht="12.5">
      <c r="A172" s="1" t="s">
        <v>258</v>
      </c>
      <c r="B172" s="1">
        <v>1</v>
      </c>
      <c r="C172" s="1">
        <v>29825.96875</v>
      </c>
      <c r="D172" s="1">
        <v>37.907997129999998</v>
      </c>
      <c r="E172" s="1">
        <v>60.663569840000001</v>
      </c>
      <c r="F172" s="1">
        <v>28.9627418</v>
      </c>
      <c r="G172" s="1">
        <v>7.77785276</v>
      </c>
      <c r="H172" s="1">
        <v>2.595835594</v>
      </c>
      <c r="I172" s="1">
        <v>50.681334370000002</v>
      </c>
      <c r="J172" s="1">
        <v>33.53021373</v>
      </c>
      <c r="K172" s="1">
        <v>11.60782393</v>
      </c>
      <c r="L172" s="1">
        <v>4.1806279780000004</v>
      </c>
      <c r="M172" s="1">
        <v>77.014129339999997</v>
      </c>
      <c r="N172" s="1">
        <v>21.481379369999999</v>
      </c>
      <c r="O172" s="1">
        <v>1.5044912859999999</v>
      </c>
      <c r="P172" s="1">
        <v>0</v>
      </c>
      <c r="Q172" s="1">
        <f t="shared" si="0"/>
        <v>16</v>
      </c>
      <c r="R172" s="1">
        <f t="shared" si="1"/>
        <v>11306.427377744696</v>
      </c>
      <c r="S172" s="1">
        <f t="shared" si="2"/>
        <v>62.092002870000002</v>
      </c>
      <c r="T172" s="1">
        <f t="shared" si="3"/>
        <v>30</v>
      </c>
      <c r="U172" s="1">
        <v>60.663569840000001</v>
      </c>
      <c r="V172" s="1">
        <f t="shared" si="4"/>
        <v>38</v>
      </c>
      <c r="W172" s="1">
        <f t="shared" si="5"/>
        <v>62</v>
      </c>
    </row>
    <row r="173" spans="1:23" ht="12.5">
      <c r="A173" s="1" t="s">
        <v>260</v>
      </c>
      <c r="B173" s="1">
        <v>2</v>
      </c>
      <c r="C173" s="1">
        <v>164689.39060000001</v>
      </c>
      <c r="D173" s="1">
        <v>38.177001949999998</v>
      </c>
      <c r="E173" s="1">
        <v>97.697960249999994</v>
      </c>
      <c r="F173" s="1">
        <v>1.1564258780000001</v>
      </c>
      <c r="G173" s="1">
        <v>0.46265570020000002</v>
      </c>
      <c r="H173" s="1">
        <v>0.68295817349999999</v>
      </c>
      <c r="I173" s="1">
        <v>97.88023776</v>
      </c>
      <c r="J173" s="1">
        <v>0.85810498040000005</v>
      </c>
      <c r="K173" s="1">
        <v>0.31648024139999997</v>
      </c>
      <c r="L173" s="1">
        <v>0.94517701509999996</v>
      </c>
      <c r="M173" s="1">
        <v>97.402777970000002</v>
      </c>
      <c r="N173" s="1">
        <v>1.6395201210000001</v>
      </c>
      <c r="O173" s="1">
        <v>0.69937521469999997</v>
      </c>
      <c r="P173" s="1">
        <v>0.25832669339999997</v>
      </c>
      <c r="Q173" s="1">
        <f t="shared" si="0"/>
        <v>16</v>
      </c>
      <c r="R173" s="1">
        <f t="shared" si="1"/>
        <v>62873.471860805119</v>
      </c>
      <c r="S173" s="1">
        <f t="shared" si="2"/>
        <v>61.822998050000002</v>
      </c>
      <c r="T173" s="1">
        <f t="shared" si="3"/>
        <v>165</v>
      </c>
      <c r="U173" s="1">
        <v>97.697960249999994</v>
      </c>
      <c r="V173" s="1">
        <f t="shared" si="4"/>
        <v>38</v>
      </c>
      <c r="W173" s="1">
        <f t="shared" si="5"/>
        <v>62</v>
      </c>
    </row>
    <row r="174" spans="1:23" ht="12.5">
      <c r="A174" s="1" t="s">
        <v>211</v>
      </c>
      <c r="B174" s="1">
        <v>0</v>
      </c>
      <c r="C174" s="1">
        <v>6524.1909180000002</v>
      </c>
      <c r="D174" s="1">
        <v>36.855998990000003</v>
      </c>
      <c r="E174" s="1">
        <v>91.699305219999999</v>
      </c>
      <c r="F174" s="1">
        <v>1.900734111</v>
      </c>
      <c r="G174" s="1">
        <v>1.8656486999999999</v>
      </c>
      <c r="H174" s="1">
        <v>4.5343119649999997</v>
      </c>
      <c r="I174" s="1">
        <v>87.258429000000007</v>
      </c>
      <c r="J174" s="1">
        <v>2.606070485</v>
      </c>
      <c r="K174" s="1">
        <v>2.9545936840000002</v>
      </c>
      <c r="L174" s="1">
        <v>7.1809068319999998</v>
      </c>
      <c r="M174" s="1">
        <v>99.307692309999993</v>
      </c>
      <c r="N174" s="1">
        <v>0.6923076923</v>
      </c>
      <c r="O174" s="1">
        <v>0</v>
      </c>
      <c r="P174" s="1">
        <v>0</v>
      </c>
      <c r="Q174" s="1">
        <f t="shared" si="0"/>
        <v>16</v>
      </c>
      <c r="R174" s="1">
        <f t="shared" si="1"/>
        <v>2404.5557388437524</v>
      </c>
      <c r="S174" s="1">
        <f t="shared" si="2"/>
        <v>63.144001009999997</v>
      </c>
      <c r="T174" s="1">
        <f t="shared" si="3"/>
        <v>7</v>
      </c>
      <c r="U174" s="1">
        <v>91.699305219999999</v>
      </c>
      <c r="V174" s="1">
        <f t="shared" si="4"/>
        <v>37</v>
      </c>
      <c r="W174" s="1">
        <f t="shared" si="5"/>
        <v>63</v>
      </c>
    </row>
    <row r="175" spans="1:23" ht="12.5">
      <c r="A175" s="1" t="s">
        <v>240</v>
      </c>
      <c r="B175" s="1">
        <v>1</v>
      </c>
      <c r="C175" s="1">
        <v>13132.79199</v>
      </c>
      <c r="D175" s="1">
        <v>36.875</v>
      </c>
      <c r="E175" s="1">
        <v>63.961788740000003</v>
      </c>
      <c r="F175" s="1">
        <v>21.281591500000001</v>
      </c>
      <c r="G175" s="1">
        <v>6.2961194059999999</v>
      </c>
      <c r="H175" s="1">
        <v>8.4605003540000006</v>
      </c>
      <c r="I175" s="1">
        <v>50.74817899</v>
      </c>
      <c r="J175" s="1">
        <v>26.14432944</v>
      </c>
      <c r="K175" s="1">
        <v>9.7047191430000002</v>
      </c>
      <c r="L175" s="1">
        <v>13.402772430000001</v>
      </c>
      <c r="M175" s="1">
        <v>86.581690069999993</v>
      </c>
      <c r="N175" s="1">
        <v>12.957241529999999</v>
      </c>
      <c r="O175" s="1">
        <v>0.46106839799999999</v>
      </c>
      <c r="P175" s="1">
        <v>0</v>
      </c>
      <c r="Q175" s="1">
        <f t="shared" si="0"/>
        <v>16</v>
      </c>
      <c r="R175" s="1">
        <f t="shared" si="1"/>
        <v>4842.7170463125003</v>
      </c>
      <c r="S175" s="1">
        <f t="shared" si="2"/>
        <v>63.125</v>
      </c>
      <c r="T175" s="1">
        <f t="shared" si="3"/>
        <v>14</v>
      </c>
      <c r="U175" s="1">
        <v>63.961788740000003</v>
      </c>
      <c r="V175" s="1">
        <f t="shared" si="4"/>
        <v>37</v>
      </c>
      <c r="W175" s="1">
        <f t="shared" si="5"/>
        <v>63</v>
      </c>
    </row>
    <row r="176" spans="1:23" ht="12.5">
      <c r="A176" s="1" t="s">
        <v>261</v>
      </c>
      <c r="B176" s="1">
        <v>1</v>
      </c>
      <c r="C176" s="1">
        <v>31255.435549999998</v>
      </c>
      <c r="D176" s="1">
        <v>37.073997499999997</v>
      </c>
      <c r="E176" s="1">
        <v>63.369425630000002</v>
      </c>
      <c r="F176" s="1">
        <v>9.9757845070000002</v>
      </c>
      <c r="G176" s="1">
        <v>16.726145110000001</v>
      </c>
      <c r="H176" s="1">
        <v>9.9286447590000009</v>
      </c>
      <c r="I176" s="1">
        <v>48.8666865</v>
      </c>
      <c r="J176" s="1">
        <v>12.64088359</v>
      </c>
      <c r="K176" s="1">
        <v>23.686256400000001</v>
      </c>
      <c r="L176" s="1">
        <v>14.80617352</v>
      </c>
      <c r="M176" s="1">
        <v>87.98504792</v>
      </c>
      <c r="N176" s="1">
        <v>5.4522910270000002</v>
      </c>
      <c r="O176" s="1">
        <v>4.9126846439999996</v>
      </c>
      <c r="P176" s="1">
        <v>1.649976404</v>
      </c>
      <c r="Q176" s="1">
        <f t="shared" si="0"/>
        <v>16</v>
      </c>
      <c r="R176" s="1">
        <f t="shared" si="1"/>
        <v>11587.63939442111</v>
      </c>
      <c r="S176" s="1">
        <f t="shared" si="2"/>
        <v>62.926002500000003</v>
      </c>
      <c r="T176" s="1">
        <f t="shared" si="3"/>
        <v>32</v>
      </c>
      <c r="U176" s="1">
        <v>63.369425630000002</v>
      </c>
      <c r="V176" s="1">
        <f t="shared" si="4"/>
        <v>37</v>
      </c>
      <c r="W176" s="1">
        <f t="shared" si="5"/>
        <v>63</v>
      </c>
    </row>
    <row r="177" spans="1:23" ht="12.5">
      <c r="A177" s="1" t="s">
        <v>262</v>
      </c>
      <c r="B177" s="1">
        <v>2</v>
      </c>
      <c r="C177" s="1">
        <v>97338.585940000004</v>
      </c>
      <c r="D177" s="1">
        <v>37.340000150000002</v>
      </c>
      <c r="E177" s="1">
        <v>96.884356870000005</v>
      </c>
      <c r="F177" s="1">
        <v>0</v>
      </c>
      <c r="G177" s="1">
        <v>3.1156431260000002</v>
      </c>
      <c r="H177" s="1">
        <v>0</v>
      </c>
      <c r="I177" s="1">
        <v>95.514538439999995</v>
      </c>
      <c r="J177" s="1">
        <v>0</v>
      </c>
      <c r="K177" s="1">
        <v>4.4854615600000001</v>
      </c>
      <c r="L177" s="1">
        <v>0</v>
      </c>
      <c r="M177" s="1">
        <v>99.183040009999999</v>
      </c>
      <c r="N177" s="1">
        <v>0</v>
      </c>
      <c r="O177" s="1">
        <v>0.81695998700000005</v>
      </c>
      <c r="P177" s="1">
        <v>0</v>
      </c>
      <c r="Q177" s="1">
        <f t="shared" si="0"/>
        <v>16</v>
      </c>
      <c r="R177" s="1">
        <f t="shared" si="1"/>
        <v>36346.228136003883</v>
      </c>
      <c r="S177" s="1">
        <f t="shared" si="2"/>
        <v>62.659999849999998</v>
      </c>
      <c r="T177" s="1">
        <f t="shared" si="3"/>
        <v>98</v>
      </c>
      <c r="U177" s="1">
        <v>96.884356870000005</v>
      </c>
      <c r="V177" s="1">
        <f t="shared" si="4"/>
        <v>37</v>
      </c>
      <c r="W177" s="1">
        <f t="shared" si="5"/>
        <v>63</v>
      </c>
    </row>
    <row r="178" spans="1:23" ht="12.5">
      <c r="A178" s="1" t="s">
        <v>263</v>
      </c>
      <c r="B178" s="1">
        <v>2</v>
      </c>
      <c r="C178" s="1">
        <v>220892.32810000001</v>
      </c>
      <c r="D178" s="1">
        <v>37.165000919999997</v>
      </c>
      <c r="E178" s="1">
        <v>90.148965079999996</v>
      </c>
      <c r="F178" s="1">
        <v>3.8222795249999999</v>
      </c>
      <c r="G178" s="1">
        <v>4.4133075740000001</v>
      </c>
      <c r="H178" s="1">
        <v>1.61544782</v>
      </c>
      <c r="I178" s="1">
        <v>88.599860759999999</v>
      </c>
      <c r="J178" s="1">
        <v>3.852278117</v>
      </c>
      <c r="K178" s="1">
        <v>5.1745965089999997</v>
      </c>
      <c r="L178" s="1">
        <v>2.3732646169999998</v>
      </c>
      <c r="M178" s="1">
        <v>92.768049849999997</v>
      </c>
      <c r="N178" s="1">
        <v>3.7715611619999998</v>
      </c>
      <c r="O178" s="1">
        <v>3.126184571</v>
      </c>
      <c r="P178" s="1">
        <v>0.33420442230000003</v>
      </c>
      <c r="Q178" s="1">
        <f t="shared" si="0"/>
        <v>16</v>
      </c>
      <c r="R178" s="1">
        <f t="shared" si="1"/>
        <v>82094.635770574416</v>
      </c>
      <c r="S178" s="1">
        <f t="shared" si="2"/>
        <v>62.834999080000003</v>
      </c>
      <c r="T178" s="1">
        <f t="shared" si="3"/>
        <v>221</v>
      </c>
      <c r="U178" s="1">
        <v>90.148965079999996</v>
      </c>
      <c r="V178" s="1">
        <f t="shared" si="4"/>
        <v>37</v>
      </c>
      <c r="W178" s="1">
        <f t="shared" si="5"/>
        <v>63</v>
      </c>
    </row>
    <row r="179" spans="1:23" ht="12.5">
      <c r="A179" s="1" t="s">
        <v>216</v>
      </c>
      <c r="B179" s="1">
        <v>2</v>
      </c>
      <c r="C179" s="1">
        <v>7275.5561520000001</v>
      </c>
      <c r="D179" s="1">
        <v>36.290000919999997</v>
      </c>
      <c r="E179" s="1">
        <v>85.219743179999995</v>
      </c>
      <c r="F179" s="1">
        <v>3.566857739</v>
      </c>
      <c r="G179" s="1">
        <v>10.62886799</v>
      </c>
      <c r="H179" s="1">
        <v>0.58453109380000001</v>
      </c>
      <c r="I179" s="1">
        <v>78.472959419999995</v>
      </c>
      <c r="J179" s="1">
        <v>5.5985837859999998</v>
      </c>
      <c r="K179" s="1">
        <v>15.010969599999999</v>
      </c>
      <c r="L179" s="1">
        <v>0.91748719570000004</v>
      </c>
      <c r="M179" s="1">
        <v>97.064262220000003</v>
      </c>
      <c r="N179" s="1">
        <v>0</v>
      </c>
      <c r="O179" s="1">
        <v>2.935737778</v>
      </c>
      <c r="P179" s="1">
        <v>0</v>
      </c>
      <c r="Q179" s="1">
        <f t="shared" si="0"/>
        <v>16</v>
      </c>
      <c r="R179" s="1">
        <f t="shared" si="1"/>
        <v>2640.2993944959167</v>
      </c>
      <c r="S179" s="1">
        <f t="shared" si="2"/>
        <v>63.709999080000003</v>
      </c>
      <c r="T179" s="1">
        <f t="shared" si="3"/>
        <v>8</v>
      </c>
      <c r="U179" s="1">
        <v>85.219743179999995</v>
      </c>
      <c r="V179" s="1">
        <f t="shared" si="4"/>
        <v>36</v>
      </c>
      <c r="W179" s="1">
        <f t="shared" si="5"/>
        <v>64</v>
      </c>
    </row>
    <row r="180" spans="1:23" ht="12.5">
      <c r="A180" s="1" t="s">
        <v>264</v>
      </c>
      <c r="B180" s="1">
        <v>1</v>
      </c>
      <c r="C180" s="1">
        <v>43849.269529999998</v>
      </c>
      <c r="D180" s="1">
        <v>35.252998349999999</v>
      </c>
      <c r="E180" s="1">
        <v>60.448675600000001</v>
      </c>
      <c r="F180" s="1">
        <v>26.670019750000002</v>
      </c>
      <c r="G180" s="1">
        <v>3.6502178750000001</v>
      </c>
      <c r="H180" s="1">
        <v>9.2310867739999996</v>
      </c>
      <c r="I180" s="1">
        <v>53.19902707</v>
      </c>
      <c r="J180" s="1">
        <v>27.457644510000002</v>
      </c>
      <c r="K180" s="1">
        <v>5.6376600080000001</v>
      </c>
      <c r="L180" s="1">
        <v>13.70566842</v>
      </c>
      <c r="M180" s="1">
        <v>73.763659559999994</v>
      </c>
      <c r="N180" s="1">
        <v>25.223439859999999</v>
      </c>
      <c r="O180" s="1">
        <v>0</v>
      </c>
      <c r="P180" s="1">
        <v>1.012900581</v>
      </c>
      <c r="Q180" s="1">
        <f t="shared" si="0"/>
        <v>16</v>
      </c>
      <c r="R180" s="1">
        <f t="shared" si="1"/>
        <v>15458.18226389795</v>
      </c>
      <c r="S180" s="1">
        <f t="shared" si="2"/>
        <v>64.747001650000001</v>
      </c>
      <c r="T180" s="1">
        <f t="shared" si="3"/>
        <v>44</v>
      </c>
      <c r="U180" s="1">
        <v>60.448675600000001</v>
      </c>
      <c r="V180" s="1">
        <f t="shared" si="4"/>
        <v>35</v>
      </c>
      <c r="W180" s="1">
        <f t="shared" si="5"/>
        <v>65</v>
      </c>
    </row>
    <row r="181" spans="1:23" ht="12.5">
      <c r="A181" s="1" t="s">
        <v>265</v>
      </c>
      <c r="B181" s="1">
        <v>2</v>
      </c>
      <c r="C181" s="1">
        <v>59734.214840000001</v>
      </c>
      <c r="D181" s="1">
        <v>35.227001190000003</v>
      </c>
      <c r="E181" s="1">
        <v>60.716797589999999</v>
      </c>
      <c r="F181" s="1">
        <v>11.29007067</v>
      </c>
      <c r="G181" s="1">
        <v>14.51775136</v>
      </c>
      <c r="H181" s="1">
        <v>13.475380380000001</v>
      </c>
      <c r="I181" s="1">
        <v>45.446965339999998</v>
      </c>
      <c r="J181" s="1">
        <v>13.98368881</v>
      </c>
      <c r="K181" s="1">
        <v>21.21996133</v>
      </c>
      <c r="L181" s="1">
        <v>19.349384520000001</v>
      </c>
      <c r="M181" s="1">
        <v>88.793924899999993</v>
      </c>
      <c r="N181" s="1">
        <v>6.3372311659999996</v>
      </c>
      <c r="O181" s="1">
        <v>2.1941787860000002</v>
      </c>
      <c r="P181" s="1">
        <v>2.6746651520000002</v>
      </c>
      <c r="Q181" s="1">
        <f t="shared" si="0"/>
        <v>16</v>
      </c>
      <c r="R181" s="1">
        <f t="shared" si="1"/>
        <v>21042.572572523957</v>
      </c>
      <c r="S181" s="1">
        <f t="shared" si="2"/>
        <v>64.77299880999999</v>
      </c>
      <c r="T181" s="1">
        <f t="shared" si="3"/>
        <v>60</v>
      </c>
      <c r="U181" s="1">
        <v>60.716797589999999</v>
      </c>
      <c r="V181" s="1">
        <f t="shared" si="4"/>
        <v>35</v>
      </c>
      <c r="W181" s="1">
        <f t="shared" si="5"/>
        <v>65</v>
      </c>
    </row>
    <row r="182" spans="1:23" ht="12.5">
      <c r="A182" s="1" t="s">
        <v>266</v>
      </c>
      <c r="B182" s="1">
        <v>2</v>
      </c>
      <c r="C182" s="1">
        <v>1380004.375</v>
      </c>
      <c r="D182" s="1">
        <v>34.926002500000003</v>
      </c>
      <c r="E182" s="1">
        <v>90.489525029999996</v>
      </c>
      <c r="F182" s="1">
        <v>4.9836025619999997</v>
      </c>
      <c r="G182" s="1">
        <v>3.9631539450000002</v>
      </c>
      <c r="H182" s="1">
        <v>0.56371846260000003</v>
      </c>
      <c r="I182" s="1">
        <v>88.782503129999995</v>
      </c>
      <c r="J182" s="1">
        <v>5.9022100540000002</v>
      </c>
      <c r="K182" s="1">
        <v>4.5763757299999996</v>
      </c>
      <c r="L182" s="1">
        <v>0.73891108559999996</v>
      </c>
      <c r="M182" s="1">
        <v>93.670036300000007</v>
      </c>
      <c r="N182" s="1">
        <v>3.2720560270000001</v>
      </c>
      <c r="O182" s="1">
        <v>2.8206075230000001</v>
      </c>
      <c r="P182" s="1">
        <v>0.2373001538</v>
      </c>
      <c r="Q182" s="1">
        <f t="shared" si="0"/>
        <v>16</v>
      </c>
      <c r="R182" s="1">
        <f t="shared" si="1"/>
        <v>481980.3625126094</v>
      </c>
      <c r="S182" s="1">
        <f t="shared" si="2"/>
        <v>65.07399749999999</v>
      </c>
      <c r="T182" s="1">
        <f t="shared" si="3"/>
        <v>1381</v>
      </c>
      <c r="U182" s="1">
        <v>90.489525029999996</v>
      </c>
      <c r="V182" s="1">
        <f t="shared" si="4"/>
        <v>35</v>
      </c>
      <c r="W182" s="1">
        <f t="shared" si="5"/>
        <v>65</v>
      </c>
    </row>
    <row r="183" spans="1:23" ht="12.5">
      <c r="A183" s="1" t="s">
        <v>241</v>
      </c>
      <c r="B183" s="1">
        <v>2</v>
      </c>
      <c r="C183" s="1">
        <v>14862.92676</v>
      </c>
      <c r="D183" s="1">
        <v>32.242000580000003</v>
      </c>
      <c r="E183" s="1">
        <v>62.666457610000002</v>
      </c>
      <c r="F183" s="1">
        <v>14.1975397</v>
      </c>
      <c r="G183" s="1">
        <v>16.277855450000001</v>
      </c>
      <c r="H183" s="1">
        <v>6.8581472420000003</v>
      </c>
      <c r="I183" s="1">
        <v>48.282428850000002</v>
      </c>
      <c r="J183" s="1">
        <v>18.590984670000001</v>
      </c>
      <c r="K183" s="1">
        <v>23.013646550000001</v>
      </c>
      <c r="L183" s="1">
        <v>10.112939920000001</v>
      </c>
      <c r="M183" s="1">
        <v>92.89512895</v>
      </c>
      <c r="N183" s="1">
        <v>4.9645177570000003</v>
      </c>
      <c r="O183" s="1">
        <v>2.1222986740000001</v>
      </c>
      <c r="P183" s="1">
        <v>1.805461538E-2</v>
      </c>
      <c r="Q183" s="1">
        <f t="shared" si="0"/>
        <v>16</v>
      </c>
      <c r="R183" s="1">
        <f t="shared" si="1"/>
        <v>4792.1049321641758</v>
      </c>
      <c r="S183" s="1">
        <f t="shared" si="2"/>
        <v>67.757999420000004</v>
      </c>
      <c r="T183" s="1">
        <f t="shared" si="3"/>
        <v>15</v>
      </c>
      <c r="U183" s="1">
        <v>62.666457610000002</v>
      </c>
      <c r="V183" s="1">
        <f t="shared" si="4"/>
        <v>32</v>
      </c>
      <c r="W183" s="1">
        <f t="shared" si="5"/>
        <v>68</v>
      </c>
    </row>
    <row r="184" spans="1:23" ht="12.5">
      <c r="A184" s="1" t="s">
        <v>122</v>
      </c>
      <c r="B184" s="1">
        <v>4</v>
      </c>
      <c r="C184" s="1">
        <v>287.37100220000002</v>
      </c>
      <c r="D184" s="1">
        <v>31.190999980000001</v>
      </c>
      <c r="E184" s="1">
        <v>98.514450420000003</v>
      </c>
      <c r="F184" s="1">
        <v>0.26760057609999999</v>
      </c>
      <c r="G184" s="1">
        <v>1.2179490049999999</v>
      </c>
      <c r="H184" s="1">
        <v>0</v>
      </c>
      <c r="I184" s="1" t="s">
        <v>29</v>
      </c>
      <c r="J184" s="1" t="s">
        <v>29</v>
      </c>
      <c r="K184" s="1" t="s">
        <v>29</v>
      </c>
      <c r="L184" s="1" t="s">
        <v>29</v>
      </c>
      <c r="M184" s="1" t="s">
        <v>29</v>
      </c>
      <c r="N184" s="1" t="s">
        <v>29</v>
      </c>
      <c r="O184" s="1" t="s">
        <v>29</v>
      </c>
      <c r="P184" s="1" t="s">
        <v>29</v>
      </c>
      <c r="Q184" s="1">
        <f t="shared" si="0"/>
        <v>16</v>
      </c>
      <c r="R184" s="1">
        <f t="shared" si="1"/>
        <v>89.633889238727804</v>
      </c>
      <c r="S184" s="1">
        <f t="shared" si="2"/>
        <v>68.809000019999999</v>
      </c>
      <c r="T184" s="1">
        <f t="shared" si="3"/>
        <v>1</v>
      </c>
      <c r="U184" s="1">
        <v>98.514450420000003</v>
      </c>
      <c r="V184" s="1">
        <f t="shared" si="4"/>
        <v>31</v>
      </c>
      <c r="W184" s="1">
        <f t="shared" si="5"/>
        <v>69</v>
      </c>
    </row>
    <row r="185" spans="1:23" ht="12.5">
      <c r="A185" s="1" t="s">
        <v>160</v>
      </c>
      <c r="B185" s="1">
        <v>2</v>
      </c>
      <c r="C185" s="1">
        <v>1318.4420170000001</v>
      </c>
      <c r="D185" s="1">
        <v>31.31999969</v>
      </c>
      <c r="E185" s="1">
        <v>85.495601199999996</v>
      </c>
      <c r="F185" s="1">
        <v>1.88586597</v>
      </c>
      <c r="G185" s="1">
        <v>8.3600293969999999</v>
      </c>
      <c r="H185" s="1">
        <v>4.2585034329999996</v>
      </c>
      <c r="I185" s="1">
        <v>80.48779562</v>
      </c>
      <c r="J185" s="1">
        <v>2.0493646750000001</v>
      </c>
      <c r="K185" s="1">
        <v>11.26233968</v>
      </c>
      <c r="L185" s="1">
        <v>6.2005000179999996</v>
      </c>
      <c r="M185" s="1">
        <v>96.476957920000004</v>
      </c>
      <c r="N185" s="1">
        <v>1.527338152</v>
      </c>
      <c r="O185" s="1">
        <v>1.995703929</v>
      </c>
      <c r="P185" s="1">
        <v>0</v>
      </c>
      <c r="Q185" s="1">
        <f t="shared" si="0"/>
        <v>16</v>
      </c>
      <c r="R185" s="1">
        <f t="shared" si="1"/>
        <v>412.93603563722979</v>
      </c>
      <c r="S185" s="1">
        <f t="shared" si="2"/>
        <v>68.680000309999997</v>
      </c>
      <c r="T185" s="1">
        <f t="shared" si="3"/>
        <v>2</v>
      </c>
      <c r="U185" s="1">
        <v>85.495601199999996</v>
      </c>
      <c r="V185" s="1">
        <f t="shared" si="4"/>
        <v>31</v>
      </c>
      <c r="W185" s="1">
        <f t="shared" si="5"/>
        <v>69</v>
      </c>
    </row>
    <row r="186" spans="1:23" ht="12.5">
      <c r="A186" s="1" t="s">
        <v>252</v>
      </c>
      <c r="B186" s="1">
        <v>1</v>
      </c>
      <c r="C186" s="1">
        <v>20903.277340000001</v>
      </c>
      <c r="D186" s="1">
        <v>30.60700035</v>
      </c>
      <c r="E186" s="1">
        <v>47.214854459999998</v>
      </c>
      <c r="F186" s="1">
        <v>31.2730034</v>
      </c>
      <c r="G186" s="1">
        <v>21.15863263</v>
      </c>
      <c r="H186" s="1">
        <v>0.35350950240000001</v>
      </c>
      <c r="I186" s="1">
        <v>32.718258900000002</v>
      </c>
      <c r="J186" s="1">
        <v>38.626902540000003</v>
      </c>
      <c r="K186" s="1">
        <v>28.3404457</v>
      </c>
      <c r="L186" s="1">
        <v>0.31439286259999999</v>
      </c>
      <c r="M186" s="1">
        <v>80.081918540000004</v>
      </c>
      <c r="N186" s="1">
        <v>14.60004919</v>
      </c>
      <c r="O186" s="1">
        <v>4.8758364869999999</v>
      </c>
      <c r="P186" s="1">
        <v>0.44219578050000002</v>
      </c>
      <c r="Q186" s="1">
        <f t="shared" si="0"/>
        <v>16</v>
      </c>
      <c r="R186" s="1">
        <f t="shared" si="1"/>
        <v>6397.8661686152709</v>
      </c>
      <c r="S186" s="1">
        <f t="shared" si="2"/>
        <v>69.392999650000007</v>
      </c>
      <c r="T186" s="1">
        <f t="shared" si="3"/>
        <v>21</v>
      </c>
      <c r="U186" s="1">
        <v>47.214854459999998</v>
      </c>
      <c r="V186" s="1">
        <f t="shared" si="4"/>
        <v>31</v>
      </c>
      <c r="W186" s="1">
        <f t="shared" si="5"/>
        <v>69</v>
      </c>
    </row>
    <row r="187" spans="1:23" ht="12.5">
      <c r="A187" s="1" t="s">
        <v>267</v>
      </c>
      <c r="B187" s="1">
        <v>2</v>
      </c>
      <c r="C187" s="1">
        <v>54409.792970000002</v>
      </c>
      <c r="D187" s="1">
        <v>31.14100075</v>
      </c>
      <c r="E187" s="1">
        <v>83.718191910000002</v>
      </c>
      <c r="F187" s="1">
        <v>1.595436949</v>
      </c>
      <c r="G187" s="1">
        <v>5.1094247800000003</v>
      </c>
      <c r="H187" s="1">
        <v>9.5769463619999993</v>
      </c>
      <c r="I187" s="1">
        <v>78.422564690000002</v>
      </c>
      <c r="J187" s="1">
        <v>2.3169621419999999</v>
      </c>
      <c r="K187" s="1">
        <v>6.5923936940000001</v>
      </c>
      <c r="L187" s="1">
        <v>12.66807947</v>
      </c>
      <c r="M187" s="1">
        <v>95.427886060000006</v>
      </c>
      <c r="N187" s="1">
        <v>0</v>
      </c>
      <c r="O187" s="1">
        <v>1.8302830059999999</v>
      </c>
      <c r="P187" s="1">
        <v>2.741830931</v>
      </c>
      <c r="Q187" s="1">
        <f t="shared" si="0"/>
        <v>16</v>
      </c>
      <c r="R187" s="1">
        <f t="shared" si="1"/>
        <v>16943.754036861148</v>
      </c>
      <c r="S187" s="1">
        <f t="shared" si="2"/>
        <v>68.858999249999997</v>
      </c>
      <c r="T187" s="1">
        <f t="shared" si="3"/>
        <v>55</v>
      </c>
      <c r="U187" s="1">
        <v>83.718191910000002</v>
      </c>
      <c r="V187" s="1">
        <f t="shared" si="4"/>
        <v>31</v>
      </c>
      <c r="W187" s="1">
        <f t="shared" si="5"/>
        <v>69</v>
      </c>
    </row>
    <row r="188" spans="1:23" ht="12.5">
      <c r="A188" s="1" t="s">
        <v>176</v>
      </c>
      <c r="B188" s="1">
        <v>2</v>
      </c>
      <c r="C188" s="1">
        <v>2142.251953</v>
      </c>
      <c r="D188" s="1">
        <v>29.027999879999999</v>
      </c>
      <c r="E188" s="1">
        <v>72.176039270000004</v>
      </c>
      <c r="F188" s="1">
        <v>10.40592597</v>
      </c>
      <c r="G188" s="1">
        <v>12.21725464</v>
      </c>
      <c r="H188" s="1">
        <v>5.2007801159999998</v>
      </c>
      <c r="I188" s="1">
        <v>63.650354819999997</v>
      </c>
      <c r="J188" s="1">
        <v>13.55843013</v>
      </c>
      <c r="K188" s="1">
        <v>15.73132479</v>
      </c>
      <c r="L188" s="1">
        <v>7.0598902539999999</v>
      </c>
      <c r="M188" s="1">
        <v>93.020908550000001</v>
      </c>
      <c r="N188" s="1">
        <v>2.698211997</v>
      </c>
      <c r="O188" s="1">
        <v>3.625530038</v>
      </c>
      <c r="P188" s="1">
        <v>0.65534941999999996</v>
      </c>
      <c r="Q188" s="1">
        <f t="shared" si="0"/>
        <v>16</v>
      </c>
      <c r="R188" s="1">
        <f t="shared" si="1"/>
        <v>621.85289434613765</v>
      </c>
      <c r="S188" s="1">
        <f t="shared" si="2"/>
        <v>70.972000120000004</v>
      </c>
      <c r="T188" s="1">
        <f t="shared" si="3"/>
        <v>3</v>
      </c>
      <c r="U188" s="1">
        <v>72.176039270000004</v>
      </c>
      <c r="V188" s="1">
        <f t="shared" si="4"/>
        <v>29</v>
      </c>
      <c r="W188" s="1">
        <f t="shared" si="5"/>
        <v>71</v>
      </c>
    </row>
    <row r="189" spans="1:23" ht="12.5">
      <c r="A189" s="1" t="s">
        <v>227</v>
      </c>
      <c r="B189" s="1">
        <v>2</v>
      </c>
      <c r="C189" s="1">
        <v>9537.6416019999997</v>
      </c>
      <c r="D189" s="1">
        <v>27.505998609999999</v>
      </c>
      <c r="E189" s="1">
        <v>81.852415019999995</v>
      </c>
      <c r="F189" s="1">
        <v>2.5683639349999998</v>
      </c>
      <c r="G189" s="1">
        <v>3.4218570050000001</v>
      </c>
      <c r="H189" s="1">
        <v>12.157364039999999</v>
      </c>
      <c r="I189" s="1">
        <v>76.643599199999997</v>
      </c>
      <c r="J189" s="1">
        <v>3.2071439279999998</v>
      </c>
      <c r="K189" s="1">
        <v>4.1407069480000001</v>
      </c>
      <c r="L189" s="1">
        <v>16.00854992</v>
      </c>
      <c r="M189" s="1">
        <v>95.580623860000003</v>
      </c>
      <c r="N189" s="1">
        <v>0.88481447629999999</v>
      </c>
      <c r="O189" s="1">
        <v>1.5272683229999999</v>
      </c>
      <c r="P189" s="1">
        <v>2.0072933389999998</v>
      </c>
      <c r="Q189" s="1">
        <f t="shared" si="0"/>
        <v>16</v>
      </c>
      <c r="R189" s="1">
        <f t="shared" si="1"/>
        <v>2623.4235664729017</v>
      </c>
      <c r="S189" s="1">
        <f t="shared" si="2"/>
        <v>72.494001389999994</v>
      </c>
      <c r="T189" s="1">
        <f t="shared" si="3"/>
        <v>10</v>
      </c>
      <c r="U189" s="1">
        <v>81.852415019999995</v>
      </c>
      <c r="V189" s="1">
        <f t="shared" si="4"/>
        <v>28</v>
      </c>
      <c r="W189" s="1">
        <f t="shared" si="5"/>
        <v>72</v>
      </c>
    </row>
    <row r="190" spans="1:23" ht="12.5">
      <c r="A190" s="1" t="s">
        <v>269</v>
      </c>
      <c r="B190" s="1">
        <v>2</v>
      </c>
      <c r="C190" s="1">
        <v>53771.300779999998</v>
      </c>
      <c r="D190" s="1">
        <v>27.994998930000001</v>
      </c>
      <c r="E190" s="1">
        <v>61.632891579999999</v>
      </c>
      <c r="F190" s="1">
        <v>9.54187005</v>
      </c>
      <c r="G190" s="1">
        <v>9.7800875240000007</v>
      </c>
      <c r="H190" s="1">
        <v>19.045150840000002</v>
      </c>
      <c r="I190" s="1">
        <v>51.779978929999999</v>
      </c>
      <c r="J190" s="1">
        <v>11.569004189999999</v>
      </c>
      <c r="K190" s="1">
        <v>12.519113219999999</v>
      </c>
      <c r="L190" s="1">
        <v>24.131903659999999</v>
      </c>
      <c r="M190" s="1">
        <v>86.975231449999995</v>
      </c>
      <c r="N190" s="1">
        <v>4.327944725</v>
      </c>
      <c r="O190" s="1">
        <v>2.7351426299999999</v>
      </c>
      <c r="P190" s="1">
        <v>5.9616811930000004</v>
      </c>
      <c r="Q190" s="1">
        <f t="shared" si="0"/>
        <v>16</v>
      </c>
      <c r="R190" s="1">
        <f t="shared" si="1"/>
        <v>15053.275078008082</v>
      </c>
      <c r="S190" s="1">
        <f t="shared" si="2"/>
        <v>72.005001069999992</v>
      </c>
      <c r="T190" s="1">
        <f t="shared" si="3"/>
        <v>54</v>
      </c>
      <c r="U190" s="1">
        <v>61.632891579999999</v>
      </c>
      <c r="V190" s="1">
        <f t="shared" si="4"/>
        <v>28</v>
      </c>
      <c r="W190" s="1">
        <f t="shared" si="5"/>
        <v>72</v>
      </c>
    </row>
    <row r="191" spans="1:23" ht="12.5">
      <c r="A191" s="1" t="s">
        <v>149</v>
      </c>
      <c r="B191" s="1">
        <v>3</v>
      </c>
      <c r="C191" s="1">
        <v>786.55902100000003</v>
      </c>
      <c r="D191" s="1">
        <v>26.7859993</v>
      </c>
      <c r="E191" s="1">
        <v>95.554806850000006</v>
      </c>
      <c r="F191" s="1">
        <v>1.205244408</v>
      </c>
      <c r="G191" s="1">
        <v>1.143069849</v>
      </c>
      <c r="H191" s="1">
        <v>2.0968788969999999</v>
      </c>
      <c r="I191" s="1">
        <v>93.928490499999995</v>
      </c>
      <c r="J191" s="1">
        <v>1.6461938620000001</v>
      </c>
      <c r="K191" s="1">
        <v>1.5612748329999999</v>
      </c>
      <c r="L191" s="1">
        <v>2.864040809</v>
      </c>
      <c r="M191" s="1">
        <v>100</v>
      </c>
      <c r="N191" s="1">
        <v>0</v>
      </c>
      <c r="O191" s="1">
        <v>0</v>
      </c>
      <c r="P191" s="1">
        <v>0</v>
      </c>
      <c r="Q191" s="1">
        <f t="shared" si="0"/>
        <v>16</v>
      </c>
      <c r="R191" s="1">
        <f t="shared" si="1"/>
        <v>210.68769385914686</v>
      </c>
      <c r="S191" s="1">
        <f t="shared" si="2"/>
        <v>73.2140007</v>
      </c>
      <c r="T191" s="1">
        <f t="shared" si="3"/>
        <v>1</v>
      </c>
      <c r="U191" s="1">
        <v>95.554806850000006</v>
      </c>
      <c r="V191" s="1">
        <f t="shared" si="4"/>
        <v>27</v>
      </c>
      <c r="W191" s="1">
        <f t="shared" si="5"/>
        <v>73</v>
      </c>
    </row>
    <row r="192" spans="1:23" ht="12.5">
      <c r="A192" s="1" t="s">
        <v>125</v>
      </c>
      <c r="B192" s="1">
        <v>2</v>
      </c>
      <c r="C192" s="1">
        <v>307.14999390000003</v>
      </c>
      <c r="D192" s="1">
        <v>25.525001530000001</v>
      </c>
      <c r="E192" s="1">
        <v>91.231190749999996</v>
      </c>
      <c r="F192" s="1">
        <v>1.0623850500000001</v>
      </c>
      <c r="G192" s="1">
        <v>0</v>
      </c>
      <c r="H192" s="1">
        <v>7.706424202</v>
      </c>
      <c r="I192" s="1">
        <v>88.397201229999993</v>
      </c>
      <c r="J192" s="1">
        <v>1.255132675</v>
      </c>
      <c r="K192" s="1">
        <v>0</v>
      </c>
      <c r="L192" s="1">
        <v>10.3476661</v>
      </c>
      <c r="M192" s="1">
        <v>99.5</v>
      </c>
      <c r="N192" s="1">
        <v>0.5</v>
      </c>
      <c r="O192" s="1">
        <v>0</v>
      </c>
      <c r="P192" s="1">
        <v>0</v>
      </c>
      <c r="Q192" s="1">
        <f t="shared" si="0"/>
        <v>16</v>
      </c>
      <c r="R192" s="1">
        <f t="shared" si="1"/>
        <v>78.400040642369916</v>
      </c>
      <c r="S192" s="1">
        <f t="shared" si="2"/>
        <v>74.474998470000003</v>
      </c>
      <c r="T192" s="1">
        <f t="shared" si="3"/>
        <v>1</v>
      </c>
      <c r="U192" s="1">
        <v>91.231190749999996</v>
      </c>
      <c r="V192" s="1">
        <f t="shared" si="4"/>
        <v>26</v>
      </c>
      <c r="W192" s="1">
        <f t="shared" si="5"/>
        <v>74</v>
      </c>
    </row>
    <row r="193" spans="1:23" ht="12.5">
      <c r="A193" s="1" t="s">
        <v>268</v>
      </c>
      <c r="B193" s="1">
        <v>1</v>
      </c>
      <c r="C193" s="1">
        <v>38928.339840000001</v>
      </c>
      <c r="D193" s="1">
        <v>26.025999070000001</v>
      </c>
      <c r="E193" s="1">
        <v>75.091413250000002</v>
      </c>
      <c r="F193" s="1">
        <v>1.447541688</v>
      </c>
      <c r="G193" s="1">
        <v>14.56026288</v>
      </c>
      <c r="H193" s="1">
        <v>8.9007821739999997</v>
      </c>
      <c r="I193" s="1">
        <v>66.32791521</v>
      </c>
      <c r="J193" s="1">
        <v>1.9568248509999999</v>
      </c>
      <c r="K193" s="1">
        <v>19.68294895</v>
      </c>
      <c r="L193" s="1">
        <v>12.03231098</v>
      </c>
      <c r="M193" s="1">
        <v>100</v>
      </c>
      <c r="N193" s="1">
        <v>0</v>
      </c>
      <c r="O193" s="1">
        <v>0</v>
      </c>
      <c r="P193" s="1">
        <v>0</v>
      </c>
      <c r="Q193" s="1">
        <f t="shared" si="0"/>
        <v>16</v>
      </c>
      <c r="R193" s="1">
        <f t="shared" si="1"/>
        <v>10131.489364724839</v>
      </c>
      <c r="S193" s="1">
        <f t="shared" si="2"/>
        <v>73.974000930000003</v>
      </c>
      <c r="T193" s="1">
        <f t="shared" si="3"/>
        <v>39</v>
      </c>
      <c r="U193" s="1">
        <v>75.091413250000002</v>
      </c>
      <c r="V193" s="1">
        <f t="shared" si="4"/>
        <v>26</v>
      </c>
      <c r="W193" s="1">
        <f t="shared" si="5"/>
        <v>74</v>
      </c>
    </row>
    <row r="194" spans="1:23" ht="12.5">
      <c r="A194" s="1" t="s">
        <v>146</v>
      </c>
      <c r="B194" s="1">
        <v>2</v>
      </c>
      <c r="C194" s="1">
        <v>686.87799070000005</v>
      </c>
      <c r="D194" s="1">
        <v>24.670000080000001</v>
      </c>
      <c r="E194" s="1">
        <v>67.301025539999998</v>
      </c>
      <c r="F194" s="1">
        <v>5.79547831</v>
      </c>
      <c r="G194" s="1">
        <v>21.267843129999999</v>
      </c>
      <c r="H194" s="1">
        <v>5.6356530249999999</v>
      </c>
      <c r="I194" s="1">
        <v>59.40526749</v>
      </c>
      <c r="J194" s="1">
        <v>6.5285236490000003</v>
      </c>
      <c r="K194" s="1">
        <v>26.955911</v>
      </c>
      <c r="L194" s="1">
        <v>7.1102978569999999</v>
      </c>
      <c r="M194" s="1">
        <v>91.410776889999994</v>
      </c>
      <c r="N194" s="1">
        <v>3.5571204249999999</v>
      </c>
      <c r="O194" s="1">
        <v>3.8992861369999998</v>
      </c>
      <c r="P194" s="1">
        <v>1.1328165530000001</v>
      </c>
      <c r="Q194" s="1">
        <f t="shared" si="0"/>
        <v>16</v>
      </c>
      <c r="R194" s="1">
        <f t="shared" si="1"/>
        <v>169.45280085519241</v>
      </c>
      <c r="S194" s="1">
        <f t="shared" si="2"/>
        <v>75.329999920000006</v>
      </c>
      <c r="T194" s="1">
        <f t="shared" si="3"/>
        <v>1</v>
      </c>
      <c r="U194" s="1">
        <v>67.301025539999998</v>
      </c>
      <c r="V194" s="1">
        <f t="shared" si="4"/>
        <v>25</v>
      </c>
      <c r="W194" s="1">
        <f t="shared" si="5"/>
        <v>75</v>
      </c>
    </row>
    <row r="195" spans="1:23" ht="12.5">
      <c r="A195" s="1" t="s">
        <v>270</v>
      </c>
      <c r="B195" s="1">
        <v>1</v>
      </c>
      <c r="C195" s="1">
        <v>45741</v>
      </c>
      <c r="D195" s="1">
        <v>24.95400047</v>
      </c>
      <c r="E195" s="1">
        <v>55.855049209999997</v>
      </c>
      <c r="F195" s="1">
        <v>27.282859999999999</v>
      </c>
      <c r="G195" s="1">
        <v>12.16590654</v>
      </c>
      <c r="H195" s="1">
        <v>4.6961842520000001</v>
      </c>
      <c r="I195" s="1">
        <v>48.231189579999999</v>
      </c>
      <c r="J195" s="1">
        <v>31.784694259999998</v>
      </c>
      <c r="K195" s="1">
        <v>14.076160610000001</v>
      </c>
      <c r="L195" s="1">
        <v>5.9079555460000002</v>
      </c>
      <c r="M195" s="1">
        <v>78.782851800000003</v>
      </c>
      <c r="N195" s="1">
        <v>13.74416783</v>
      </c>
      <c r="O195" s="1">
        <v>6.4210441329999997</v>
      </c>
      <c r="P195" s="1">
        <v>1.0519362379999999</v>
      </c>
      <c r="Q195" s="1">
        <f t="shared" si="0"/>
        <v>16</v>
      </c>
      <c r="R195" s="1">
        <f t="shared" si="1"/>
        <v>11414.2093549827</v>
      </c>
      <c r="S195" s="1">
        <f t="shared" si="2"/>
        <v>75.045999530000003</v>
      </c>
      <c r="T195" s="1">
        <f t="shared" si="3"/>
        <v>46</v>
      </c>
      <c r="U195" s="1">
        <v>55.855049209999997</v>
      </c>
      <c r="V195" s="1">
        <f t="shared" si="4"/>
        <v>25</v>
      </c>
      <c r="W195" s="1">
        <f t="shared" si="5"/>
        <v>75</v>
      </c>
    </row>
    <row r="196" spans="1:23" ht="12.5">
      <c r="A196" s="1" t="s">
        <v>154</v>
      </c>
      <c r="B196" s="1">
        <v>2</v>
      </c>
      <c r="C196" s="1">
        <v>1160.1639399999999</v>
      </c>
      <c r="D196" s="1">
        <v>24.17100143</v>
      </c>
      <c r="E196" s="1">
        <v>70.753070949999994</v>
      </c>
      <c r="F196" s="1">
        <v>9.5070671630000003</v>
      </c>
      <c r="G196" s="1">
        <v>9.8355679309999999</v>
      </c>
      <c r="H196" s="1">
        <v>9.9042939590000003</v>
      </c>
      <c r="I196" s="1">
        <v>62.466448739999997</v>
      </c>
      <c r="J196" s="1">
        <v>12.29969513</v>
      </c>
      <c r="K196" s="1">
        <v>12.45046093</v>
      </c>
      <c r="L196" s="1">
        <v>12.78339519</v>
      </c>
      <c r="M196" s="1">
        <v>96.749763049999999</v>
      </c>
      <c r="N196" s="1">
        <v>0.74606447310000001</v>
      </c>
      <c r="O196" s="1">
        <v>1.6321642439999999</v>
      </c>
      <c r="P196" s="1">
        <v>0.8720082294</v>
      </c>
      <c r="Q196" s="1">
        <f t="shared" si="0"/>
        <v>16</v>
      </c>
      <c r="R196" s="1">
        <f t="shared" si="1"/>
        <v>280.42324252774432</v>
      </c>
      <c r="S196" s="1">
        <f t="shared" si="2"/>
        <v>75.828998569999996</v>
      </c>
      <c r="T196" s="1">
        <f t="shared" si="3"/>
        <v>2</v>
      </c>
      <c r="U196" s="1">
        <v>70.753070949999994</v>
      </c>
      <c r="V196" s="1">
        <f t="shared" si="4"/>
        <v>24</v>
      </c>
      <c r="W196" s="1">
        <f t="shared" si="5"/>
        <v>76</v>
      </c>
    </row>
    <row r="197" spans="1:23" ht="12.5">
      <c r="A197" s="1" t="s">
        <v>244</v>
      </c>
      <c r="B197" s="1">
        <v>1</v>
      </c>
      <c r="C197" s="1">
        <v>16425.859380000002</v>
      </c>
      <c r="D197" s="1">
        <v>23.520000459999999</v>
      </c>
      <c r="E197" s="1">
        <v>46.187534790000001</v>
      </c>
      <c r="F197" s="1">
        <v>14.74028929</v>
      </c>
      <c r="G197" s="1">
        <v>31.562457139999999</v>
      </c>
      <c r="H197" s="1">
        <v>7.5097187840000004</v>
      </c>
      <c r="I197" s="1">
        <v>37.575215249999999</v>
      </c>
      <c r="J197" s="1">
        <v>14.35396111</v>
      </c>
      <c r="K197" s="1">
        <v>38.524967609999997</v>
      </c>
      <c r="L197" s="1">
        <v>9.5458560269999992</v>
      </c>
      <c r="M197" s="1">
        <v>74.192223089999999</v>
      </c>
      <c r="N197" s="1">
        <v>15.99651381</v>
      </c>
      <c r="O197" s="1">
        <v>8.9224527210000009</v>
      </c>
      <c r="P197" s="1">
        <v>0.88881038430000003</v>
      </c>
      <c r="Q197" s="1">
        <f t="shared" si="0"/>
        <v>16</v>
      </c>
      <c r="R197" s="1">
        <f t="shared" si="1"/>
        <v>3863.3622017349535</v>
      </c>
      <c r="S197" s="1">
        <f t="shared" si="2"/>
        <v>76.479999539999994</v>
      </c>
      <c r="T197" s="1">
        <f t="shared" si="3"/>
        <v>17</v>
      </c>
      <c r="U197" s="1">
        <v>46.187534790000001</v>
      </c>
      <c r="V197" s="1">
        <f t="shared" si="4"/>
        <v>24</v>
      </c>
      <c r="W197" s="1">
        <f t="shared" si="5"/>
        <v>76</v>
      </c>
    </row>
    <row r="198" spans="1:23" ht="12.5">
      <c r="A198" s="1" t="s">
        <v>246</v>
      </c>
      <c r="B198" s="1">
        <v>2</v>
      </c>
      <c r="C198" s="1">
        <v>16718.970700000002</v>
      </c>
      <c r="D198" s="1">
        <v>24.23200035</v>
      </c>
      <c r="E198" s="1">
        <v>71.219884969999995</v>
      </c>
      <c r="F198" s="1">
        <v>13.90222204</v>
      </c>
      <c r="G198" s="1">
        <v>5.6772185579999999</v>
      </c>
      <c r="H198" s="1">
        <v>9.2006744339999997</v>
      </c>
      <c r="I198" s="1">
        <v>65.067155830000004</v>
      </c>
      <c r="J198" s="1">
        <v>15.51772278</v>
      </c>
      <c r="K198" s="1">
        <v>7.4928993070000001</v>
      </c>
      <c r="L198" s="1">
        <v>11.92222209</v>
      </c>
      <c r="M198" s="1">
        <v>90.458077169999996</v>
      </c>
      <c r="N198" s="1">
        <v>8.8509147200000005</v>
      </c>
      <c r="O198" s="1">
        <v>0</v>
      </c>
      <c r="P198" s="1">
        <v>0.69100811439999998</v>
      </c>
      <c r="Q198" s="1">
        <f t="shared" si="0"/>
        <v>16</v>
      </c>
      <c r="R198" s="1">
        <f t="shared" si="1"/>
        <v>4051.3410385403977</v>
      </c>
      <c r="S198" s="1">
        <f t="shared" si="2"/>
        <v>75.767999650000007</v>
      </c>
      <c r="T198" s="1">
        <f t="shared" si="3"/>
        <v>17</v>
      </c>
      <c r="U198" s="1">
        <v>71.219884969999995</v>
      </c>
      <c r="V198" s="1">
        <f t="shared" si="4"/>
        <v>24</v>
      </c>
      <c r="W198" s="1">
        <f t="shared" si="5"/>
        <v>76</v>
      </c>
    </row>
    <row r="199" spans="1:23" ht="12.5">
      <c r="A199" s="1" t="s">
        <v>105</v>
      </c>
      <c r="B199" s="1">
        <v>3</v>
      </c>
      <c r="C199" s="1">
        <v>105.6969986</v>
      </c>
      <c r="D199" s="1">
        <v>23.098999020000001</v>
      </c>
      <c r="E199" s="1">
        <v>98.731080829999996</v>
      </c>
      <c r="F199" s="1">
        <v>0.88149729619999995</v>
      </c>
      <c r="G199" s="1">
        <v>0.38742187769999997</v>
      </c>
      <c r="H199" s="1">
        <v>0</v>
      </c>
      <c r="I199" s="1">
        <v>98.468078539999993</v>
      </c>
      <c r="J199" s="1">
        <v>1.103159706</v>
      </c>
      <c r="K199" s="1">
        <v>0.42876175509999997</v>
      </c>
      <c r="L199" s="1">
        <v>0</v>
      </c>
      <c r="M199" s="1">
        <v>99.606658190000005</v>
      </c>
      <c r="N199" s="1">
        <v>0.143540536</v>
      </c>
      <c r="O199" s="1">
        <v>0.2498012758</v>
      </c>
      <c r="P199" s="1">
        <v>0</v>
      </c>
      <c r="Q199" s="1">
        <f t="shared" si="0"/>
        <v>16</v>
      </c>
      <c r="R199" s="1">
        <f t="shared" si="1"/>
        <v>24.414948670783414</v>
      </c>
      <c r="S199" s="1">
        <f t="shared" si="2"/>
        <v>76.901000979999992</v>
      </c>
      <c r="T199" s="1">
        <f t="shared" si="3"/>
        <v>1</v>
      </c>
      <c r="U199" s="1">
        <v>98.731080829999996</v>
      </c>
      <c r="V199" s="1">
        <f t="shared" si="4"/>
        <v>23</v>
      </c>
      <c r="W199" s="1">
        <f t="shared" si="5"/>
        <v>77</v>
      </c>
    </row>
    <row r="200" spans="1:23" ht="12.5">
      <c r="A200" s="1" t="s">
        <v>276</v>
      </c>
      <c r="B200" s="1">
        <v>1</v>
      </c>
      <c r="C200" s="1">
        <v>114963.58590000001</v>
      </c>
      <c r="D200" s="1">
        <v>21.69499969</v>
      </c>
      <c r="E200" s="1">
        <v>49.615572739999998</v>
      </c>
      <c r="F200" s="1">
        <v>26.740719639999998</v>
      </c>
      <c r="G200" s="1">
        <v>18.635060129999999</v>
      </c>
      <c r="H200" s="1">
        <v>5.0086474860000001</v>
      </c>
      <c r="I200" s="1">
        <v>40.03013919</v>
      </c>
      <c r="J200" s="1">
        <v>30.186683339999998</v>
      </c>
      <c r="K200" s="1">
        <v>23.49561327</v>
      </c>
      <c r="L200" s="1">
        <v>6.2875642029999996</v>
      </c>
      <c r="M200" s="1">
        <v>84.212828160000001</v>
      </c>
      <c r="N200" s="1">
        <v>14.30300858</v>
      </c>
      <c r="O200" s="1">
        <v>1.0915823549999999</v>
      </c>
      <c r="P200" s="1">
        <v>0.39258089600000001</v>
      </c>
      <c r="Q200" s="1">
        <f t="shared" si="0"/>
        <v>16</v>
      </c>
      <c r="R200" s="1">
        <f t="shared" si="1"/>
        <v>24941.349604617884</v>
      </c>
      <c r="S200" s="1">
        <f t="shared" si="2"/>
        <v>78.305000309999997</v>
      </c>
      <c r="T200" s="1">
        <f t="shared" si="3"/>
        <v>115</v>
      </c>
      <c r="U200" s="1">
        <v>49.615572739999998</v>
      </c>
      <c r="V200" s="1">
        <f t="shared" si="4"/>
        <v>22</v>
      </c>
      <c r="W200" s="1">
        <f t="shared" si="5"/>
        <v>78</v>
      </c>
    </row>
    <row r="201" spans="1:23" ht="12.5">
      <c r="A201" s="1" t="s">
        <v>259</v>
      </c>
      <c r="B201" s="1">
        <v>2</v>
      </c>
      <c r="C201" s="1">
        <v>29136.808590000001</v>
      </c>
      <c r="D201" s="1">
        <v>20.57600021</v>
      </c>
      <c r="E201" s="1">
        <v>90.074541789999998</v>
      </c>
      <c r="F201" s="1">
        <v>3.979825725</v>
      </c>
      <c r="G201" s="1">
        <v>4.699081176</v>
      </c>
      <c r="H201" s="1">
        <v>1.246551314</v>
      </c>
      <c r="I201" s="1">
        <v>90.203271650000005</v>
      </c>
      <c r="J201" s="1">
        <v>4.2073482459999996</v>
      </c>
      <c r="K201" s="1">
        <v>4.2690239510000003</v>
      </c>
      <c r="L201" s="1">
        <v>1.320356149</v>
      </c>
      <c r="M201" s="1">
        <v>89.577633160000005</v>
      </c>
      <c r="N201" s="1">
        <v>3.1015814110000002</v>
      </c>
      <c r="O201" s="1">
        <v>6.359123168</v>
      </c>
      <c r="P201" s="1">
        <v>0.96166225849999998</v>
      </c>
      <c r="Q201" s="1">
        <f t="shared" si="0"/>
        <v>16</v>
      </c>
      <c r="R201" s="1">
        <f t="shared" si="1"/>
        <v>5995.1897966656979</v>
      </c>
      <c r="S201" s="1">
        <f t="shared" si="2"/>
        <v>79.423999789999996</v>
      </c>
      <c r="T201" s="1">
        <f t="shared" si="3"/>
        <v>30</v>
      </c>
      <c r="U201" s="1">
        <v>90.074541789999998</v>
      </c>
      <c r="V201" s="1">
        <f t="shared" si="4"/>
        <v>21</v>
      </c>
      <c r="W201" s="1">
        <f t="shared" si="5"/>
        <v>79</v>
      </c>
    </row>
    <row r="202" spans="1:23" ht="12.5">
      <c r="A202" s="1" t="s">
        <v>231</v>
      </c>
      <c r="B202" s="1">
        <v>1</v>
      </c>
      <c r="C202" s="1">
        <v>11193.728520000001</v>
      </c>
      <c r="D202" s="1">
        <v>20.198999400000002</v>
      </c>
      <c r="E202" s="1">
        <v>40.95092717</v>
      </c>
      <c r="F202" s="1">
        <v>37.426962869999997</v>
      </c>
      <c r="G202" s="1">
        <v>13.537555190000001</v>
      </c>
      <c r="H202" s="1">
        <v>8.0845547619999998</v>
      </c>
      <c r="I202" s="1">
        <v>33.593628809999998</v>
      </c>
      <c r="J202" s="1">
        <v>42.164380680000001</v>
      </c>
      <c r="K202" s="1">
        <v>14.111096160000001</v>
      </c>
      <c r="L202" s="1">
        <v>10.13089435</v>
      </c>
      <c r="M202" s="1">
        <v>70.017704449999997</v>
      </c>
      <c r="N202" s="1">
        <v>18.710660919999999</v>
      </c>
      <c r="O202" s="1">
        <v>11.27163464</v>
      </c>
      <c r="P202" s="1">
        <v>0</v>
      </c>
      <c r="Q202" s="1">
        <f t="shared" si="0"/>
        <v>16</v>
      </c>
      <c r="R202" s="1">
        <f t="shared" si="1"/>
        <v>2261.0211565924292</v>
      </c>
      <c r="S202" s="1">
        <f t="shared" si="2"/>
        <v>79.801000599999995</v>
      </c>
      <c r="T202" s="1">
        <f t="shared" si="3"/>
        <v>12</v>
      </c>
      <c r="U202" s="1">
        <v>40.95092717</v>
      </c>
      <c r="V202" s="1">
        <f t="shared" si="4"/>
        <v>20</v>
      </c>
      <c r="W202" s="1">
        <f t="shared" si="5"/>
        <v>80</v>
      </c>
    </row>
    <row r="203" spans="1:23" ht="12.5">
      <c r="A203" s="1" t="s">
        <v>110</v>
      </c>
      <c r="B203" s="1">
        <v>3</v>
      </c>
      <c r="C203" s="1">
        <v>183.62899780000001</v>
      </c>
      <c r="D203" s="1">
        <v>18.8409996</v>
      </c>
      <c r="E203" s="1">
        <v>96.887844569999999</v>
      </c>
      <c r="F203" s="1">
        <v>1.815652166</v>
      </c>
      <c r="G203" s="1">
        <v>1.296503269</v>
      </c>
      <c r="H203" s="1">
        <v>0</v>
      </c>
      <c r="I203" s="1">
        <v>96.814023829999996</v>
      </c>
      <c r="J203" s="1">
        <v>1.7341522549999999</v>
      </c>
      <c r="K203" s="1">
        <v>1.4518239180000001</v>
      </c>
      <c r="L203" s="1">
        <v>0</v>
      </c>
      <c r="M203" s="1">
        <v>97.205822190000006</v>
      </c>
      <c r="N203" s="1">
        <v>2.166718886</v>
      </c>
      <c r="O203" s="1">
        <v>0.6274589237</v>
      </c>
      <c r="P203" s="1">
        <v>0</v>
      </c>
      <c r="Q203" s="1">
        <f t="shared" si="0"/>
        <v>16</v>
      </c>
      <c r="R203" s="1">
        <f t="shared" si="1"/>
        <v>34.59753874098201</v>
      </c>
      <c r="S203" s="1">
        <f t="shared" si="2"/>
        <v>81.159000399999996</v>
      </c>
      <c r="T203" s="1">
        <f t="shared" si="3"/>
        <v>1</v>
      </c>
      <c r="U203" s="1">
        <v>96.887844569999999</v>
      </c>
      <c r="V203" s="1">
        <f t="shared" si="4"/>
        <v>19</v>
      </c>
      <c r="W203" s="1">
        <f t="shared" si="5"/>
        <v>81</v>
      </c>
    </row>
    <row r="204" spans="1:23" ht="12.5">
      <c r="A204" s="1" t="s">
        <v>253</v>
      </c>
      <c r="B204" s="1">
        <v>2</v>
      </c>
      <c r="C204" s="1">
        <v>21413.25</v>
      </c>
      <c r="D204" s="1">
        <v>18.71299934</v>
      </c>
      <c r="E204" s="1">
        <v>92.227579370000001</v>
      </c>
      <c r="F204" s="1">
        <v>0.59545814949999998</v>
      </c>
      <c r="G204" s="1">
        <v>5.3489270639999997</v>
      </c>
      <c r="H204" s="1">
        <v>1.82803542</v>
      </c>
      <c r="I204" s="1">
        <v>90.537435700000003</v>
      </c>
      <c r="J204" s="1">
        <v>0.70320990380000004</v>
      </c>
      <c r="K204" s="1">
        <v>6.5104886119999996</v>
      </c>
      <c r="L204" s="1">
        <v>2.2488657820000002</v>
      </c>
      <c r="M204" s="1">
        <v>99.569380190000004</v>
      </c>
      <c r="N204" s="1">
        <v>0.12739779009999999</v>
      </c>
      <c r="O204" s="1">
        <v>0.3032220202</v>
      </c>
      <c r="P204" s="1">
        <v>0</v>
      </c>
      <c r="Q204" s="1">
        <f t="shared" si="0"/>
        <v>16</v>
      </c>
      <c r="R204" s="1">
        <f t="shared" si="1"/>
        <v>4007.0613311725501</v>
      </c>
      <c r="S204" s="1">
        <f t="shared" si="2"/>
        <v>81.287000660000004</v>
      </c>
      <c r="T204" s="1">
        <f t="shared" si="3"/>
        <v>22</v>
      </c>
      <c r="U204" s="1">
        <v>92.227579370000001</v>
      </c>
      <c r="V204" s="1">
        <f t="shared" si="4"/>
        <v>19</v>
      </c>
      <c r="W204" s="1">
        <f t="shared" si="5"/>
        <v>81</v>
      </c>
    </row>
    <row r="205" spans="1:23" ht="12.5">
      <c r="A205" s="1" t="s">
        <v>112</v>
      </c>
      <c r="B205" s="1">
        <v>2</v>
      </c>
      <c r="C205" s="1">
        <v>198.4100037</v>
      </c>
      <c r="D205" s="1">
        <v>17.888999940000001</v>
      </c>
      <c r="E205" s="1">
        <v>91.837724550000004</v>
      </c>
      <c r="F205" s="1">
        <v>6.5208999519999997</v>
      </c>
      <c r="G205" s="1">
        <v>1.4186234280000001</v>
      </c>
      <c r="H205" s="1">
        <v>0.22275206789999999</v>
      </c>
      <c r="I205" s="1">
        <v>91.780322870000006</v>
      </c>
      <c r="J205" s="1">
        <v>6.2207033389999999</v>
      </c>
      <c r="K205" s="1">
        <v>1.7276921599999999</v>
      </c>
      <c r="L205" s="1">
        <v>0.2712816327</v>
      </c>
      <c r="M205" s="1">
        <v>92.101190000000003</v>
      </c>
      <c r="N205" s="1">
        <v>7.8988100000000001</v>
      </c>
      <c r="O205" s="1">
        <v>0</v>
      </c>
      <c r="P205" s="1">
        <v>0</v>
      </c>
      <c r="Q205" s="1">
        <f t="shared" si="0"/>
        <v>16</v>
      </c>
      <c r="R205" s="1">
        <f t="shared" si="1"/>
        <v>35.493565442847007</v>
      </c>
      <c r="S205" s="1">
        <f t="shared" si="2"/>
        <v>82.111000059999995</v>
      </c>
      <c r="T205" s="1">
        <f t="shared" si="3"/>
        <v>1</v>
      </c>
      <c r="U205" s="1">
        <v>91.837724550000004</v>
      </c>
      <c r="V205" s="1">
        <f t="shared" si="4"/>
        <v>18</v>
      </c>
      <c r="W205" s="1">
        <f t="shared" si="5"/>
        <v>82</v>
      </c>
    </row>
    <row r="206" spans="1:23" ht="12.5">
      <c r="A206" s="1" t="s">
        <v>239</v>
      </c>
      <c r="B206" s="1">
        <v>1</v>
      </c>
      <c r="C206" s="1">
        <v>12952.208979999999</v>
      </c>
      <c r="D206" s="1">
        <v>17.432001110000002</v>
      </c>
      <c r="E206" s="1">
        <v>60.41450115</v>
      </c>
      <c r="F206" s="1">
        <v>22.3207193</v>
      </c>
      <c r="G206" s="1">
        <v>13.15480415</v>
      </c>
      <c r="H206" s="1">
        <v>4.1099754009999998</v>
      </c>
      <c r="I206" s="1">
        <v>55.642468229999999</v>
      </c>
      <c r="J206" s="1">
        <v>25.08014133</v>
      </c>
      <c r="K206" s="1">
        <v>14.778867719999999</v>
      </c>
      <c r="L206" s="1">
        <v>4.4985227139999999</v>
      </c>
      <c r="M206" s="1">
        <v>83.017599300000001</v>
      </c>
      <c r="N206" s="1">
        <v>9.2505062509999991</v>
      </c>
      <c r="O206" s="1">
        <v>5.4623030569999997</v>
      </c>
      <c r="P206" s="1">
        <v>2.2695913939999999</v>
      </c>
      <c r="Q206" s="1">
        <f t="shared" si="0"/>
        <v>16</v>
      </c>
      <c r="R206" s="1">
        <f t="shared" si="1"/>
        <v>2257.8292131631197</v>
      </c>
      <c r="S206" s="1">
        <f t="shared" si="2"/>
        <v>82.567998889999998</v>
      </c>
      <c r="T206" s="1">
        <f t="shared" si="3"/>
        <v>13</v>
      </c>
      <c r="U206" s="1">
        <v>60.41450115</v>
      </c>
      <c r="V206" s="1">
        <f t="shared" si="4"/>
        <v>17</v>
      </c>
      <c r="W206" s="1">
        <f t="shared" si="5"/>
        <v>83</v>
      </c>
    </row>
    <row r="207" spans="1:23" ht="12.5">
      <c r="A207" s="1" t="s">
        <v>250</v>
      </c>
      <c r="B207" s="1">
        <v>1</v>
      </c>
      <c r="C207" s="1">
        <v>19129.95508</v>
      </c>
      <c r="D207" s="1">
        <v>17.42700005</v>
      </c>
      <c r="E207" s="1">
        <v>70.047728509999999</v>
      </c>
      <c r="F207" s="1">
        <v>21.95081497</v>
      </c>
      <c r="G207" s="1">
        <v>5.7763044069999996</v>
      </c>
      <c r="H207" s="1">
        <v>2.2251521099999998</v>
      </c>
      <c r="I207" s="1">
        <v>66.585043760000005</v>
      </c>
      <c r="J207" s="1">
        <v>24.414158029999999</v>
      </c>
      <c r="K207" s="1">
        <v>6.3838741460000001</v>
      </c>
      <c r="L207" s="1">
        <v>2.6169240660000002</v>
      </c>
      <c r="M207" s="1">
        <v>86.454698210000004</v>
      </c>
      <c r="N207" s="1">
        <v>10.278948249999999</v>
      </c>
      <c r="O207" s="1">
        <v>2.8975039960000002</v>
      </c>
      <c r="P207" s="1">
        <v>0.36884954460000002</v>
      </c>
      <c r="Q207" s="1">
        <f t="shared" si="0"/>
        <v>16</v>
      </c>
      <c r="R207" s="1">
        <f t="shared" si="1"/>
        <v>3333.7772813565775</v>
      </c>
      <c r="S207" s="1">
        <f t="shared" si="2"/>
        <v>82.572999949999996</v>
      </c>
      <c r="T207" s="1">
        <f t="shared" si="3"/>
        <v>20</v>
      </c>
      <c r="U207" s="1">
        <v>70.047728509999999</v>
      </c>
      <c r="V207" s="1">
        <f t="shared" si="4"/>
        <v>17</v>
      </c>
      <c r="W207" s="1">
        <f t="shared" si="5"/>
        <v>83</v>
      </c>
    </row>
    <row r="208" spans="1:23" ht="12.5">
      <c r="A208" s="1" t="s">
        <v>254</v>
      </c>
      <c r="B208" s="1">
        <v>1</v>
      </c>
      <c r="C208" s="1">
        <v>24206.636719999999</v>
      </c>
      <c r="D208" s="1">
        <v>16.625999449999998</v>
      </c>
      <c r="E208" s="1">
        <v>46.911797470000003</v>
      </c>
      <c r="F208" s="1">
        <v>21.653898699999999</v>
      </c>
      <c r="G208" s="1">
        <v>27.027512439999999</v>
      </c>
      <c r="H208" s="1">
        <v>4.4067913919999997</v>
      </c>
      <c r="I208" s="1">
        <v>39.154159319999998</v>
      </c>
      <c r="J208" s="1">
        <v>23.987740389999999</v>
      </c>
      <c r="K208" s="1">
        <v>31.991506480000002</v>
      </c>
      <c r="L208" s="1">
        <v>4.8665938129999997</v>
      </c>
      <c r="M208" s="1">
        <v>85.813839759999993</v>
      </c>
      <c r="N208" s="1">
        <v>9.9504408289999997</v>
      </c>
      <c r="O208" s="1">
        <v>2.1346877800000001</v>
      </c>
      <c r="P208" s="1">
        <v>2.1010316339999999</v>
      </c>
      <c r="Q208" s="1">
        <f t="shared" si="0"/>
        <v>16</v>
      </c>
      <c r="R208" s="1">
        <f t="shared" si="1"/>
        <v>4024.5952879306974</v>
      </c>
      <c r="S208" s="1">
        <f t="shared" si="2"/>
        <v>83.374000550000005</v>
      </c>
      <c r="T208" s="1">
        <f t="shared" si="3"/>
        <v>25</v>
      </c>
      <c r="U208" s="1">
        <v>46.911797470000003</v>
      </c>
      <c r="V208" s="1">
        <f t="shared" si="4"/>
        <v>17</v>
      </c>
      <c r="W208" s="1">
        <f t="shared" si="5"/>
        <v>83</v>
      </c>
    </row>
    <row r="209" spans="1:23" ht="12.5">
      <c r="A209" s="1" t="s">
        <v>85</v>
      </c>
      <c r="B209" s="1">
        <v>4</v>
      </c>
      <c r="C209" s="1">
        <v>38.137001040000001</v>
      </c>
      <c r="D209" s="1">
        <v>14.416000370000001</v>
      </c>
      <c r="E209" s="1">
        <v>100</v>
      </c>
      <c r="F209" s="1">
        <v>0</v>
      </c>
      <c r="G209" s="1">
        <v>0</v>
      </c>
      <c r="H209" s="1">
        <v>0</v>
      </c>
      <c r="I209" s="1" t="s">
        <v>29</v>
      </c>
      <c r="J209" s="1" t="s">
        <v>29</v>
      </c>
      <c r="K209" s="1" t="s">
        <v>29</v>
      </c>
      <c r="L209" s="1" t="s">
        <v>29</v>
      </c>
      <c r="M209" s="1" t="s">
        <v>29</v>
      </c>
      <c r="N209" s="1" t="s">
        <v>29</v>
      </c>
      <c r="O209" s="1" t="s">
        <v>29</v>
      </c>
      <c r="P209" s="1" t="s">
        <v>29</v>
      </c>
      <c r="Q209" s="1">
        <f t="shared" si="0"/>
        <v>16</v>
      </c>
      <c r="R209" s="1">
        <f t="shared" si="1"/>
        <v>5.4978302110333042</v>
      </c>
      <c r="S209" s="1">
        <f t="shared" si="2"/>
        <v>85.583999629999994</v>
      </c>
      <c r="T209" s="1">
        <f t="shared" si="3"/>
        <v>1</v>
      </c>
      <c r="U209" s="1">
        <v>100</v>
      </c>
      <c r="V209" s="1">
        <f t="shared" si="4"/>
        <v>14</v>
      </c>
      <c r="W209" s="1">
        <f t="shared" si="5"/>
        <v>86</v>
      </c>
    </row>
    <row r="210" spans="1:23" ht="12.5">
      <c r="A210" s="1" t="s">
        <v>236</v>
      </c>
      <c r="B210" s="1">
        <v>1</v>
      </c>
      <c r="C210" s="1">
        <v>11890.78125</v>
      </c>
      <c r="D210" s="1">
        <v>13.708000180000001</v>
      </c>
      <c r="E210" s="1">
        <v>62.207122249999998</v>
      </c>
      <c r="F210" s="1">
        <v>19.439693139999999</v>
      </c>
      <c r="G210" s="1">
        <v>14.758259689999999</v>
      </c>
      <c r="H210" s="1">
        <v>3.5949249129999998</v>
      </c>
      <c r="I210" s="1">
        <v>57.685765269999997</v>
      </c>
      <c r="J210" s="1">
        <v>21.251482129999999</v>
      </c>
      <c r="K210" s="1">
        <v>16.896752379999999</v>
      </c>
      <c r="L210" s="1">
        <v>4.1660002189999998</v>
      </c>
      <c r="M210" s="1">
        <v>90.669110860000004</v>
      </c>
      <c r="N210" s="1">
        <v>8.0344628690000004</v>
      </c>
      <c r="O210" s="1">
        <v>1.2964262689999999</v>
      </c>
      <c r="P210" s="1">
        <v>0</v>
      </c>
      <c r="Q210" s="1">
        <f t="shared" si="0"/>
        <v>16</v>
      </c>
      <c r="R210" s="1">
        <f t="shared" si="1"/>
        <v>1629.9883151534063</v>
      </c>
      <c r="S210" s="1">
        <f t="shared" si="2"/>
        <v>86.291999820000001</v>
      </c>
      <c r="T210" s="1">
        <f t="shared" si="3"/>
        <v>12</v>
      </c>
      <c r="U210" s="1">
        <v>62.207122249999998</v>
      </c>
      <c r="V210" s="1">
        <f t="shared" si="4"/>
        <v>14</v>
      </c>
      <c r="W210" s="1">
        <f t="shared" si="5"/>
        <v>86</v>
      </c>
    </row>
    <row r="211" spans="1:23" ht="12.5">
      <c r="A211" s="1" t="s">
        <v>225</v>
      </c>
      <c r="B211" s="1">
        <v>2</v>
      </c>
      <c r="C211" s="1">
        <v>8947.0273440000001</v>
      </c>
      <c r="D211" s="1">
        <v>13.34500027</v>
      </c>
      <c r="E211" s="1">
        <v>45.344017520000001</v>
      </c>
      <c r="F211" s="1">
        <v>2.128564452</v>
      </c>
      <c r="G211" s="1">
        <v>22.157624949999999</v>
      </c>
      <c r="H211" s="1">
        <v>30.369793080000001</v>
      </c>
      <c r="I211" s="1">
        <v>39.071343669999997</v>
      </c>
      <c r="J211" s="1">
        <v>2.4298502929999999</v>
      </c>
      <c r="K211" s="1">
        <v>24.431800859999999</v>
      </c>
      <c r="L211" s="1">
        <v>34.067005170000002</v>
      </c>
      <c r="M211" s="1">
        <v>86.075271639999997</v>
      </c>
      <c r="N211" s="1">
        <v>0.17218226079999999</v>
      </c>
      <c r="O211" s="1">
        <v>7.3903855639999998</v>
      </c>
      <c r="P211" s="1">
        <v>6.3621605319999999</v>
      </c>
      <c r="Q211" s="1">
        <f t="shared" si="0"/>
        <v>16</v>
      </c>
      <c r="R211" s="1">
        <f t="shared" si="1"/>
        <v>1193.9808232137736</v>
      </c>
      <c r="S211" s="1">
        <f t="shared" si="2"/>
        <v>86.65499973</v>
      </c>
      <c r="T211" s="1">
        <f t="shared" si="3"/>
        <v>9</v>
      </c>
      <c r="U211" s="1">
        <v>45.344017520000001</v>
      </c>
      <c r="V211" s="1">
        <f t="shared" si="4"/>
        <v>13</v>
      </c>
      <c r="W211" s="1">
        <f t="shared" si="5"/>
        <v>87</v>
      </c>
    </row>
    <row r="212" spans="1:23" ht="12.5">
      <c r="A212" s="1" t="s">
        <v>46</v>
      </c>
      <c r="B212" s="1">
        <v>0</v>
      </c>
      <c r="C212" s="1">
        <v>4.9990000720000003</v>
      </c>
      <c r="D212" s="1">
        <v>9.1149997710000008</v>
      </c>
      <c r="E212" s="1">
        <v>98.077482619999998</v>
      </c>
      <c r="F212" s="1">
        <v>0</v>
      </c>
      <c r="G212" s="1">
        <v>1.922517378</v>
      </c>
      <c r="H212" s="1">
        <v>0</v>
      </c>
      <c r="I212" s="1" t="s">
        <v>29</v>
      </c>
      <c r="J212" s="1" t="s">
        <v>29</v>
      </c>
      <c r="K212" s="1" t="s">
        <v>29</v>
      </c>
      <c r="L212" s="1" t="s">
        <v>29</v>
      </c>
      <c r="M212" s="1" t="s">
        <v>29</v>
      </c>
      <c r="N212" s="1" t="s">
        <v>29</v>
      </c>
      <c r="O212" s="1" t="s">
        <v>29</v>
      </c>
      <c r="P212" s="1" t="s">
        <v>29</v>
      </c>
      <c r="Q212" s="1">
        <f t="shared" si="0"/>
        <v>16</v>
      </c>
      <c r="R212" s="1">
        <f t="shared" si="1"/>
        <v>0.45565884511508992</v>
      </c>
      <c r="S212" s="1">
        <f t="shared" si="2"/>
        <v>90.885000228999999</v>
      </c>
      <c r="T212" s="1">
        <f t="shared" si="3"/>
        <v>1</v>
      </c>
      <c r="U212" s="1">
        <v>98.077482619999998</v>
      </c>
      <c r="V212" s="1">
        <f t="shared" si="4"/>
        <v>9</v>
      </c>
      <c r="W212" s="1">
        <f t="shared" si="5"/>
        <v>91</v>
      </c>
    </row>
    <row r="213" spans="1:23" ht="12.5">
      <c r="A213" s="1" t="s">
        <v>28</v>
      </c>
      <c r="B213" s="1">
        <v>0</v>
      </c>
      <c r="C213" s="1">
        <v>1.3500000240000001</v>
      </c>
      <c r="D213" s="1">
        <v>0</v>
      </c>
      <c r="E213" s="1">
        <v>99.707676649999996</v>
      </c>
      <c r="F213" s="1">
        <v>0</v>
      </c>
      <c r="G213" s="1">
        <v>0.29232334589999998</v>
      </c>
      <c r="H213" s="1">
        <v>0</v>
      </c>
      <c r="I213" s="1">
        <v>99.707676649999996</v>
      </c>
      <c r="J213" s="1">
        <v>0</v>
      </c>
      <c r="K213" s="1">
        <v>0.29232334589999998</v>
      </c>
      <c r="L213" s="1">
        <v>0</v>
      </c>
      <c r="M213" s="1" t="s">
        <v>29</v>
      </c>
      <c r="N213" s="1" t="s">
        <v>29</v>
      </c>
      <c r="O213" s="1" t="s">
        <v>29</v>
      </c>
      <c r="P213" s="1" t="s">
        <v>29</v>
      </c>
      <c r="Q213" s="1">
        <f t="shared" si="0"/>
        <v>16</v>
      </c>
      <c r="R213" s="1">
        <f t="shared" si="1"/>
        <v>0</v>
      </c>
      <c r="S213" s="1">
        <f t="shared" si="2"/>
        <v>100</v>
      </c>
      <c r="T213" s="1">
        <f t="shared" si="3"/>
        <v>1</v>
      </c>
      <c r="U213" s="1">
        <v>99.707676649999996</v>
      </c>
      <c r="V213" s="1">
        <f t="shared" si="4"/>
        <v>0</v>
      </c>
      <c r="W213" s="1">
        <f t="shared" si="5"/>
        <v>100</v>
      </c>
    </row>
    <row r="214" spans="1:23" ht="12.5">
      <c r="A214" s="1" t="s">
        <v>71</v>
      </c>
      <c r="B214" s="1">
        <v>0</v>
      </c>
      <c r="C214" s="1">
        <v>11.24600029</v>
      </c>
      <c r="D214" s="1">
        <v>0</v>
      </c>
      <c r="E214" s="1">
        <v>99.143287360000002</v>
      </c>
      <c r="F214" s="1">
        <v>0</v>
      </c>
      <c r="G214" s="1">
        <v>0.85671263900000005</v>
      </c>
      <c r="H214" s="1">
        <v>0</v>
      </c>
      <c r="I214" s="1">
        <v>99.143287360000002</v>
      </c>
      <c r="J214" s="1">
        <v>0</v>
      </c>
      <c r="K214" s="1">
        <v>0.85671263900000005</v>
      </c>
      <c r="L214" s="1">
        <v>0</v>
      </c>
      <c r="M214" s="1" t="s">
        <v>29</v>
      </c>
      <c r="N214" s="1" t="s">
        <v>29</v>
      </c>
      <c r="O214" s="1" t="s">
        <v>29</v>
      </c>
      <c r="P214" s="1" t="s">
        <v>29</v>
      </c>
      <c r="Q214" s="1">
        <f t="shared" si="0"/>
        <v>16</v>
      </c>
      <c r="R214" s="1">
        <f t="shared" si="1"/>
        <v>0</v>
      </c>
      <c r="S214" s="1">
        <f t="shared" si="2"/>
        <v>100</v>
      </c>
      <c r="T214" s="1">
        <f t="shared" si="3"/>
        <v>1</v>
      </c>
      <c r="U214" s="1">
        <v>99.143287360000002</v>
      </c>
      <c r="V214" s="1">
        <f t="shared" si="4"/>
        <v>0</v>
      </c>
      <c r="W214" s="1">
        <f t="shared" si="5"/>
        <v>100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223"/>
  <sheetViews>
    <sheetView topLeftCell="D201" workbookViewId="0">
      <selection activeCell="E215" sqref="E215:P215"/>
    </sheetView>
  </sheetViews>
  <sheetFormatPr defaultColWidth="12.6328125" defaultRowHeight="15.75" customHeight="1"/>
  <cols>
    <col min="2" max="2" width="16.7265625" customWidth="1"/>
    <col min="4" max="4" width="14.453125" customWidth="1"/>
    <col min="5" max="5" width="16.26953125" customWidth="1"/>
    <col min="21" max="21" width="16.26953125" customWidth="1"/>
  </cols>
  <sheetData>
    <row r="1" spans="1:23" ht="15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25</v>
      </c>
      <c r="W1" s="1" t="s">
        <v>26</v>
      </c>
    </row>
    <row r="2" spans="1:23" ht="15.75" customHeight="1">
      <c r="A2" s="1" t="s">
        <v>28</v>
      </c>
      <c r="B2" s="1" t="s">
        <v>29</v>
      </c>
      <c r="C2" s="1">
        <v>1.3500000240000001</v>
      </c>
      <c r="D2" s="1">
        <v>0</v>
      </c>
      <c r="E2" s="1">
        <v>99.707676649999996</v>
      </c>
      <c r="F2" s="1">
        <v>0</v>
      </c>
      <c r="G2" s="1">
        <v>0.29232334589999998</v>
      </c>
      <c r="H2" s="1">
        <v>0</v>
      </c>
      <c r="I2" s="1">
        <v>99.707676649999996</v>
      </c>
      <c r="J2" s="1">
        <v>0</v>
      </c>
      <c r="K2" s="1">
        <v>0.29232334589999998</v>
      </c>
      <c r="L2" s="1">
        <v>0</v>
      </c>
      <c r="M2" s="1" t="s">
        <v>29</v>
      </c>
      <c r="N2" s="1" t="s">
        <v>29</v>
      </c>
      <c r="O2" s="1" t="s">
        <v>29</v>
      </c>
      <c r="P2" s="1" t="s">
        <v>29</v>
      </c>
      <c r="Q2" s="1">
        <f t="shared" ref="Q2:Q214" si="0">COUNTA(A2:P2)</f>
        <v>16</v>
      </c>
      <c r="R2" s="1">
        <f t="shared" ref="R2:R214" si="1">((D2/100)*C2)</f>
        <v>0</v>
      </c>
      <c r="S2" s="1">
        <f t="shared" ref="S2:S214" si="2">(100-D2)</f>
        <v>100</v>
      </c>
      <c r="T2" s="1">
        <f t="shared" ref="T2:T214" si="3">ROUNDUP(((C2*1000)/1000000),0)</f>
        <v>1</v>
      </c>
      <c r="U2" s="1">
        <v>99.707676649999996</v>
      </c>
      <c r="V2" s="1">
        <f t="shared" ref="V2:V214" si="4">ROUND(D2,0)</f>
        <v>0</v>
      </c>
      <c r="W2" s="1">
        <f t="shared" ref="W2:W214" si="5">ROUND(S2,0)</f>
        <v>100</v>
      </c>
    </row>
    <row r="3" spans="1:23" ht="15.75" customHeight="1">
      <c r="A3" s="1" t="s">
        <v>38</v>
      </c>
      <c r="B3" s="1" t="s">
        <v>29</v>
      </c>
      <c r="C3" s="1">
        <v>1.618000031</v>
      </c>
      <c r="D3" s="1">
        <v>46.202003480000002</v>
      </c>
      <c r="E3" s="1">
        <v>97.010876179999997</v>
      </c>
      <c r="F3" s="1">
        <v>0</v>
      </c>
      <c r="G3" s="1">
        <v>2.9891238219999998</v>
      </c>
      <c r="H3" s="1">
        <v>0</v>
      </c>
      <c r="I3" s="1" t="s">
        <v>29</v>
      </c>
      <c r="J3" s="1" t="s">
        <v>29</v>
      </c>
      <c r="K3" s="1" t="s">
        <v>29</v>
      </c>
      <c r="L3" s="1" t="s">
        <v>29</v>
      </c>
      <c r="M3" s="1" t="s">
        <v>29</v>
      </c>
      <c r="N3" s="1" t="s">
        <v>29</v>
      </c>
      <c r="O3" s="1" t="s">
        <v>29</v>
      </c>
      <c r="P3" s="1" t="s">
        <v>29</v>
      </c>
      <c r="Q3" s="1">
        <f t="shared" si="0"/>
        <v>16</v>
      </c>
      <c r="R3" s="1">
        <f t="shared" si="1"/>
        <v>0.7475484306290211</v>
      </c>
      <c r="S3" s="1">
        <f t="shared" si="2"/>
        <v>53.797996519999998</v>
      </c>
      <c r="T3" s="1">
        <f t="shared" si="3"/>
        <v>1</v>
      </c>
      <c r="U3" s="1">
        <v>97.010876179999997</v>
      </c>
      <c r="V3" s="1">
        <f t="shared" si="4"/>
        <v>46</v>
      </c>
      <c r="W3" s="1">
        <f t="shared" si="5"/>
        <v>54</v>
      </c>
    </row>
    <row r="4" spans="1:23" ht="15.75" customHeight="1">
      <c r="A4" s="1" t="s">
        <v>41</v>
      </c>
      <c r="B4" s="1" t="s">
        <v>29</v>
      </c>
      <c r="C4" s="1">
        <v>3.4830000399999999</v>
      </c>
      <c r="D4" s="1">
        <v>78.507995609999995</v>
      </c>
      <c r="E4" s="1">
        <v>95.308927400000002</v>
      </c>
      <c r="F4" s="1">
        <v>0</v>
      </c>
      <c r="G4" s="1">
        <v>4.6910725959999997</v>
      </c>
      <c r="H4" s="1">
        <v>0</v>
      </c>
      <c r="I4" s="1">
        <v>78.172942820000003</v>
      </c>
      <c r="J4" s="1">
        <v>0</v>
      </c>
      <c r="K4" s="1">
        <v>21.827057180000001</v>
      </c>
      <c r="L4" s="1">
        <v>0</v>
      </c>
      <c r="M4" s="1">
        <v>100</v>
      </c>
      <c r="N4" s="1">
        <v>0</v>
      </c>
      <c r="O4" s="1">
        <v>0</v>
      </c>
      <c r="P4" s="1">
        <v>0</v>
      </c>
      <c r="Q4" s="1">
        <f t="shared" si="0"/>
        <v>16</v>
      </c>
      <c r="R4" s="1">
        <f t="shared" si="1"/>
        <v>2.7344335184994977</v>
      </c>
      <c r="S4" s="1">
        <f t="shared" si="2"/>
        <v>21.492004390000005</v>
      </c>
      <c r="T4" s="1">
        <f t="shared" si="3"/>
        <v>1</v>
      </c>
      <c r="U4" s="1">
        <v>95.308927400000002</v>
      </c>
      <c r="V4" s="1">
        <f t="shared" si="4"/>
        <v>79</v>
      </c>
      <c r="W4" s="1">
        <f t="shared" si="5"/>
        <v>21</v>
      </c>
    </row>
    <row r="5" spans="1:23" ht="15.75" customHeight="1">
      <c r="A5" s="1" t="s">
        <v>46</v>
      </c>
      <c r="B5" s="1" t="s">
        <v>29</v>
      </c>
      <c r="C5" s="1">
        <v>4.9990000720000003</v>
      </c>
      <c r="D5" s="1">
        <v>9.1149997710000008</v>
      </c>
      <c r="E5" s="1">
        <v>98.077482619999998</v>
      </c>
      <c r="F5" s="1">
        <v>0</v>
      </c>
      <c r="G5" s="1">
        <v>1.922517378</v>
      </c>
      <c r="H5" s="1">
        <v>0</v>
      </c>
      <c r="I5" s="1" t="s">
        <v>29</v>
      </c>
      <c r="J5" s="1" t="s">
        <v>29</v>
      </c>
      <c r="K5" s="1" t="s">
        <v>29</v>
      </c>
      <c r="L5" s="1" t="s">
        <v>29</v>
      </c>
      <c r="M5" s="1" t="s">
        <v>29</v>
      </c>
      <c r="N5" s="1" t="s">
        <v>29</v>
      </c>
      <c r="O5" s="1" t="s">
        <v>29</v>
      </c>
      <c r="P5" s="1" t="s">
        <v>29</v>
      </c>
      <c r="Q5" s="1">
        <f t="shared" si="0"/>
        <v>16</v>
      </c>
      <c r="R5" s="1">
        <f t="shared" si="1"/>
        <v>0.45565884511508992</v>
      </c>
      <c r="S5" s="1">
        <f t="shared" si="2"/>
        <v>90.885000228999999</v>
      </c>
      <c r="T5" s="1">
        <f t="shared" si="3"/>
        <v>1</v>
      </c>
      <c r="U5" s="1">
        <v>98.077482619999998</v>
      </c>
      <c r="V5" s="1">
        <f t="shared" si="4"/>
        <v>9</v>
      </c>
      <c r="W5" s="1">
        <f t="shared" si="5"/>
        <v>91</v>
      </c>
    </row>
    <row r="6" spans="1:23" ht="15.75" customHeight="1">
      <c r="A6" s="1" t="s">
        <v>49</v>
      </c>
      <c r="B6" s="1" t="s">
        <v>29</v>
      </c>
      <c r="C6" s="1">
        <v>5.795000076</v>
      </c>
      <c r="D6" s="1">
        <v>89.96199799</v>
      </c>
      <c r="E6" s="1">
        <v>91.4</v>
      </c>
      <c r="F6" s="1">
        <v>0</v>
      </c>
      <c r="G6" s="1">
        <v>8.6</v>
      </c>
      <c r="H6" s="1">
        <v>0</v>
      </c>
      <c r="I6" s="1" t="s">
        <v>29</v>
      </c>
      <c r="J6" s="1" t="s">
        <v>29</v>
      </c>
      <c r="K6" s="1" t="s">
        <v>29</v>
      </c>
      <c r="L6" s="1" t="s">
        <v>29</v>
      </c>
      <c r="M6" s="1" t="s">
        <v>29</v>
      </c>
      <c r="N6" s="1" t="s">
        <v>29</v>
      </c>
      <c r="O6" s="1" t="s">
        <v>29</v>
      </c>
      <c r="P6" s="1" t="s">
        <v>29</v>
      </c>
      <c r="Q6" s="1">
        <f t="shared" si="0"/>
        <v>16</v>
      </c>
      <c r="R6" s="1">
        <f t="shared" si="1"/>
        <v>5.2132978518916184</v>
      </c>
      <c r="S6" s="1">
        <f t="shared" si="2"/>
        <v>10.03800201</v>
      </c>
      <c r="T6" s="1">
        <f t="shared" si="3"/>
        <v>1</v>
      </c>
      <c r="U6" s="1">
        <v>91.4</v>
      </c>
      <c r="V6" s="1">
        <f t="shared" si="4"/>
        <v>90</v>
      </c>
      <c r="W6" s="1">
        <f t="shared" si="5"/>
        <v>10</v>
      </c>
    </row>
    <row r="7" spans="1:23" ht="15.75" customHeight="1">
      <c r="A7" s="1" t="s">
        <v>58</v>
      </c>
      <c r="B7" s="1" t="s">
        <v>29</v>
      </c>
      <c r="C7" s="1">
        <v>6.0710000989999999</v>
      </c>
      <c r="D7" s="1">
        <v>40.082000729999997</v>
      </c>
      <c r="E7" s="1">
        <v>99.1</v>
      </c>
      <c r="F7" s="1">
        <v>0</v>
      </c>
      <c r="G7" s="1">
        <v>0.9</v>
      </c>
      <c r="H7" s="1">
        <v>0</v>
      </c>
      <c r="I7" s="1" t="s">
        <v>29</v>
      </c>
      <c r="J7" s="1" t="s">
        <v>29</v>
      </c>
      <c r="K7" s="1" t="s">
        <v>29</v>
      </c>
      <c r="L7" s="1" t="s">
        <v>29</v>
      </c>
      <c r="M7" s="1" t="s">
        <v>29</v>
      </c>
      <c r="N7" s="1" t="s">
        <v>29</v>
      </c>
      <c r="O7" s="1" t="s">
        <v>29</v>
      </c>
      <c r="P7" s="1" t="s">
        <v>29</v>
      </c>
      <c r="Q7" s="1">
        <f t="shared" si="0"/>
        <v>16</v>
      </c>
      <c r="R7" s="1">
        <f t="shared" si="1"/>
        <v>2.4333783039994805</v>
      </c>
      <c r="S7" s="1">
        <f t="shared" si="2"/>
        <v>59.917999270000003</v>
      </c>
      <c r="T7" s="1">
        <f t="shared" si="3"/>
        <v>1</v>
      </c>
      <c r="U7" s="1">
        <v>99.1</v>
      </c>
      <c r="V7" s="1">
        <f t="shared" si="4"/>
        <v>40</v>
      </c>
      <c r="W7" s="1">
        <f t="shared" si="5"/>
        <v>60</v>
      </c>
    </row>
    <row r="8" spans="1:23" ht="15.75" customHeight="1">
      <c r="A8" s="1" t="s">
        <v>27</v>
      </c>
      <c r="B8" s="1" t="s">
        <v>29</v>
      </c>
      <c r="C8" s="1">
        <v>9.8849999999999998</v>
      </c>
      <c r="D8" s="1">
        <v>100</v>
      </c>
      <c r="E8" s="1">
        <v>100</v>
      </c>
      <c r="F8" s="1">
        <v>0</v>
      </c>
      <c r="G8" s="1">
        <v>0</v>
      </c>
      <c r="H8" s="1">
        <v>0</v>
      </c>
      <c r="I8" s="1" t="s">
        <v>29</v>
      </c>
      <c r="J8" s="1" t="s">
        <v>29</v>
      </c>
      <c r="K8" s="1" t="s">
        <v>29</v>
      </c>
      <c r="L8" s="1" t="s">
        <v>29</v>
      </c>
      <c r="M8" s="1">
        <v>100</v>
      </c>
      <c r="N8" s="1">
        <v>0</v>
      </c>
      <c r="O8" s="1">
        <v>0</v>
      </c>
      <c r="P8" s="1">
        <v>0</v>
      </c>
      <c r="Q8" s="1">
        <f t="shared" si="0"/>
        <v>16</v>
      </c>
      <c r="R8" s="1">
        <f t="shared" si="1"/>
        <v>9.8849999999999998</v>
      </c>
      <c r="S8" s="1">
        <f t="shared" si="2"/>
        <v>0</v>
      </c>
      <c r="T8" s="1">
        <f t="shared" si="3"/>
        <v>1</v>
      </c>
      <c r="U8" s="1">
        <v>100</v>
      </c>
      <c r="V8" s="1">
        <f t="shared" si="4"/>
        <v>100</v>
      </c>
      <c r="W8" s="1">
        <f t="shared" si="5"/>
        <v>0</v>
      </c>
    </row>
    <row r="9" spans="1:23" ht="15.75" customHeight="1">
      <c r="A9" s="1" t="s">
        <v>37</v>
      </c>
      <c r="B9" s="1" t="s">
        <v>69</v>
      </c>
      <c r="C9" s="1">
        <v>10.833999629999999</v>
      </c>
      <c r="D9" s="1">
        <v>100</v>
      </c>
      <c r="E9" s="1">
        <v>100</v>
      </c>
      <c r="F9" s="1">
        <v>0</v>
      </c>
      <c r="G9" s="1">
        <v>0</v>
      </c>
      <c r="H9" s="1">
        <v>0</v>
      </c>
      <c r="I9" s="1" t="s">
        <v>29</v>
      </c>
      <c r="J9" s="1" t="s">
        <v>29</v>
      </c>
      <c r="K9" s="1" t="s">
        <v>29</v>
      </c>
      <c r="L9" s="1" t="s">
        <v>29</v>
      </c>
      <c r="M9" s="1">
        <v>100</v>
      </c>
      <c r="N9" s="1">
        <v>0</v>
      </c>
      <c r="O9" s="1">
        <v>0</v>
      </c>
      <c r="P9" s="1">
        <v>0</v>
      </c>
      <c r="Q9" s="1">
        <f t="shared" si="0"/>
        <v>16</v>
      </c>
      <c r="R9" s="1">
        <f t="shared" si="1"/>
        <v>10.833999629999999</v>
      </c>
      <c r="S9" s="1">
        <f t="shared" si="2"/>
        <v>0</v>
      </c>
      <c r="T9" s="1">
        <f t="shared" si="3"/>
        <v>1</v>
      </c>
      <c r="U9" s="1">
        <v>100</v>
      </c>
      <c r="V9" s="1">
        <f t="shared" si="4"/>
        <v>100</v>
      </c>
      <c r="W9" s="1">
        <f t="shared" si="5"/>
        <v>0</v>
      </c>
    </row>
    <row r="10" spans="1:23" ht="15.75" customHeight="1">
      <c r="A10" s="1" t="s">
        <v>71</v>
      </c>
      <c r="B10" s="1" t="s">
        <v>29</v>
      </c>
      <c r="C10" s="1">
        <v>11.24600029</v>
      </c>
      <c r="D10" s="1">
        <v>0</v>
      </c>
      <c r="E10" s="1">
        <v>99.143287360000002</v>
      </c>
      <c r="F10" s="1">
        <v>0</v>
      </c>
      <c r="G10" s="1">
        <v>0.85671263900000005</v>
      </c>
      <c r="H10" s="1">
        <v>0</v>
      </c>
      <c r="I10" s="1">
        <v>99.143287360000002</v>
      </c>
      <c r="J10" s="1">
        <v>0</v>
      </c>
      <c r="K10" s="1">
        <v>0.85671263900000005</v>
      </c>
      <c r="L10" s="1">
        <v>0</v>
      </c>
      <c r="M10" s="1" t="s">
        <v>29</v>
      </c>
      <c r="N10" s="1" t="s">
        <v>29</v>
      </c>
      <c r="O10" s="1" t="s">
        <v>29</v>
      </c>
      <c r="P10" s="1" t="s">
        <v>29</v>
      </c>
      <c r="Q10" s="1">
        <f t="shared" si="0"/>
        <v>16</v>
      </c>
      <c r="R10" s="1">
        <f t="shared" si="1"/>
        <v>0</v>
      </c>
      <c r="S10" s="1">
        <f t="shared" si="2"/>
        <v>100</v>
      </c>
      <c r="T10" s="1">
        <f t="shared" si="3"/>
        <v>1</v>
      </c>
      <c r="U10" s="1">
        <v>99.143287360000002</v>
      </c>
      <c r="V10" s="1">
        <f t="shared" si="4"/>
        <v>0</v>
      </c>
      <c r="W10" s="1">
        <f t="shared" si="5"/>
        <v>100</v>
      </c>
    </row>
    <row r="11" spans="1:23" ht="15.75" customHeight="1">
      <c r="A11" s="1" t="s">
        <v>73</v>
      </c>
      <c r="B11" s="1" t="s">
        <v>74</v>
      </c>
      <c r="C11" s="1">
        <v>11.791999819999999</v>
      </c>
      <c r="D11" s="1">
        <v>64.013999940000005</v>
      </c>
      <c r="E11" s="1">
        <v>100</v>
      </c>
      <c r="F11" s="1">
        <v>0</v>
      </c>
      <c r="G11" s="1">
        <v>0</v>
      </c>
      <c r="H11" s="1">
        <v>0</v>
      </c>
      <c r="I11" s="1">
        <v>100</v>
      </c>
      <c r="J11" s="1">
        <v>0</v>
      </c>
      <c r="K11" s="1">
        <v>0</v>
      </c>
      <c r="L11" s="1">
        <v>0</v>
      </c>
      <c r="M11" s="1">
        <v>100</v>
      </c>
      <c r="N11" s="1">
        <v>0</v>
      </c>
      <c r="O11" s="1">
        <v>0</v>
      </c>
      <c r="P11" s="1">
        <v>0</v>
      </c>
      <c r="Q11" s="1">
        <f t="shared" si="0"/>
        <v>16</v>
      </c>
      <c r="R11" s="1">
        <f t="shared" si="1"/>
        <v>7.5485307576996004</v>
      </c>
      <c r="S11" s="1">
        <f t="shared" si="2"/>
        <v>35.986000059999995</v>
      </c>
      <c r="T11" s="1">
        <f t="shared" si="3"/>
        <v>1</v>
      </c>
      <c r="U11" s="1">
        <v>100</v>
      </c>
      <c r="V11" s="1">
        <f t="shared" si="4"/>
        <v>64</v>
      </c>
      <c r="W11" s="1">
        <f t="shared" si="5"/>
        <v>36</v>
      </c>
    </row>
    <row r="12" spans="1:23" ht="15.75" customHeight="1">
      <c r="A12" s="1" t="s">
        <v>76</v>
      </c>
      <c r="B12" s="1" t="s">
        <v>29</v>
      </c>
      <c r="C12" s="1">
        <v>17.56399918</v>
      </c>
      <c r="D12" s="1">
        <v>75.495002749999998</v>
      </c>
      <c r="E12" s="1">
        <v>99.971610220000002</v>
      </c>
      <c r="F12" s="1">
        <v>0</v>
      </c>
      <c r="G12" s="1">
        <v>2.8389782700000001E-2</v>
      </c>
      <c r="H12" s="1">
        <v>0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29</v>
      </c>
      <c r="Q12" s="1">
        <f t="shared" si="0"/>
        <v>16</v>
      </c>
      <c r="R12" s="1">
        <f t="shared" si="1"/>
        <v>13.259941663950977</v>
      </c>
      <c r="S12" s="1">
        <f t="shared" si="2"/>
        <v>24.504997250000002</v>
      </c>
      <c r="T12" s="1">
        <f t="shared" si="3"/>
        <v>1</v>
      </c>
      <c r="U12" s="1">
        <v>99.971610220000002</v>
      </c>
      <c r="V12" s="1">
        <f t="shared" si="4"/>
        <v>75</v>
      </c>
      <c r="W12" s="1">
        <f t="shared" si="5"/>
        <v>25</v>
      </c>
    </row>
    <row r="13" spans="1:23" ht="15.75" customHeight="1">
      <c r="A13" s="1" t="s">
        <v>78</v>
      </c>
      <c r="B13" s="1" t="s">
        <v>74</v>
      </c>
      <c r="C13" s="1">
        <v>18.091999049999998</v>
      </c>
      <c r="D13" s="1">
        <v>80.987998959999999</v>
      </c>
      <c r="E13" s="1">
        <v>99.657545499999998</v>
      </c>
      <c r="F13" s="1">
        <v>0</v>
      </c>
      <c r="G13" s="1">
        <v>0.34245449839999997</v>
      </c>
      <c r="H13" s="1">
        <v>0</v>
      </c>
      <c r="I13" s="1">
        <v>99.756985029999996</v>
      </c>
      <c r="J13" s="1">
        <v>0</v>
      </c>
      <c r="K13" s="1">
        <v>0.2430149677</v>
      </c>
      <c r="L13" s="1">
        <v>0</v>
      </c>
      <c r="M13" s="1">
        <v>99.634201989999994</v>
      </c>
      <c r="N13" s="1">
        <v>0</v>
      </c>
      <c r="O13" s="1">
        <v>0.36579800779999999</v>
      </c>
      <c r="P13" s="1">
        <v>0</v>
      </c>
      <c r="Q13" s="1">
        <f t="shared" si="0"/>
        <v>16</v>
      </c>
      <c r="R13" s="1">
        <f t="shared" si="1"/>
        <v>14.652348002457208</v>
      </c>
      <c r="S13" s="1">
        <f t="shared" si="2"/>
        <v>19.012001040000001</v>
      </c>
      <c r="T13" s="1">
        <f t="shared" si="3"/>
        <v>1</v>
      </c>
      <c r="U13" s="1">
        <v>99.657545499999998</v>
      </c>
      <c r="V13" s="1">
        <f t="shared" si="4"/>
        <v>81</v>
      </c>
      <c r="W13" s="1">
        <f t="shared" si="5"/>
        <v>19</v>
      </c>
    </row>
    <row r="14" spans="1:23" ht="15.75" customHeight="1">
      <c r="A14" s="1" t="s">
        <v>80</v>
      </c>
      <c r="B14" s="1" t="s">
        <v>69</v>
      </c>
      <c r="C14" s="1">
        <v>30.23699951</v>
      </c>
      <c r="D14" s="1">
        <v>48.51499939</v>
      </c>
      <c r="E14" s="1">
        <v>99.864383559999993</v>
      </c>
      <c r="F14" s="1">
        <v>0</v>
      </c>
      <c r="G14" s="1">
        <v>0.13561643840000001</v>
      </c>
      <c r="H14" s="1">
        <v>0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  <c r="P14" s="1" t="s">
        <v>29</v>
      </c>
      <c r="Q14" s="1">
        <f t="shared" si="0"/>
        <v>16</v>
      </c>
      <c r="R14" s="1">
        <f t="shared" si="1"/>
        <v>14.669480127830804</v>
      </c>
      <c r="S14" s="1">
        <f t="shared" si="2"/>
        <v>51.48500061</v>
      </c>
      <c r="T14" s="1">
        <f t="shared" si="3"/>
        <v>1</v>
      </c>
      <c r="U14" s="1">
        <v>99.864383559999993</v>
      </c>
      <c r="V14" s="1">
        <f t="shared" si="4"/>
        <v>49</v>
      </c>
      <c r="W14" s="1">
        <f t="shared" si="5"/>
        <v>51</v>
      </c>
    </row>
    <row r="15" spans="1:23" ht="15.75" customHeight="1">
      <c r="A15" s="1" t="s">
        <v>40</v>
      </c>
      <c r="B15" s="1" t="s">
        <v>69</v>
      </c>
      <c r="C15" s="1">
        <v>33.691001890000003</v>
      </c>
      <c r="D15" s="1">
        <v>100</v>
      </c>
      <c r="E15" s="1">
        <v>100</v>
      </c>
      <c r="F15" s="1">
        <v>0</v>
      </c>
      <c r="G15" s="1">
        <v>0</v>
      </c>
      <c r="H15" s="1">
        <v>0</v>
      </c>
      <c r="I15" s="1" t="s">
        <v>29</v>
      </c>
      <c r="J15" s="1" t="s">
        <v>29</v>
      </c>
      <c r="K15" s="1" t="s">
        <v>29</v>
      </c>
      <c r="L15" s="1" t="s">
        <v>29</v>
      </c>
      <c r="M15" s="1">
        <v>100</v>
      </c>
      <c r="N15" s="1">
        <v>0</v>
      </c>
      <c r="O15" s="1">
        <v>0</v>
      </c>
      <c r="P15" s="1">
        <v>0</v>
      </c>
      <c r="Q15" s="1">
        <f t="shared" si="0"/>
        <v>16</v>
      </c>
      <c r="R15" s="1">
        <f t="shared" si="1"/>
        <v>33.691001890000003</v>
      </c>
      <c r="S15" s="1">
        <f t="shared" si="2"/>
        <v>0</v>
      </c>
      <c r="T15" s="1">
        <f t="shared" si="3"/>
        <v>1</v>
      </c>
      <c r="U15" s="1">
        <v>100</v>
      </c>
      <c r="V15" s="1">
        <f t="shared" si="4"/>
        <v>100</v>
      </c>
      <c r="W15" s="1">
        <f t="shared" si="5"/>
        <v>0</v>
      </c>
    </row>
    <row r="16" spans="1:23" ht="15.75" customHeight="1">
      <c r="A16" s="1" t="s">
        <v>79</v>
      </c>
      <c r="B16" s="1" t="s">
        <v>69</v>
      </c>
      <c r="C16" s="1">
        <v>33.937999730000001</v>
      </c>
      <c r="D16" s="1">
        <v>97.499000550000005</v>
      </c>
      <c r="E16" s="1">
        <v>100</v>
      </c>
      <c r="F16" s="1">
        <v>0</v>
      </c>
      <c r="G16" s="1">
        <v>0</v>
      </c>
      <c r="H16" s="1">
        <v>0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>
        <f t="shared" si="0"/>
        <v>16</v>
      </c>
      <c r="R16" s="1">
        <f t="shared" si="1"/>
        <v>33.089210543411703</v>
      </c>
      <c r="S16" s="1">
        <f t="shared" si="2"/>
        <v>2.5009994499999948</v>
      </c>
      <c r="T16" s="1">
        <f t="shared" si="3"/>
        <v>1</v>
      </c>
      <c r="U16" s="1">
        <v>100</v>
      </c>
      <c r="V16" s="1">
        <f t="shared" si="4"/>
        <v>97</v>
      </c>
      <c r="W16" s="1">
        <f t="shared" si="5"/>
        <v>3</v>
      </c>
    </row>
    <row r="17" spans="1:23" ht="15.75" customHeight="1">
      <c r="A17" s="1" t="s">
        <v>85</v>
      </c>
      <c r="B17" s="1" t="s">
        <v>69</v>
      </c>
      <c r="C17" s="1">
        <v>38.137001040000001</v>
      </c>
      <c r="D17" s="1">
        <v>14.416000370000001</v>
      </c>
      <c r="E17" s="1">
        <v>100</v>
      </c>
      <c r="F17" s="1">
        <v>0</v>
      </c>
      <c r="G17" s="1">
        <v>0</v>
      </c>
      <c r="H17" s="1">
        <v>0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  <c r="Q17" s="1">
        <f t="shared" si="0"/>
        <v>16</v>
      </c>
      <c r="R17" s="1">
        <f t="shared" si="1"/>
        <v>5.4978302110333042</v>
      </c>
      <c r="S17" s="1">
        <f t="shared" si="2"/>
        <v>85.583999629999994</v>
      </c>
      <c r="T17" s="1">
        <f t="shared" si="3"/>
        <v>1</v>
      </c>
      <c r="U17" s="1">
        <v>100</v>
      </c>
      <c r="V17" s="1">
        <f t="shared" si="4"/>
        <v>14</v>
      </c>
      <c r="W17" s="1">
        <f t="shared" si="5"/>
        <v>86</v>
      </c>
    </row>
    <row r="18" spans="1:23" ht="15.75" customHeight="1">
      <c r="A18" s="1" t="s">
        <v>43</v>
      </c>
      <c r="B18" s="1" t="s">
        <v>69</v>
      </c>
      <c r="C18" s="1">
        <v>38.658999999999999</v>
      </c>
      <c r="D18" s="1">
        <v>100</v>
      </c>
      <c r="E18" s="1">
        <v>99.999271390000004</v>
      </c>
      <c r="F18" s="1">
        <v>0</v>
      </c>
      <c r="G18" s="1">
        <v>7.2861055070000001E-4</v>
      </c>
      <c r="H18" s="1">
        <v>0</v>
      </c>
      <c r="I18" s="1" t="s">
        <v>29</v>
      </c>
      <c r="J18" s="1" t="s">
        <v>29</v>
      </c>
      <c r="K18" s="1" t="s">
        <v>29</v>
      </c>
      <c r="L18" s="1" t="s">
        <v>29</v>
      </c>
      <c r="M18" s="1">
        <v>99.999271390000004</v>
      </c>
      <c r="N18" s="1">
        <v>0</v>
      </c>
      <c r="O18" s="1">
        <v>7.2861055070000001E-4</v>
      </c>
      <c r="P18" s="1">
        <v>0</v>
      </c>
      <c r="Q18" s="1">
        <f t="shared" si="0"/>
        <v>16</v>
      </c>
      <c r="R18" s="1">
        <f t="shared" si="1"/>
        <v>38.658999999999999</v>
      </c>
      <c r="S18" s="1">
        <f t="shared" si="2"/>
        <v>0</v>
      </c>
      <c r="T18" s="1">
        <f t="shared" si="3"/>
        <v>1</v>
      </c>
      <c r="U18" s="1">
        <v>99.999271390000004</v>
      </c>
      <c r="V18" s="1">
        <f t="shared" si="4"/>
        <v>100</v>
      </c>
      <c r="W18" s="1">
        <f t="shared" si="5"/>
        <v>0</v>
      </c>
    </row>
    <row r="19" spans="1:23" ht="15.75" customHeight="1">
      <c r="A19" s="1" t="s">
        <v>45</v>
      </c>
      <c r="B19" s="1" t="s">
        <v>69</v>
      </c>
      <c r="C19" s="1">
        <v>39.243999479999999</v>
      </c>
      <c r="D19" s="1">
        <v>100</v>
      </c>
      <c r="E19" s="1">
        <v>100</v>
      </c>
      <c r="F19" s="1">
        <v>0</v>
      </c>
      <c r="G19" s="1">
        <v>0</v>
      </c>
      <c r="H19" s="1">
        <v>0</v>
      </c>
      <c r="I19" s="1" t="s">
        <v>29</v>
      </c>
      <c r="J19" s="1" t="s">
        <v>29</v>
      </c>
      <c r="K19" s="1" t="s">
        <v>29</v>
      </c>
      <c r="L19" s="1" t="s">
        <v>29</v>
      </c>
      <c r="M19" s="1">
        <v>100</v>
      </c>
      <c r="N19" s="1">
        <v>0</v>
      </c>
      <c r="O19" s="1">
        <v>0</v>
      </c>
      <c r="P19" s="1">
        <v>0</v>
      </c>
      <c r="Q19" s="1">
        <f t="shared" si="0"/>
        <v>16</v>
      </c>
      <c r="R19" s="1">
        <f t="shared" si="1"/>
        <v>39.243999479999999</v>
      </c>
      <c r="S19" s="1">
        <f t="shared" si="2"/>
        <v>0</v>
      </c>
      <c r="T19" s="1">
        <f t="shared" si="3"/>
        <v>1</v>
      </c>
      <c r="U19" s="1">
        <v>100</v>
      </c>
      <c r="V19" s="1">
        <f t="shared" si="4"/>
        <v>100</v>
      </c>
      <c r="W19" s="1">
        <f t="shared" si="5"/>
        <v>0</v>
      </c>
    </row>
    <row r="20" spans="1:23" ht="12.5">
      <c r="A20" s="1" t="s">
        <v>89</v>
      </c>
      <c r="B20" s="1" t="s">
        <v>69</v>
      </c>
      <c r="C20" s="1">
        <v>48.865001679999999</v>
      </c>
      <c r="D20" s="1">
        <v>42.397998809999997</v>
      </c>
      <c r="E20" s="1">
        <v>100</v>
      </c>
      <c r="F20" s="1">
        <v>0</v>
      </c>
      <c r="G20" s="1">
        <v>0</v>
      </c>
      <c r="H20" s="1">
        <v>0</v>
      </c>
      <c r="I20" s="1" t="s">
        <v>29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29</v>
      </c>
      <c r="O20" s="1" t="s">
        <v>29</v>
      </c>
      <c r="P20" s="1" t="s">
        <v>29</v>
      </c>
      <c r="Q20" s="1">
        <f t="shared" si="0"/>
        <v>16</v>
      </c>
      <c r="R20" s="1">
        <f t="shared" si="1"/>
        <v>20.717782830792878</v>
      </c>
      <c r="S20" s="1">
        <f t="shared" si="2"/>
        <v>57.602001190000003</v>
      </c>
      <c r="T20" s="1">
        <f t="shared" si="3"/>
        <v>1</v>
      </c>
      <c r="U20" s="1">
        <v>100</v>
      </c>
      <c r="V20" s="1">
        <f t="shared" si="4"/>
        <v>42</v>
      </c>
      <c r="W20" s="1">
        <f t="shared" si="5"/>
        <v>58</v>
      </c>
    </row>
    <row r="21" spans="1:23" ht="12.5">
      <c r="A21" s="1" t="s">
        <v>91</v>
      </c>
      <c r="B21" s="1" t="s">
        <v>74</v>
      </c>
      <c r="C21" s="1">
        <v>55.196998600000001</v>
      </c>
      <c r="D21" s="1">
        <v>87.152999879999996</v>
      </c>
      <c r="E21" s="1">
        <v>99.773771659999994</v>
      </c>
      <c r="F21" s="1">
        <v>0</v>
      </c>
      <c r="G21" s="1">
        <v>0.22622834150000001</v>
      </c>
      <c r="H21" s="1">
        <v>0</v>
      </c>
      <c r="I21" s="1" t="s">
        <v>29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29</v>
      </c>
      <c r="O21" s="1" t="s">
        <v>29</v>
      </c>
      <c r="P21" s="1" t="s">
        <v>29</v>
      </c>
      <c r="Q21" s="1">
        <f t="shared" si="0"/>
        <v>16</v>
      </c>
      <c r="R21" s="1">
        <f t="shared" si="1"/>
        <v>48.105840123621597</v>
      </c>
      <c r="S21" s="1">
        <f t="shared" si="2"/>
        <v>12.847000120000004</v>
      </c>
      <c r="T21" s="1">
        <f t="shared" si="3"/>
        <v>1</v>
      </c>
      <c r="U21" s="1">
        <v>99.773771659999994</v>
      </c>
      <c r="V21" s="1">
        <f t="shared" si="4"/>
        <v>87</v>
      </c>
      <c r="W21" s="1">
        <f t="shared" si="5"/>
        <v>13</v>
      </c>
    </row>
    <row r="22" spans="1:23" ht="12.5">
      <c r="A22" s="1" t="s">
        <v>93</v>
      </c>
      <c r="B22" s="1" t="s">
        <v>69</v>
      </c>
      <c r="C22" s="1">
        <v>56.771999360000002</v>
      </c>
      <c r="D22" s="1">
        <v>87.282005310000002</v>
      </c>
      <c r="E22" s="1">
        <v>100.0000017</v>
      </c>
      <c r="F22" s="1">
        <v>0</v>
      </c>
      <c r="G22" s="1">
        <v>0</v>
      </c>
      <c r="H22" s="1">
        <v>0</v>
      </c>
      <c r="I22" s="1">
        <v>100</v>
      </c>
      <c r="J22" s="1">
        <v>0</v>
      </c>
      <c r="K22" s="1">
        <v>0</v>
      </c>
      <c r="L22" s="1">
        <v>0</v>
      </c>
      <c r="M22" s="1">
        <v>100</v>
      </c>
      <c r="N22" s="1">
        <v>0</v>
      </c>
      <c r="O22" s="1">
        <v>0</v>
      </c>
      <c r="P22" s="1">
        <v>0</v>
      </c>
      <c r="Q22" s="1">
        <f t="shared" si="0"/>
        <v>16</v>
      </c>
      <c r="R22" s="1">
        <f t="shared" si="1"/>
        <v>49.551739495988365</v>
      </c>
      <c r="S22" s="1">
        <f t="shared" si="2"/>
        <v>12.717994689999998</v>
      </c>
      <c r="T22" s="1">
        <f t="shared" si="3"/>
        <v>1</v>
      </c>
      <c r="U22" s="1">
        <v>100</v>
      </c>
      <c r="V22" s="1">
        <f t="shared" si="4"/>
        <v>87</v>
      </c>
      <c r="W22" s="1">
        <f t="shared" si="5"/>
        <v>13</v>
      </c>
    </row>
    <row r="23" spans="1:23" ht="12.5">
      <c r="A23" s="1" t="s">
        <v>90</v>
      </c>
      <c r="B23" s="1" t="s">
        <v>69</v>
      </c>
      <c r="C23" s="1">
        <v>57.556999210000001</v>
      </c>
      <c r="D23" s="1">
        <v>91.797996519999998</v>
      </c>
      <c r="E23" s="1">
        <v>100</v>
      </c>
      <c r="F23" s="1">
        <v>0</v>
      </c>
      <c r="G23" s="1">
        <v>0</v>
      </c>
      <c r="H23" s="1">
        <v>0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>
        <f t="shared" si="0"/>
        <v>16</v>
      </c>
      <c r="R23" s="1">
        <f t="shared" si="1"/>
        <v>52.836172131812226</v>
      </c>
      <c r="S23" s="1">
        <f t="shared" si="2"/>
        <v>8.2020034800000019</v>
      </c>
      <c r="T23" s="1">
        <f t="shared" si="3"/>
        <v>1</v>
      </c>
      <c r="U23" s="1">
        <v>100</v>
      </c>
      <c r="V23" s="1">
        <f t="shared" si="4"/>
        <v>92</v>
      </c>
      <c r="W23" s="1">
        <f t="shared" si="5"/>
        <v>8</v>
      </c>
    </row>
    <row r="24" spans="1:23" ht="12.5">
      <c r="A24" s="1" t="s">
        <v>97</v>
      </c>
      <c r="B24" s="1" t="s">
        <v>74</v>
      </c>
      <c r="C24" s="1">
        <v>59.194000240000001</v>
      </c>
      <c r="D24" s="8">
        <v>77.793991090000006</v>
      </c>
      <c r="E24" s="8">
        <v>88.572046979999996</v>
      </c>
      <c r="F24" s="8">
        <v>11.387979</v>
      </c>
      <c r="G24" s="8">
        <v>3.9974025849999997E-2</v>
      </c>
      <c r="H24" s="8">
        <v>0</v>
      </c>
      <c r="I24" s="8">
        <v>94.429720000000003</v>
      </c>
      <c r="J24" s="8">
        <v>5.3902799999999997</v>
      </c>
      <c r="K24" s="1">
        <v>0.18</v>
      </c>
      <c r="L24" s="8">
        <v>0</v>
      </c>
      <c r="M24" s="8">
        <v>86.9</v>
      </c>
      <c r="N24" s="8">
        <v>13.1</v>
      </c>
      <c r="O24" s="8">
        <v>0</v>
      </c>
      <c r="P24" s="8">
        <v>0</v>
      </c>
      <c r="Q24" s="1">
        <f t="shared" si="0"/>
        <v>16</v>
      </c>
      <c r="R24" s="1">
        <f t="shared" si="1"/>
        <v>46.04937527252018</v>
      </c>
      <c r="S24" s="1">
        <f t="shared" si="2"/>
        <v>22.206008909999994</v>
      </c>
      <c r="T24" s="1">
        <f t="shared" si="3"/>
        <v>1</v>
      </c>
      <c r="U24" s="8">
        <v>88.572046979999996</v>
      </c>
      <c r="V24" s="1">
        <f t="shared" si="4"/>
        <v>78</v>
      </c>
      <c r="W24" s="1">
        <f t="shared" si="5"/>
        <v>22</v>
      </c>
    </row>
    <row r="25" spans="1:23" ht="12.5">
      <c r="A25" s="1" t="s">
        <v>47</v>
      </c>
      <c r="B25" s="1" t="s">
        <v>69</v>
      </c>
      <c r="C25" s="1">
        <v>62.272998809999997</v>
      </c>
      <c r="D25" s="1">
        <v>100</v>
      </c>
      <c r="E25" s="1">
        <v>99.903140019999995</v>
      </c>
      <c r="F25" s="1">
        <v>0</v>
      </c>
      <c r="G25" s="1">
        <v>9.6859982940000006E-2</v>
      </c>
      <c r="H25" s="1">
        <v>0</v>
      </c>
      <c r="I25" s="1" t="s">
        <v>29</v>
      </c>
      <c r="J25" s="1" t="s">
        <v>29</v>
      </c>
      <c r="K25" s="1" t="s">
        <v>29</v>
      </c>
      <c r="L25" s="1" t="s">
        <v>29</v>
      </c>
      <c r="M25" s="1">
        <v>99.903140019999995</v>
      </c>
      <c r="N25" s="1">
        <v>0</v>
      </c>
      <c r="O25" s="1">
        <v>9.6859982940000006E-2</v>
      </c>
      <c r="P25" s="1">
        <v>0</v>
      </c>
      <c r="Q25" s="1">
        <f t="shared" si="0"/>
        <v>16</v>
      </c>
      <c r="R25" s="1">
        <f t="shared" si="1"/>
        <v>62.272998809999997</v>
      </c>
      <c r="S25" s="1">
        <f t="shared" si="2"/>
        <v>0</v>
      </c>
      <c r="T25" s="1">
        <f t="shared" si="3"/>
        <v>1</v>
      </c>
      <c r="U25" s="1">
        <v>99.903140019999995</v>
      </c>
      <c r="V25" s="1">
        <f t="shared" si="4"/>
        <v>100</v>
      </c>
      <c r="W25" s="1">
        <f t="shared" si="5"/>
        <v>0</v>
      </c>
    </row>
    <row r="26" spans="1:23" ht="12.5">
      <c r="A26" s="1" t="s">
        <v>99</v>
      </c>
      <c r="B26" s="1" t="s">
        <v>69</v>
      </c>
      <c r="C26" s="1">
        <v>77.26499939</v>
      </c>
      <c r="D26" s="1">
        <v>87.916000370000006</v>
      </c>
      <c r="E26" s="1">
        <v>100.00000369999999</v>
      </c>
      <c r="F26" s="1">
        <v>0</v>
      </c>
      <c r="G26" s="1">
        <v>0</v>
      </c>
      <c r="H26" s="1">
        <v>0</v>
      </c>
      <c r="I26" s="1">
        <v>100</v>
      </c>
      <c r="J26" s="1">
        <v>0</v>
      </c>
      <c r="K26" s="1">
        <v>0</v>
      </c>
      <c r="L26" s="1">
        <v>0</v>
      </c>
      <c r="M26" s="1">
        <v>100</v>
      </c>
      <c r="N26" s="1">
        <v>0</v>
      </c>
      <c r="O26" s="1">
        <v>0</v>
      </c>
      <c r="P26" s="1">
        <v>0</v>
      </c>
      <c r="Q26" s="1">
        <f t="shared" si="0"/>
        <v>16</v>
      </c>
      <c r="R26" s="1">
        <f t="shared" si="1"/>
        <v>67.928297149592893</v>
      </c>
      <c r="S26" s="1">
        <f t="shared" si="2"/>
        <v>12.083999629999994</v>
      </c>
      <c r="T26" s="1">
        <f t="shared" si="3"/>
        <v>1</v>
      </c>
      <c r="U26" s="1">
        <v>100</v>
      </c>
      <c r="V26" s="1">
        <f t="shared" si="4"/>
        <v>88</v>
      </c>
      <c r="W26" s="1">
        <f t="shared" si="5"/>
        <v>12</v>
      </c>
    </row>
    <row r="27" spans="1:23" ht="12.5">
      <c r="A27" s="1" t="s">
        <v>101</v>
      </c>
      <c r="B27" s="1" t="s">
        <v>69</v>
      </c>
      <c r="C27" s="1">
        <v>85.031997680000003</v>
      </c>
      <c r="D27" s="1">
        <v>52.89800262</v>
      </c>
      <c r="E27" s="1">
        <v>99.075000000000003</v>
      </c>
      <c r="F27" s="1">
        <v>0</v>
      </c>
      <c r="G27" s="1">
        <v>0.92500000000000004</v>
      </c>
      <c r="H27" s="1">
        <v>0</v>
      </c>
      <c r="I27" s="1" t="s">
        <v>29</v>
      </c>
      <c r="J27" s="1" t="s">
        <v>29</v>
      </c>
      <c r="K27" s="1" t="s">
        <v>29</v>
      </c>
      <c r="L27" s="1" t="s">
        <v>29</v>
      </c>
      <c r="M27" s="1" t="s">
        <v>29</v>
      </c>
      <c r="N27" s="1" t="s">
        <v>29</v>
      </c>
      <c r="O27" s="1" t="s">
        <v>29</v>
      </c>
      <c r="P27" s="1" t="s">
        <v>29</v>
      </c>
      <c r="Q27" s="1">
        <f t="shared" si="0"/>
        <v>16</v>
      </c>
      <c r="R27" s="1">
        <f t="shared" si="1"/>
        <v>44.980228360604734</v>
      </c>
      <c r="S27" s="1">
        <f t="shared" si="2"/>
        <v>47.10199738</v>
      </c>
      <c r="T27" s="1">
        <f t="shared" si="3"/>
        <v>1</v>
      </c>
      <c r="U27" s="1">
        <v>99.075000000000003</v>
      </c>
      <c r="V27" s="1">
        <f t="shared" si="4"/>
        <v>53</v>
      </c>
      <c r="W27" s="1">
        <f t="shared" si="5"/>
        <v>47</v>
      </c>
    </row>
    <row r="28" spans="1:23" ht="12.5">
      <c r="A28" s="1" t="s">
        <v>81</v>
      </c>
      <c r="B28" s="1" t="s">
        <v>69</v>
      </c>
      <c r="C28" s="1">
        <v>104.4229965</v>
      </c>
      <c r="D28" s="1">
        <v>95.939002990000006</v>
      </c>
      <c r="E28" s="1">
        <v>98.71826738</v>
      </c>
      <c r="F28" s="1">
        <v>0</v>
      </c>
      <c r="G28" s="1">
        <v>1.281732624</v>
      </c>
      <c r="H28" s="1">
        <v>0</v>
      </c>
      <c r="I28" s="1" t="s">
        <v>29</v>
      </c>
      <c r="J28" s="1" t="s">
        <v>29</v>
      </c>
      <c r="K28" s="1" t="s">
        <v>29</v>
      </c>
      <c r="L28" s="1" t="s">
        <v>29</v>
      </c>
      <c r="M28" s="1" t="s">
        <v>29</v>
      </c>
      <c r="N28" s="1" t="s">
        <v>29</v>
      </c>
      <c r="O28" s="1" t="s">
        <v>29</v>
      </c>
      <c r="P28" s="1" t="s">
        <v>29</v>
      </c>
      <c r="Q28" s="1">
        <f t="shared" si="0"/>
        <v>16</v>
      </c>
      <c r="R28" s="1">
        <f t="shared" si="1"/>
        <v>100.1823817343826</v>
      </c>
      <c r="S28" s="1">
        <f t="shared" si="2"/>
        <v>4.0609970099999941</v>
      </c>
      <c r="T28" s="1">
        <f t="shared" si="3"/>
        <v>1</v>
      </c>
      <c r="U28" s="1">
        <v>98.71826738</v>
      </c>
      <c r="V28" s="1">
        <f t="shared" si="4"/>
        <v>96</v>
      </c>
      <c r="W28" s="1">
        <f t="shared" si="5"/>
        <v>4</v>
      </c>
    </row>
    <row r="29" spans="1:23" ht="12.5">
      <c r="A29" s="1" t="s">
        <v>105</v>
      </c>
      <c r="B29" s="1" t="s">
        <v>74</v>
      </c>
      <c r="C29" s="1">
        <v>105.6969986</v>
      </c>
      <c r="D29" s="1">
        <v>23.098999020000001</v>
      </c>
      <c r="E29" s="1">
        <v>98.731080829999996</v>
      </c>
      <c r="F29" s="1">
        <v>0.88149729619999995</v>
      </c>
      <c r="G29" s="1">
        <v>0.38742187769999997</v>
      </c>
      <c r="H29" s="1">
        <v>0</v>
      </c>
      <c r="I29" s="1">
        <v>98.468078539999993</v>
      </c>
      <c r="J29" s="1">
        <v>1.103159706</v>
      </c>
      <c r="K29" s="1">
        <v>0.42876175509999997</v>
      </c>
      <c r="L29" s="1">
        <v>0</v>
      </c>
      <c r="M29" s="1">
        <v>99.606658190000005</v>
      </c>
      <c r="N29" s="1">
        <v>0.143540536</v>
      </c>
      <c r="O29" s="1">
        <v>0.2498012758</v>
      </c>
      <c r="P29" s="1">
        <v>0</v>
      </c>
      <c r="Q29" s="1">
        <f t="shared" si="0"/>
        <v>16</v>
      </c>
      <c r="R29" s="1">
        <f t="shared" si="1"/>
        <v>24.414948670783414</v>
      </c>
      <c r="S29" s="1">
        <f t="shared" si="2"/>
        <v>76.901000979999992</v>
      </c>
      <c r="T29" s="1">
        <f t="shared" si="3"/>
        <v>1</v>
      </c>
      <c r="U29" s="1">
        <v>98.731080829999996</v>
      </c>
      <c r="V29" s="1">
        <f t="shared" si="4"/>
        <v>23</v>
      </c>
      <c r="W29" s="1">
        <f t="shared" si="5"/>
        <v>77</v>
      </c>
    </row>
    <row r="30" spans="1:23" ht="12.5">
      <c r="A30" s="1" t="s">
        <v>106</v>
      </c>
      <c r="B30" s="1" t="s">
        <v>107</v>
      </c>
      <c r="C30" s="1">
        <v>119.44599909999999</v>
      </c>
      <c r="D30" s="1">
        <v>55.593997960000003</v>
      </c>
      <c r="E30" s="1">
        <v>77.970920849999999</v>
      </c>
      <c r="F30" s="1">
        <v>4.0768996250000002</v>
      </c>
      <c r="G30" s="1">
        <v>17.952179529999999</v>
      </c>
      <c r="H30" s="1">
        <v>0</v>
      </c>
      <c r="I30" s="1">
        <v>60.99418489</v>
      </c>
      <c r="J30" s="1">
        <v>2.0966097989999999</v>
      </c>
      <c r="K30" s="1">
        <v>36.909205319999998</v>
      </c>
      <c r="L30" s="1">
        <v>0</v>
      </c>
      <c r="M30" s="1">
        <v>91.531174849999999</v>
      </c>
      <c r="N30" s="1">
        <v>5.6586664610000001</v>
      </c>
      <c r="O30" s="1">
        <v>2.8101586909999998</v>
      </c>
      <c r="P30" s="1">
        <v>0</v>
      </c>
      <c r="Q30" s="1">
        <f t="shared" si="0"/>
        <v>16</v>
      </c>
      <c r="R30" s="1">
        <f t="shared" si="1"/>
        <v>66.40480630295562</v>
      </c>
      <c r="S30" s="1">
        <f t="shared" si="2"/>
        <v>44.406002039999997</v>
      </c>
      <c r="T30" s="1">
        <f t="shared" si="3"/>
        <v>1</v>
      </c>
      <c r="U30" s="1">
        <v>77.970920849999999</v>
      </c>
      <c r="V30" s="1">
        <f t="shared" si="4"/>
        <v>56</v>
      </c>
      <c r="W30" s="1">
        <f t="shared" si="5"/>
        <v>44</v>
      </c>
    </row>
    <row r="31" spans="1:23" ht="12.5">
      <c r="A31" s="1" t="s">
        <v>83</v>
      </c>
      <c r="B31" s="1" t="s">
        <v>69</v>
      </c>
      <c r="C31" s="1">
        <v>168.78300479999999</v>
      </c>
      <c r="D31" s="1">
        <v>94.938003539999997</v>
      </c>
      <c r="E31" s="1">
        <v>99.6952</v>
      </c>
      <c r="F31" s="1">
        <v>0</v>
      </c>
      <c r="G31" s="1">
        <v>0.30480000000000002</v>
      </c>
      <c r="H31" s="1">
        <v>0</v>
      </c>
      <c r="I31" s="1" t="s">
        <v>29</v>
      </c>
      <c r="J31" s="1" t="s">
        <v>29</v>
      </c>
      <c r="K31" s="1" t="s">
        <v>29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29</v>
      </c>
      <c r="Q31" s="1">
        <f t="shared" si="0"/>
        <v>16</v>
      </c>
      <c r="R31" s="1">
        <f t="shared" si="1"/>
        <v>160.23921507194234</v>
      </c>
      <c r="S31" s="1">
        <f t="shared" si="2"/>
        <v>5.0619964600000031</v>
      </c>
      <c r="T31" s="1">
        <f t="shared" si="3"/>
        <v>1</v>
      </c>
      <c r="U31" s="1">
        <v>99.6952</v>
      </c>
      <c r="V31" s="1">
        <f t="shared" si="4"/>
        <v>95</v>
      </c>
      <c r="W31" s="1">
        <f t="shared" si="5"/>
        <v>5</v>
      </c>
    </row>
    <row r="32" spans="1:23" ht="12.5">
      <c r="A32" s="1" t="s">
        <v>110</v>
      </c>
      <c r="B32" s="1" t="s">
        <v>74</v>
      </c>
      <c r="C32" s="1">
        <v>183.62899780000001</v>
      </c>
      <c r="D32" s="1">
        <v>18.8409996</v>
      </c>
      <c r="E32" s="1">
        <v>96.887844569999999</v>
      </c>
      <c r="F32" s="1">
        <v>1.815652166</v>
      </c>
      <c r="G32" s="1">
        <v>1.296503269</v>
      </c>
      <c r="H32" s="1">
        <v>0</v>
      </c>
      <c r="I32" s="1">
        <v>96.814023829999996</v>
      </c>
      <c r="J32" s="1">
        <v>1.7341522549999999</v>
      </c>
      <c r="K32" s="1">
        <v>1.4518239180000001</v>
      </c>
      <c r="L32" s="1">
        <v>0</v>
      </c>
      <c r="M32" s="1">
        <v>97.205822190000006</v>
      </c>
      <c r="N32" s="1">
        <v>2.166718886</v>
      </c>
      <c r="O32" s="1">
        <v>0.6274589237</v>
      </c>
      <c r="P32" s="1">
        <v>0</v>
      </c>
      <c r="Q32" s="1">
        <f t="shared" si="0"/>
        <v>16</v>
      </c>
      <c r="R32" s="1">
        <f t="shared" si="1"/>
        <v>34.59753874098201</v>
      </c>
      <c r="S32" s="1">
        <f t="shared" si="2"/>
        <v>81.159000399999996</v>
      </c>
      <c r="T32" s="1">
        <f t="shared" si="3"/>
        <v>1</v>
      </c>
      <c r="U32" s="1">
        <v>96.887844569999999</v>
      </c>
      <c r="V32" s="1">
        <f t="shared" si="4"/>
        <v>19</v>
      </c>
      <c r="W32" s="1">
        <f t="shared" si="5"/>
        <v>81</v>
      </c>
    </row>
    <row r="33" spans="1:23" ht="12.5">
      <c r="A33" s="1" t="s">
        <v>112</v>
      </c>
      <c r="B33" s="1" t="s">
        <v>107</v>
      </c>
      <c r="C33" s="1">
        <v>198.4100037</v>
      </c>
      <c r="D33" s="1">
        <v>17.888999940000001</v>
      </c>
      <c r="E33" s="1">
        <v>91.837724550000004</v>
      </c>
      <c r="F33" s="1">
        <v>6.5208999519999997</v>
      </c>
      <c r="G33" s="1">
        <v>1.4186234280000001</v>
      </c>
      <c r="H33" s="1">
        <v>0.22275206789999999</v>
      </c>
      <c r="I33" s="1">
        <v>91.780322870000006</v>
      </c>
      <c r="J33" s="1">
        <v>6.2207033389999999</v>
      </c>
      <c r="K33" s="1">
        <v>1.7276921599999999</v>
      </c>
      <c r="L33" s="1">
        <v>0.2712816327</v>
      </c>
      <c r="M33" s="1">
        <v>92.101190000000003</v>
      </c>
      <c r="N33" s="1">
        <v>7.8988100000000001</v>
      </c>
      <c r="O33" s="1">
        <v>0</v>
      </c>
      <c r="P33" s="1">
        <v>0</v>
      </c>
      <c r="Q33" s="1">
        <f t="shared" si="0"/>
        <v>16</v>
      </c>
      <c r="R33" s="1">
        <f t="shared" si="1"/>
        <v>35.493565442847007</v>
      </c>
      <c r="S33" s="1">
        <f t="shared" si="2"/>
        <v>82.111000059999995</v>
      </c>
      <c r="T33" s="1">
        <f t="shared" si="3"/>
        <v>1</v>
      </c>
      <c r="U33" s="1">
        <v>91.837724550000004</v>
      </c>
      <c r="V33" s="1">
        <f t="shared" si="4"/>
        <v>18</v>
      </c>
      <c r="W33" s="1">
        <f t="shared" si="5"/>
        <v>82</v>
      </c>
    </row>
    <row r="34" spans="1:23" ht="12.5">
      <c r="A34" s="1" t="s">
        <v>114</v>
      </c>
      <c r="B34" s="1" t="s">
        <v>107</v>
      </c>
      <c r="C34" s="1">
        <v>219.16099550000001</v>
      </c>
      <c r="D34" s="1">
        <v>74.354003910000003</v>
      </c>
      <c r="E34" s="1">
        <v>78.22645516</v>
      </c>
      <c r="F34" s="1">
        <v>20.237982980000002</v>
      </c>
      <c r="G34" s="1">
        <v>0.44351992839999999</v>
      </c>
      <c r="H34" s="1">
        <v>1.0920419299999999</v>
      </c>
      <c r="I34" s="1">
        <v>74.300614490000001</v>
      </c>
      <c r="J34" s="1">
        <v>19.711842579999999</v>
      </c>
      <c r="K34" s="1">
        <v>1.7294057039999999</v>
      </c>
      <c r="L34" s="1">
        <v>4.2581372279999998</v>
      </c>
      <c r="M34" s="1">
        <v>79.580542899999998</v>
      </c>
      <c r="N34" s="1">
        <v>20.419457099999999</v>
      </c>
      <c r="O34" s="1">
        <v>0</v>
      </c>
      <c r="P34" s="1">
        <v>0</v>
      </c>
      <c r="Q34" s="1">
        <f t="shared" si="0"/>
        <v>16</v>
      </c>
      <c r="R34" s="1">
        <f t="shared" si="1"/>
        <v>162.95497516326492</v>
      </c>
      <c r="S34" s="1">
        <f t="shared" si="2"/>
        <v>25.645996089999997</v>
      </c>
      <c r="T34" s="1">
        <f t="shared" si="3"/>
        <v>1</v>
      </c>
      <c r="U34" s="1">
        <v>78.22645516</v>
      </c>
      <c r="V34" s="1">
        <f t="shared" si="4"/>
        <v>74</v>
      </c>
      <c r="W34" s="1">
        <f t="shared" si="5"/>
        <v>26</v>
      </c>
    </row>
    <row r="35" spans="1:23" ht="12.5">
      <c r="A35" s="1" t="s">
        <v>115</v>
      </c>
      <c r="B35" s="1" t="s">
        <v>29</v>
      </c>
      <c r="C35" s="1">
        <v>272.81298829999997</v>
      </c>
      <c r="D35" s="1">
        <v>45.750999450000002</v>
      </c>
      <c r="E35" s="1">
        <v>96.371179710000007</v>
      </c>
      <c r="F35" s="1">
        <v>0</v>
      </c>
      <c r="G35" s="1">
        <v>3.6288202950000001</v>
      </c>
      <c r="H35" s="1" t="s">
        <v>29</v>
      </c>
      <c r="I35" s="1" t="s">
        <v>29</v>
      </c>
      <c r="J35" s="1" t="s">
        <v>29</v>
      </c>
      <c r="K35" s="1" t="s">
        <v>29</v>
      </c>
      <c r="L35" s="1" t="s">
        <v>29</v>
      </c>
      <c r="M35" s="1" t="s">
        <v>29</v>
      </c>
      <c r="N35" s="1" t="s">
        <v>29</v>
      </c>
      <c r="O35" s="1" t="s">
        <v>29</v>
      </c>
      <c r="P35" s="1" t="s">
        <v>29</v>
      </c>
      <c r="Q35" s="1">
        <f t="shared" si="0"/>
        <v>16</v>
      </c>
      <c r="R35" s="1">
        <f t="shared" si="1"/>
        <v>124.81466877666156</v>
      </c>
      <c r="S35" s="1">
        <f t="shared" si="2"/>
        <v>54.249000549999998</v>
      </c>
      <c r="T35" s="1">
        <f t="shared" si="3"/>
        <v>1</v>
      </c>
      <c r="U35" s="1">
        <v>96.371179710000007</v>
      </c>
      <c r="V35" s="1">
        <f t="shared" si="4"/>
        <v>46</v>
      </c>
      <c r="W35" s="1">
        <f t="shared" si="5"/>
        <v>54</v>
      </c>
    </row>
    <row r="36" spans="1:23" ht="12.5">
      <c r="A36" s="1" t="s">
        <v>117</v>
      </c>
      <c r="B36" s="1" t="s">
        <v>69</v>
      </c>
      <c r="C36" s="1">
        <v>280.90399170000001</v>
      </c>
      <c r="D36" s="1">
        <v>61.975002289999999</v>
      </c>
      <c r="E36" s="1">
        <v>100</v>
      </c>
      <c r="F36" s="1">
        <v>0</v>
      </c>
      <c r="G36" s="1">
        <v>0</v>
      </c>
      <c r="H36" s="1">
        <v>0</v>
      </c>
      <c r="I36" s="1" t="s">
        <v>29</v>
      </c>
      <c r="J36" s="1" t="s">
        <v>29</v>
      </c>
      <c r="K36" s="1" t="s">
        <v>29</v>
      </c>
      <c r="L36" s="1" t="s">
        <v>29</v>
      </c>
      <c r="M36" s="1" t="s">
        <v>29</v>
      </c>
      <c r="N36" s="1" t="s">
        <v>29</v>
      </c>
      <c r="O36" s="1" t="s">
        <v>29</v>
      </c>
      <c r="P36" s="1" t="s">
        <v>29</v>
      </c>
      <c r="Q36" s="1">
        <f t="shared" si="0"/>
        <v>16</v>
      </c>
      <c r="R36" s="1">
        <f t="shared" si="1"/>
        <v>174.09025528877643</v>
      </c>
      <c r="S36" s="1">
        <f t="shared" si="2"/>
        <v>38.024997710000001</v>
      </c>
      <c r="T36" s="1">
        <f t="shared" si="3"/>
        <v>1</v>
      </c>
      <c r="U36" s="1">
        <v>100</v>
      </c>
      <c r="V36" s="1">
        <f t="shared" si="4"/>
        <v>62</v>
      </c>
      <c r="W36" s="1">
        <f t="shared" si="5"/>
        <v>38</v>
      </c>
    </row>
    <row r="37" spans="1:23" ht="12.5">
      <c r="A37" s="1" t="s">
        <v>120</v>
      </c>
      <c r="B37" s="1" t="s">
        <v>69</v>
      </c>
      <c r="C37" s="1">
        <v>285.4909973</v>
      </c>
      <c r="D37" s="1">
        <v>71.517997739999998</v>
      </c>
      <c r="E37" s="1">
        <v>99.305320570000006</v>
      </c>
      <c r="F37" s="1">
        <v>0</v>
      </c>
      <c r="G37" s="1">
        <v>0.69467942780000003</v>
      </c>
      <c r="H37" s="1">
        <v>0</v>
      </c>
      <c r="I37" s="1" t="s">
        <v>29</v>
      </c>
      <c r="J37" s="1" t="s">
        <v>29</v>
      </c>
      <c r="K37" s="1" t="s">
        <v>29</v>
      </c>
      <c r="L37" s="1" t="s">
        <v>29</v>
      </c>
      <c r="M37" s="1" t="s">
        <v>29</v>
      </c>
      <c r="N37" s="1" t="s">
        <v>29</v>
      </c>
      <c r="O37" s="1" t="s">
        <v>29</v>
      </c>
      <c r="P37" s="1" t="s">
        <v>29</v>
      </c>
      <c r="Q37" s="1">
        <f t="shared" si="0"/>
        <v>16</v>
      </c>
      <c r="R37" s="1">
        <f t="shared" si="1"/>
        <v>204.17744499691744</v>
      </c>
      <c r="S37" s="1">
        <f t="shared" si="2"/>
        <v>28.482002260000002</v>
      </c>
      <c r="T37" s="1">
        <f t="shared" si="3"/>
        <v>1</v>
      </c>
      <c r="U37" s="1">
        <v>99.305320570000006</v>
      </c>
      <c r="V37" s="1">
        <f t="shared" si="4"/>
        <v>72</v>
      </c>
      <c r="W37" s="1">
        <f t="shared" si="5"/>
        <v>28</v>
      </c>
    </row>
    <row r="38" spans="1:23" ht="12.5">
      <c r="A38" s="1" t="s">
        <v>122</v>
      </c>
      <c r="B38" s="1" t="s">
        <v>69</v>
      </c>
      <c r="C38" s="1">
        <v>287.37100220000002</v>
      </c>
      <c r="D38" s="1">
        <v>31.190999980000001</v>
      </c>
      <c r="E38" s="1">
        <v>98.514450420000003</v>
      </c>
      <c r="F38" s="1">
        <v>0.26760057609999999</v>
      </c>
      <c r="G38" s="1">
        <v>1.2179490049999999</v>
      </c>
      <c r="H38" s="1">
        <v>0</v>
      </c>
      <c r="I38" s="1" t="s">
        <v>29</v>
      </c>
      <c r="J38" s="1" t="s">
        <v>29</v>
      </c>
      <c r="K38" s="1" t="s">
        <v>29</v>
      </c>
      <c r="L38" s="1" t="s">
        <v>29</v>
      </c>
      <c r="M38" s="1" t="s">
        <v>29</v>
      </c>
      <c r="N38" s="1" t="s">
        <v>29</v>
      </c>
      <c r="O38" s="1" t="s">
        <v>29</v>
      </c>
      <c r="P38" s="1" t="s">
        <v>29</v>
      </c>
      <c r="Q38" s="1">
        <f t="shared" si="0"/>
        <v>16</v>
      </c>
      <c r="R38" s="1">
        <f t="shared" si="1"/>
        <v>89.633889238727804</v>
      </c>
      <c r="S38" s="1">
        <f t="shared" si="2"/>
        <v>68.809000019999999</v>
      </c>
      <c r="T38" s="1">
        <f t="shared" si="3"/>
        <v>1</v>
      </c>
      <c r="U38" s="1">
        <v>98.514450420000003</v>
      </c>
      <c r="V38" s="1">
        <f t="shared" si="4"/>
        <v>31</v>
      </c>
      <c r="W38" s="1">
        <f t="shared" si="5"/>
        <v>69</v>
      </c>
    </row>
    <row r="39" spans="1:23" ht="12.5">
      <c r="A39" s="1" t="s">
        <v>121</v>
      </c>
      <c r="B39" s="1" t="s">
        <v>29</v>
      </c>
      <c r="C39" s="1">
        <v>298.68200680000001</v>
      </c>
      <c r="D39" s="1">
        <v>85.819999690000003</v>
      </c>
      <c r="E39" s="1">
        <v>93.782216349999999</v>
      </c>
      <c r="F39" s="1">
        <v>0</v>
      </c>
      <c r="G39" s="1">
        <v>6.2177836519999996</v>
      </c>
      <c r="H39" s="1">
        <v>0</v>
      </c>
      <c r="I39" s="1" t="s">
        <v>29</v>
      </c>
      <c r="J39" s="1" t="s">
        <v>29</v>
      </c>
      <c r="K39" s="1" t="s">
        <v>29</v>
      </c>
      <c r="L39" s="1" t="s">
        <v>29</v>
      </c>
      <c r="M39" s="1" t="s">
        <v>29</v>
      </c>
      <c r="N39" s="1" t="s">
        <v>29</v>
      </c>
      <c r="O39" s="1" t="s">
        <v>29</v>
      </c>
      <c r="P39" s="1" t="s">
        <v>29</v>
      </c>
      <c r="Q39" s="1">
        <f t="shared" si="0"/>
        <v>16</v>
      </c>
      <c r="R39" s="1">
        <f t="shared" si="1"/>
        <v>256.32889730984579</v>
      </c>
      <c r="S39" s="1">
        <f t="shared" si="2"/>
        <v>14.180000309999997</v>
      </c>
      <c r="T39" s="1">
        <f t="shared" si="3"/>
        <v>1</v>
      </c>
      <c r="U39" s="1">
        <v>93.782216349999999</v>
      </c>
      <c r="V39" s="1">
        <f t="shared" si="4"/>
        <v>86</v>
      </c>
      <c r="W39" s="1">
        <f t="shared" si="5"/>
        <v>14</v>
      </c>
    </row>
    <row r="40" spans="1:23" ht="12.5">
      <c r="A40" s="1" t="s">
        <v>125</v>
      </c>
      <c r="B40" s="1" t="s">
        <v>107</v>
      </c>
      <c r="C40" s="1">
        <v>307.14999390000003</v>
      </c>
      <c r="D40" s="1">
        <v>25.525001530000001</v>
      </c>
      <c r="E40" s="1">
        <v>91.231190749999996</v>
      </c>
      <c r="F40" s="1">
        <v>1.0623850500000001</v>
      </c>
      <c r="G40" s="1">
        <v>0</v>
      </c>
      <c r="H40" s="1">
        <v>7.706424202</v>
      </c>
      <c r="I40" s="1">
        <v>88.397201229999993</v>
      </c>
      <c r="J40" s="1">
        <v>1.255132675</v>
      </c>
      <c r="K40" s="1">
        <v>0</v>
      </c>
      <c r="L40" s="1">
        <v>10.3476661</v>
      </c>
      <c r="M40" s="1">
        <v>99.5</v>
      </c>
      <c r="N40" s="1">
        <v>0.5</v>
      </c>
      <c r="O40" s="1">
        <v>0</v>
      </c>
      <c r="P40" s="1">
        <v>0</v>
      </c>
      <c r="Q40" s="1">
        <f t="shared" si="0"/>
        <v>16</v>
      </c>
      <c r="R40" s="1">
        <f t="shared" si="1"/>
        <v>78.400040642369916</v>
      </c>
      <c r="S40" s="1">
        <f t="shared" si="2"/>
        <v>74.474998470000003</v>
      </c>
      <c r="T40" s="1">
        <f t="shared" si="3"/>
        <v>1</v>
      </c>
      <c r="U40" s="1">
        <v>91.231190749999996</v>
      </c>
      <c r="V40" s="1">
        <f t="shared" si="4"/>
        <v>26</v>
      </c>
      <c r="W40" s="1">
        <f t="shared" si="5"/>
        <v>74</v>
      </c>
    </row>
    <row r="41" spans="1:23" ht="12.5">
      <c r="A41" s="1" t="s">
        <v>86</v>
      </c>
      <c r="B41" s="1" t="s">
        <v>69</v>
      </c>
      <c r="C41" s="1">
        <v>341.25</v>
      </c>
      <c r="D41" s="1">
        <v>93.897994999999995</v>
      </c>
      <c r="E41" s="1">
        <v>99.999997210000004</v>
      </c>
      <c r="F41" s="1">
        <v>0</v>
      </c>
      <c r="G41" s="1">
        <v>2.7946500150000002E-6</v>
      </c>
      <c r="H41" s="1">
        <v>0</v>
      </c>
      <c r="I41" s="1">
        <v>100</v>
      </c>
      <c r="J41" s="1">
        <v>0</v>
      </c>
      <c r="K41" s="1">
        <v>0</v>
      </c>
      <c r="L41" s="1">
        <v>0</v>
      </c>
      <c r="M41" s="1">
        <v>100</v>
      </c>
      <c r="N41" s="1">
        <v>0</v>
      </c>
      <c r="O41" s="1">
        <v>0</v>
      </c>
      <c r="P41" s="1">
        <v>0</v>
      </c>
      <c r="Q41" s="1">
        <f t="shared" si="0"/>
        <v>16</v>
      </c>
      <c r="R41" s="1">
        <f t="shared" si="1"/>
        <v>320.42690793749995</v>
      </c>
      <c r="S41" s="1">
        <f t="shared" si="2"/>
        <v>6.1020050000000055</v>
      </c>
      <c r="T41" s="1">
        <f t="shared" si="3"/>
        <v>1</v>
      </c>
      <c r="U41" s="1">
        <v>99.999997210000004</v>
      </c>
      <c r="V41" s="1">
        <f t="shared" si="4"/>
        <v>94</v>
      </c>
      <c r="W41" s="1">
        <f t="shared" si="5"/>
        <v>6</v>
      </c>
    </row>
    <row r="42" spans="1:23" ht="12.5">
      <c r="A42" s="1" t="s">
        <v>103</v>
      </c>
      <c r="B42" s="1" t="s">
        <v>29</v>
      </c>
      <c r="C42" s="1">
        <v>375.26501459999997</v>
      </c>
      <c r="D42" s="1">
        <v>89.13999939</v>
      </c>
      <c r="E42" s="1">
        <v>99.841970779999997</v>
      </c>
      <c r="F42" s="1">
        <v>0</v>
      </c>
      <c r="G42" s="1">
        <v>0.15802921580000001</v>
      </c>
      <c r="H42" s="1">
        <v>0</v>
      </c>
      <c r="I42" s="1" t="s">
        <v>29</v>
      </c>
      <c r="J42" s="1" t="s">
        <v>29</v>
      </c>
      <c r="K42" s="1" t="s">
        <v>29</v>
      </c>
      <c r="L42" s="1" t="s">
        <v>29</v>
      </c>
      <c r="M42" s="1" t="s">
        <v>29</v>
      </c>
      <c r="N42" s="1" t="s">
        <v>29</v>
      </c>
      <c r="O42" s="1" t="s">
        <v>29</v>
      </c>
      <c r="P42" s="1" t="s">
        <v>29</v>
      </c>
      <c r="Q42" s="1">
        <f t="shared" si="0"/>
        <v>16</v>
      </c>
      <c r="R42" s="1">
        <f t="shared" si="1"/>
        <v>334.5112317253234</v>
      </c>
      <c r="S42" s="1">
        <f t="shared" si="2"/>
        <v>10.86000061</v>
      </c>
      <c r="T42" s="1">
        <f t="shared" si="3"/>
        <v>1</v>
      </c>
      <c r="U42" s="1">
        <v>99.841970779999997</v>
      </c>
      <c r="V42" s="1">
        <f t="shared" si="4"/>
        <v>89</v>
      </c>
      <c r="W42" s="1">
        <f t="shared" si="5"/>
        <v>11</v>
      </c>
    </row>
    <row r="43" spans="1:23" ht="12.5">
      <c r="A43" s="1" t="s">
        <v>130</v>
      </c>
      <c r="B43" s="1" t="s">
        <v>74</v>
      </c>
      <c r="C43" s="1">
        <v>397.62100220000002</v>
      </c>
      <c r="D43" s="1">
        <v>46.025001529999997</v>
      </c>
      <c r="E43" s="1">
        <v>98.401954630000006</v>
      </c>
      <c r="F43" s="1">
        <v>1.249110629</v>
      </c>
      <c r="G43" s="1">
        <v>0.3489347411</v>
      </c>
      <c r="H43" s="1">
        <v>0</v>
      </c>
      <c r="I43" s="1">
        <v>97.995207579999999</v>
      </c>
      <c r="J43" s="1">
        <v>1.358317682</v>
      </c>
      <c r="K43" s="1">
        <v>0.64647473929999999</v>
      </c>
      <c r="L43" s="1">
        <v>0</v>
      </c>
      <c r="M43" s="1">
        <v>98.878960000000006</v>
      </c>
      <c r="N43" s="1">
        <v>1.12104</v>
      </c>
      <c r="O43" s="1">
        <v>0</v>
      </c>
      <c r="P43" s="1">
        <v>0</v>
      </c>
      <c r="Q43" s="1">
        <f t="shared" si="0"/>
        <v>16</v>
      </c>
      <c r="R43" s="1">
        <f t="shared" si="1"/>
        <v>183.00507234615134</v>
      </c>
      <c r="S43" s="1">
        <f t="shared" si="2"/>
        <v>53.974998470000003</v>
      </c>
      <c r="T43" s="1">
        <f t="shared" si="3"/>
        <v>1</v>
      </c>
      <c r="U43" s="1">
        <v>98.401954630000006</v>
      </c>
      <c r="V43" s="1">
        <f t="shared" si="4"/>
        <v>46</v>
      </c>
      <c r="W43" s="1">
        <f t="shared" si="5"/>
        <v>54</v>
      </c>
    </row>
    <row r="44" spans="1:23" ht="12.5">
      <c r="A44" s="1" t="s">
        <v>75</v>
      </c>
      <c r="B44" s="1" t="s">
        <v>29</v>
      </c>
      <c r="C44" s="1">
        <v>400.12701420000002</v>
      </c>
      <c r="D44" s="1">
        <v>98.498992920000006</v>
      </c>
      <c r="E44" s="1">
        <v>99.803126039999995</v>
      </c>
      <c r="F44" s="1">
        <v>0</v>
      </c>
      <c r="G44" s="1">
        <v>0.19687396130000001</v>
      </c>
      <c r="H44" s="1">
        <v>0</v>
      </c>
      <c r="I44" s="1" t="s">
        <v>29</v>
      </c>
      <c r="J44" s="1" t="s">
        <v>29</v>
      </c>
      <c r="K44" s="1" t="s">
        <v>29</v>
      </c>
      <c r="L44" s="1" t="s">
        <v>29</v>
      </c>
      <c r="M44" s="1" t="s">
        <v>29</v>
      </c>
      <c r="N44" s="1" t="s">
        <v>29</v>
      </c>
      <c r="O44" s="1" t="s">
        <v>29</v>
      </c>
      <c r="P44" s="1" t="s">
        <v>29</v>
      </c>
      <c r="Q44" s="1">
        <f t="shared" si="0"/>
        <v>16</v>
      </c>
      <c r="R44" s="1">
        <f t="shared" si="1"/>
        <v>394.12107938786545</v>
      </c>
      <c r="S44" s="1">
        <f t="shared" si="2"/>
        <v>1.5010070799999937</v>
      </c>
      <c r="T44" s="1">
        <f t="shared" si="3"/>
        <v>1</v>
      </c>
      <c r="U44" s="1">
        <v>99.803126039999995</v>
      </c>
      <c r="V44" s="1">
        <f t="shared" si="4"/>
        <v>98</v>
      </c>
      <c r="W44" s="1">
        <f t="shared" si="5"/>
        <v>2</v>
      </c>
    </row>
    <row r="45" spans="1:23" ht="12.5">
      <c r="A45" s="1" t="s">
        <v>133</v>
      </c>
      <c r="B45" s="1" t="s">
        <v>69</v>
      </c>
      <c r="C45" s="1">
        <v>437.48300169999999</v>
      </c>
      <c r="D45" s="1">
        <v>78.250007629999999</v>
      </c>
      <c r="E45" s="1">
        <v>99.900036799999995</v>
      </c>
      <c r="F45" s="1">
        <v>0</v>
      </c>
      <c r="G45" s="1">
        <v>9.9963200360000004E-2</v>
      </c>
      <c r="H45" s="1">
        <v>0</v>
      </c>
      <c r="I45" s="1" t="s">
        <v>29</v>
      </c>
      <c r="J45" s="1" t="s">
        <v>29</v>
      </c>
      <c r="K45" s="1" t="s">
        <v>29</v>
      </c>
      <c r="L45" s="1" t="s">
        <v>29</v>
      </c>
      <c r="M45" s="1">
        <v>99.65</v>
      </c>
      <c r="N45" s="1">
        <v>0</v>
      </c>
      <c r="O45" s="1">
        <v>0.35</v>
      </c>
      <c r="P45" s="1">
        <v>0</v>
      </c>
      <c r="Q45" s="1">
        <f t="shared" si="0"/>
        <v>16</v>
      </c>
      <c r="R45" s="1">
        <f t="shared" si="1"/>
        <v>342.330482210203</v>
      </c>
      <c r="S45" s="1">
        <f t="shared" si="2"/>
        <v>21.749992370000001</v>
      </c>
      <c r="T45" s="1">
        <f t="shared" si="3"/>
        <v>1</v>
      </c>
      <c r="U45" s="1">
        <v>99.900036799999995</v>
      </c>
      <c r="V45" s="1">
        <f t="shared" si="4"/>
        <v>78</v>
      </c>
      <c r="W45" s="1">
        <f t="shared" si="5"/>
        <v>22</v>
      </c>
    </row>
    <row r="46" spans="1:23" ht="12.5">
      <c r="A46" s="1" t="s">
        <v>84</v>
      </c>
      <c r="B46" s="1" t="s">
        <v>69</v>
      </c>
      <c r="C46" s="1">
        <v>441.53900149999998</v>
      </c>
      <c r="D46" s="1">
        <v>94.744003300000003</v>
      </c>
      <c r="E46" s="1">
        <v>100.0000004</v>
      </c>
      <c r="F46" s="1">
        <v>0</v>
      </c>
      <c r="G46" s="1">
        <v>0</v>
      </c>
      <c r="H46" s="1">
        <v>0</v>
      </c>
      <c r="I46" s="1">
        <v>100</v>
      </c>
      <c r="J46" s="1">
        <v>0</v>
      </c>
      <c r="K46" s="1">
        <v>0</v>
      </c>
      <c r="L46" s="1">
        <v>0</v>
      </c>
      <c r="M46" s="1">
        <v>100</v>
      </c>
      <c r="N46" s="1">
        <v>0</v>
      </c>
      <c r="O46" s="1">
        <v>0</v>
      </c>
      <c r="P46" s="1">
        <v>0</v>
      </c>
      <c r="Q46" s="1">
        <f t="shared" si="0"/>
        <v>16</v>
      </c>
      <c r="R46" s="1">
        <f t="shared" si="1"/>
        <v>418.33172615194707</v>
      </c>
      <c r="S46" s="1">
        <f t="shared" si="2"/>
        <v>5.2559966999999972</v>
      </c>
      <c r="T46" s="1">
        <f t="shared" si="3"/>
        <v>1</v>
      </c>
      <c r="U46" s="1">
        <v>100</v>
      </c>
      <c r="V46" s="1">
        <f t="shared" si="4"/>
        <v>95</v>
      </c>
      <c r="W46" s="1">
        <f t="shared" si="5"/>
        <v>5</v>
      </c>
    </row>
    <row r="47" spans="1:23" ht="12.5">
      <c r="A47" s="1" t="s">
        <v>135</v>
      </c>
      <c r="B47" s="1" t="s">
        <v>74</v>
      </c>
      <c r="C47" s="1">
        <v>540.54199219999998</v>
      </c>
      <c r="D47" s="1">
        <v>40.668998719999998</v>
      </c>
      <c r="E47" s="1">
        <v>99.544438600000007</v>
      </c>
      <c r="F47" s="1">
        <v>4.8050691299999997E-2</v>
      </c>
      <c r="G47" s="1">
        <v>0.40751070499999997</v>
      </c>
      <c r="H47" s="1">
        <v>0</v>
      </c>
      <c r="I47" s="1">
        <v>99.919012499999994</v>
      </c>
      <c r="J47" s="1">
        <v>8.0987500000000004E-2</v>
      </c>
      <c r="K47" s="1">
        <v>0</v>
      </c>
      <c r="L47" s="1">
        <v>0</v>
      </c>
      <c r="M47" s="1">
        <v>98.997988930000005</v>
      </c>
      <c r="N47" s="1">
        <v>0</v>
      </c>
      <c r="O47" s="1">
        <v>1.0020110689999999</v>
      </c>
      <c r="P47" s="1">
        <v>0</v>
      </c>
      <c r="Q47" s="1">
        <f t="shared" si="0"/>
        <v>16</v>
      </c>
      <c r="R47" s="1">
        <f t="shared" si="1"/>
        <v>219.83301588888048</v>
      </c>
      <c r="S47" s="1">
        <f t="shared" si="2"/>
        <v>59.331001280000002</v>
      </c>
      <c r="T47" s="1">
        <f t="shared" si="3"/>
        <v>1</v>
      </c>
      <c r="U47" s="1">
        <v>99.544438600000007</v>
      </c>
      <c r="V47" s="1">
        <f t="shared" si="4"/>
        <v>41</v>
      </c>
      <c r="W47" s="1">
        <f t="shared" si="5"/>
        <v>59</v>
      </c>
    </row>
    <row r="48" spans="1:23" ht="12.5">
      <c r="A48" s="1" t="s">
        <v>137</v>
      </c>
      <c r="B48" s="1" t="s">
        <v>107</v>
      </c>
      <c r="C48" s="1">
        <v>555.98797609999997</v>
      </c>
      <c r="D48" s="1">
        <v>66.652000430000001</v>
      </c>
      <c r="E48" s="1">
        <v>88.769606420000002</v>
      </c>
      <c r="F48" s="1">
        <v>7.9041508460000003</v>
      </c>
      <c r="G48" s="1">
        <v>3.2091477159999999</v>
      </c>
      <c r="H48" s="1">
        <v>0.1170950144</v>
      </c>
      <c r="I48" s="1">
        <v>80.114525439999994</v>
      </c>
      <c r="J48" s="1">
        <v>9.9111270220000005</v>
      </c>
      <c r="K48" s="1">
        <v>9.6232170030000006</v>
      </c>
      <c r="L48" s="1">
        <v>0.35113053970000002</v>
      </c>
      <c r="M48" s="1">
        <v>93.1</v>
      </c>
      <c r="N48" s="1">
        <v>6.9</v>
      </c>
      <c r="O48" s="1">
        <v>0</v>
      </c>
      <c r="P48" s="1">
        <v>0</v>
      </c>
      <c r="Q48" s="1">
        <f t="shared" si="0"/>
        <v>16</v>
      </c>
      <c r="R48" s="1">
        <f t="shared" si="1"/>
        <v>370.57710822092031</v>
      </c>
      <c r="S48" s="1">
        <f t="shared" si="2"/>
        <v>33.347999569999999</v>
      </c>
      <c r="T48" s="1">
        <f t="shared" si="3"/>
        <v>1</v>
      </c>
      <c r="U48" s="1">
        <v>88.769606420000002</v>
      </c>
      <c r="V48" s="1">
        <f t="shared" si="4"/>
        <v>67</v>
      </c>
      <c r="W48" s="1">
        <f t="shared" si="5"/>
        <v>33</v>
      </c>
    </row>
    <row r="49" spans="1:23" ht="12.5">
      <c r="A49" s="1" t="s">
        <v>139</v>
      </c>
      <c r="B49" s="1" t="s">
        <v>74</v>
      </c>
      <c r="C49" s="1">
        <v>586.63397220000002</v>
      </c>
      <c r="D49" s="1">
        <v>66.149002080000002</v>
      </c>
      <c r="E49" s="1">
        <v>97.989631669999994</v>
      </c>
      <c r="F49" s="1">
        <v>1.0672469410000001</v>
      </c>
      <c r="G49" s="1">
        <v>0.37933650730000001</v>
      </c>
      <c r="H49" s="1">
        <v>0.56378488400000004</v>
      </c>
      <c r="I49" s="1">
        <v>96.574412629999998</v>
      </c>
      <c r="J49" s="1">
        <v>1.6002958599999999</v>
      </c>
      <c r="K49" s="1">
        <v>0.1598017947</v>
      </c>
      <c r="L49" s="1">
        <v>1.6654897200000001</v>
      </c>
      <c r="M49" s="1">
        <v>98.713853869999994</v>
      </c>
      <c r="N49" s="1">
        <v>0.79446523710000005</v>
      </c>
      <c r="O49" s="1">
        <v>0.49168089250000002</v>
      </c>
      <c r="P49" s="1">
        <v>0</v>
      </c>
      <c r="Q49" s="1">
        <f t="shared" si="0"/>
        <v>16</v>
      </c>
      <c r="R49" s="1">
        <f t="shared" si="1"/>
        <v>388.05251847256466</v>
      </c>
      <c r="S49" s="1">
        <f t="shared" si="2"/>
        <v>33.850997919999998</v>
      </c>
      <c r="T49" s="1">
        <f t="shared" si="3"/>
        <v>1</v>
      </c>
      <c r="U49" s="1">
        <v>97.989631669999994</v>
      </c>
      <c r="V49" s="1">
        <f t="shared" si="4"/>
        <v>66</v>
      </c>
      <c r="W49" s="1">
        <f t="shared" si="5"/>
        <v>34</v>
      </c>
    </row>
    <row r="50" spans="1:23" ht="12.5">
      <c r="A50" s="1" t="s">
        <v>96</v>
      </c>
      <c r="B50" s="1" t="s">
        <v>69</v>
      </c>
      <c r="C50" s="1">
        <v>625.97601320000001</v>
      </c>
      <c r="D50" s="1">
        <v>91.452995299999998</v>
      </c>
      <c r="E50" s="1">
        <v>99.879932539999999</v>
      </c>
      <c r="F50" s="1">
        <v>0</v>
      </c>
      <c r="G50" s="1">
        <v>0.1200674649</v>
      </c>
      <c r="H50" s="1">
        <v>0</v>
      </c>
      <c r="I50" s="1">
        <v>98.595238100000003</v>
      </c>
      <c r="J50" s="1">
        <v>0</v>
      </c>
      <c r="K50" s="1">
        <v>1.404761905</v>
      </c>
      <c r="L50" s="1">
        <v>0</v>
      </c>
      <c r="M50" s="1">
        <v>100</v>
      </c>
      <c r="N50" s="1">
        <v>0</v>
      </c>
      <c r="O50" s="1">
        <v>0</v>
      </c>
      <c r="P50" s="1">
        <v>0</v>
      </c>
      <c r="Q50" s="1">
        <f t="shared" si="0"/>
        <v>16</v>
      </c>
      <c r="R50" s="1">
        <f t="shared" si="1"/>
        <v>572.47381393092337</v>
      </c>
      <c r="S50" s="1">
        <f t="shared" si="2"/>
        <v>8.5470047000000022</v>
      </c>
      <c r="T50" s="1">
        <f t="shared" si="3"/>
        <v>1</v>
      </c>
      <c r="U50" s="1">
        <v>99.879932539999999</v>
      </c>
      <c r="V50" s="1">
        <f t="shared" si="4"/>
        <v>91</v>
      </c>
      <c r="W50" s="1">
        <f t="shared" si="5"/>
        <v>9</v>
      </c>
    </row>
    <row r="51" spans="1:23" ht="12.5">
      <c r="A51" s="1" t="s">
        <v>142</v>
      </c>
      <c r="B51" s="1" t="s">
        <v>74</v>
      </c>
      <c r="C51" s="1">
        <v>628.06201169999997</v>
      </c>
      <c r="D51" s="1">
        <v>67.488006589999998</v>
      </c>
      <c r="E51" s="1">
        <v>98.856916519999999</v>
      </c>
      <c r="F51" s="1">
        <v>0.54547882039999995</v>
      </c>
      <c r="G51" s="1">
        <v>0.59231201099999997</v>
      </c>
      <c r="H51" s="1">
        <v>5.2926508940000002E-3</v>
      </c>
      <c r="I51" s="1">
        <v>98.161887539999995</v>
      </c>
      <c r="J51" s="1">
        <v>0</v>
      </c>
      <c r="K51" s="1">
        <v>1.821833386</v>
      </c>
      <c r="L51" s="1">
        <v>1.6279069770000001E-2</v>
      </c>
      <c r="M51" s="1">
        <v>99.191739589999997</v>
      </c>
      <c r="N51" s="1">
        <v>0.80826041280000005</v>
      </c>
      <c r="O51" s="1">
        <v>0</v>
      </c>
      <c r="P51" s="1">
        <v>0</v>
      </c>
      <c r="Q51" s="1">
        <f t="shared" si="0"/>
        <v>16</v>
      </c>
      <c r="R51" s="1">
        <f t="shared" si="1"/>
        <v>423.8665318453825</v>
      </c>
      <c r="S51" s="1">
        <f t="shared" si="2"/>
        <v>32.511993410000002</v>
      </c>
      <c r="T51" s="1">
        <f t="shared" si="3"/>
        <v>1</v>
      </c>
      <c r="U51" s="1">
        <v>98.856916519999999</v>
      </c>
      <c r="V51" s="1">
        <f t="shared" si="4"/>
        <v>67</v>
      </c>
      <c r="W51" s="1">
        <f t="shared" si="5"/>
        <v>33</v>
      </c>
    </row>
    <row r="52" spans="1:23" ht="12.5">
      <c r="A52" s="1" t="s">
        <v>54</v>
      </c>
      <c r="B52" s="1" t="s">
        <v>69</v>
      </c>
      <c r="C52" s="1">
        <v>649.34198000000004</v>
      </c>
      <c r="D52" s="1">
        <v>100</v>
      </c>
      <c r="E52" s="1">
        <v>100</v>
      </c>
      <c r="F52" s="1">
        <v>0</v>
      </c>
      <c r="G52" s="1">
        <v>0</v>
      </c>
      <c r="H52" s="1">
        <v>0</v>
      </c>
      <c r="I52" s="1" t="s">
        <v>29</v>
      </c>
      <c r="J52" s="1" t="s">
        <v>29</v>
      </c>
      <c r="K52" s="1" t="s">
        <v>29</v>
      </c>
      <c r="L52" s="1" t="s">
        <v>29</v>
      </c>
      <c r="M52" s="1">
        <v>100</v>
      </c>
      <c r="N52" s="1">
        <v>0</v>
      </c>
      <c r="O52" s="1">
        <v>0</v>
      </c>
      <c r="P52" s="1">
        <v>0</v>
      </c>
      <c r="Q52" s="1">
        <f t="shared" si="0"/>
        <v>16</v>
      </c>
      <c r="R52" s="1">
        <f t="shared" si="1"/>
        <v>649.34198000000004</v>
      </c>
      <c r="S52" s="1">
        <f t="shared" si="2"/>
        <v>0</v>
      </c>
      <c r="T52" s="1">
        <f t="shared" si="3"/>
        <v>1</v>
      </c>
      <c r="U52" s="1">
        <v>100</v>
      </c>
      <c r="V52" s="1">
        <f t="shared" si="4"/>
        <v>100</v>
      </c>
      <c r="W52" s="1">
        <f t="shared" si="5"/>
        <v>0</v>
      </c>
    </row>
    <row r="53" spans="1:23" ht="12.5">
      <c r="A53" s="1" t="s">
        <v>146</v>
      </c>
      <c r="B53" s="1" t="s">
        <v>107</v>
      </c>
      <c r="C53" s="1">
        <v>686.87799070000005</v>
      </c>
      <c r="D53" s="1">
        <v>24.670000080000001</v>
      </c>
      <c r="E53" s="1">
        <v>67.301025539999998</v>
      </c>
      <c r="F53" s="1">
        <v>5.79547831</v>
      </c>
      <c r="G53" s="1">
        <v>21.267843129999999</v>
      </c>
      <c r="H53" s="1">
        <v>5.6356530249999999</v>
      </c>
      <c r="I53" s="1">
        <v>59.40526749</v>
      </c>
      <c r="J53" s="1">
        <v>6.5285236490000003</v>
      </c>
      <c r="K53" s="1">
        <v>26.955911</v>
      </c>
      <c r="L53" s="1">
        <v>7.1102978569999999</v>
      </c>
      <c r="M53" s="1">
        <v>91.410776889999994</v>
      </c>
      <c r="N53" s="1">
        <v>3.5571204249999999</v>
      </c>
      <c r="O53" s="1">
        <v>3.8992861369999998</v>
      </c>
      <c r="P53" s="1">
        <v>1.1328165530000001</v>
      </c>
      <c r="Q53" s="1">
        <f t="shared" si="0"/>
        <v>16</v>
      </c>
      <c r="R53" s="1">
        <f t="shared" si="1"/>
        <v>169.45280085519241</v>
      </c>
      <c r="S53" s="1">
        <f t="shared" si="2"/>
        <v>75.329999920000006</v>
      </c>
      <c r="T53" s="1">
        <f t="shared" si="3"/>
        <v>1</v>
      </c>
      <c r="U53" s="1">
        <v>67.301025539999998</v>
      </c>
      <c r="V53" s="1">
        <f t="shared" si="4"/>
        <v>25</v>
      </c>
      <c r="W53" s="1">
        <f t="shared" si="5"/>
        <v>75</v>
      </c>
    </row>
    <row r="54" spans="1:23" ht="12.5">
      <c r="A54" s="1" t="s">
        <v>148</v>
      </c>
      <c r="B54" s="1" t="s">
        <v>107</v>
      </c>
      <c r="C54" s="1">
        <v>771.61199950000002</v>
      </c>
      <c r="D54" s="1">
        <v>42.31599808</v>
      </c>
      <c r="E54" s="1">
        <v>97.313222629999999</v>
      </c>
      <c r="F54" s="1">
        <v>2.4607126070000001</v>
      </c>
      <c r="G54" s="1">
        <v>0.17642421829999999</v>
      </c>
      <c r="H54" s="1">
        <v>4.9640541420000003E-2</v>
      </c>
      <c r="I54" s="1">
        <v>96.731193649999994</v>
      </c>
      <c r="J54" s="1">
        <v>3.2688063509999998</v>
      </c>
      <c r="K54" s="1">
        <v>0</v>
      </c>
      <c r="L54" s="1">
        <v>0</v>
      </c>
      <c r="M54" s="1">
        <v>98.106628490000006</v>
      </c>
      <c r="N54" s="1">
        <v>1.3591415</v>
      </c>
      <c r="O54" s="1">
        <v>0.41692084750000002</v>
      </c>
      <c r="P54" s="1">
        <v>0.1173091586</v>
      </c>
      <c r="Q54" s="1">
        <f t="shared" si="0"/>
        <v>16</v>
      </c>
      <c r="R54" s="1">
        <f t="shared" si="1"/>
        <v>326.51531889346961</v>
      </c>
      <c r="S54" s="1">
        <f t="shared" si="2"/>
        <v>57.68400192</v>
      </c>
      <c r="T54" s="1">
        <f t="shared" si="3"/>
        <v>1</v>
      </c>
      <c r="U54" s="1">
        <v>97.313222629999999</v>
      </c>
      <c r="V54" s="1">
        <f t="shared" si="4"/>
        <v>42</v>
      </c>
      <c r="W54" s="1">
        <f t="shared" si="5"/>
        <v>58</v>
      </c>
    </row>
    <row r="55" spans="1:23" ht="12.5">
      <c r="A55" s="1" t="s">
        <v>149</v>
      </c>
      <c r="B55" s="1" t="s">
        <v>74</v>
      </c>
      <c r="C55" s="1">
        <v>786.55902100000003</v>
      </c>
      <c r="D55" s="1">
        <v>26.7859993</v>
      </c>
      <c r="E55" s="1">
        <v>95.554806850000006</v>
      </c>
      <c r="F55" s="1">
        <v>1.205244408</v>
      </c>
      <c r="G55" s="1">
        <v>1.143069849</v>
      </c>
      <c r="H55" s="1">
        <v>2.0968788969999999</v>
      </c>
      <c r="I55" s="1">
        <v>93.928490499999995</v>
      </c>
      <c r="J55" s="1">
        <v>1.6461938620000001</v>
      </c>
      <c r="K55" s="1">
        <v>1.5612748329999999</v>
      </c>
      <c r="L55" s="1">
        <v>2.864040809</v>
      </c>
      <c r="M55" s="1">
        <v>100</v>
      </c>
      <c r="N55" s="1">
        <v>0</v>
      </c>
      <c r="O55" s="1">
        <v>0</v>
      </c>
      <c r="P55" s="1">
        <v>0</v>
      </c>
      <c r="Q55" s="1">
        <f t="shared" si="0"/>
        <v>16</v>
      </c>
      <c r="R55" s="1">
        <f t="shared" si="1"/>
        <v>210.68769385914686</v>
      </c>
      <c r="S55" s="1">
        <f t="shared" si="2"/>
        <v>73.2140007</v>
      </c>
      <c r="T55" s="1">
        <f t="shared" si="3"/>
        <v>1</v>
      </c>
      <c r="U55" s="1">
        <v>95.554806850000006</v>
      </c>
      <c r="V55" s="1">
        <f t="shared" si="4"/>
        <v>27</v>
      </c>
      <c r="W55" s="1">
        <f t="shared" si="5"/>
        <v>73</v>
      </c>
    </row>
    <row r="56" spans="1:23" ht="12.5">
      <c r="A56" s="1" t="s">
        <v>60</v>
      </c>
      <c r="B56" s="1" t="s">
        <v>29</v>
      </c>
      <c r="C56" s="1">
        <v>895.30798340000001</v>
      </c>
      <c r="D56" s="1">
        <v>99.659004210000006</v>
      </c>
      <c r="E56" s="1">
        <v>100</v>
      </c>
      <c r="F56" s="1">
        <v>0</v>
      </c>
      <c r="G56" s="1">
        <v>0</v>
      </c>
      <c r="H56" s="1">
        <v>0</v>
      </c>
      <c r="I56" s="1" t="s">
        <v>29</v>
      </c>
      <c r="J56" s="1" t="s">
        <v>29</v>
      </c>
      <c r="K56" s="1" t="s">
        <v>29</v>
      </c>
      <c r="L56" s="1" t="s">
        <v>29</v>
      </c>
      <c r="M56" s="1" t="s">
        <v>29</v>
      </c>
      <c r="N56" s="1" t="s">
        <v>29</v>
      </c>
      <c r="O56" s="1" t="s">
        <v>29</v>
      </c>
      <c r="P56" s="1" t="s">
        <v>29</v>
      </c>
      <c r="Q56" s="1">
        <f t="shared" si="0"/>
        <v>16</v>
      </c>
      <c r="R56" s="1">
        <f t="shared" si="1"/>
        <v>892.25502086907215</v>
      </c>
      <c r="S56" s="1">
        <f t="shared" si="2"/>
        <v>0.3409957899999938</v>
      </c>
      <c r="T56" s="1">
        <f t="shared" si="3"/>
        <v>1</v>
      </c>
      <c r="U56" s="1">
        <v>100</v>
      </c>
      <c r="V56" s="1">
        <f t="shared" si="4"/>
        <v>100</v>
      </c>
      <c r="W56" s="1">
        <f t="shared" si="5"/>
        <v>0</v>
      </c>
    </row>
    <row r="57" spans="1:23" ht="12.5">
      <c r="A57" s="1" t="s">
        <v>151</v>
      </c>
      <c r="B57" s="1" t="s">
        <v>74</v>
      </c>
      <c r="C57" s="1">
        <v>896.44396970000003</v>
      </c>
      <c r="D57" s="1">
        <v>57.247005459999997</v>
      </c>
      <c r="E57" s="1">
        <v>94.30106524</v>
      </c>
      <c r="F57" s="1">
        <v>0</v>
      </c>
      <c r="G57" s="1">
        <v>3.3186027660000001</v>
      </c>
      <c r="H57" s="1">
        <v>2.380331999</v>
      </c>
      <c r="I57" s="1">
        <v>89.088024050000001</v>
      </c>
      <c r="J57" s="1">
        <v>0</v>
      </c>
      <c r="K57" s="1">
        <v>5.7598979379999999</v>
      </c>
      <c r="L57" s="1">
        <v>5.1520780119999996</v>
      </c>
      <c r="M57" s="1">
        <v>98.194244060000003</v>
      </c>
      <c r="N57" s="1">
        <v>0</v>
      </c>
      <c r="O57" s="1">
        <v>1.495409344</v>
      </c>
      <c r="P57" s="1">
        <v>0.31034659219999999</v>
      </c>
      <c r="Q57" s="1">
        <f t="shared" si="0"/>
        <v>16</v>
      </c>
      <c r="R57" s="1">
        <f t="shared" si="1"/>
        <v>513.18732827999975</v>
      </c>
      <c r="S57" s="1">
        <f t="shared" si="2"/>
        <v>42.752994540000003</v>
      </c>
      <c r="T57" s="1">
        <f t="shared" si="3"/>
        <v>1</v>
      </c>
      <c r="U57" s="1">
        <v>94.30106524</v>
      </c>
      <c r="V57" s="1">
        <f t="shared" si="4"/>
        <v>57</v>
      </c>
      <c r="W57" s="1">
        <f t="shared" si="5"/>
        <v>43</v>
      </c>
    </row>
    <row r="58" spans="1:23" ht="12.5">
      <c r="A58" s="1" t="s">
        <v>152</v>
      </c>
      <c r="B58" s="1" t="s">
        <v>107</v>
      </c>
      <c r="C58" s="1">
        <v>988.00201419999996</v>
      </c>
      <c r="D58" s="1">
        <v>78.061996460000003</v>
      </c>
      <c r="E58" s="1">
        <v>76.049920209999996</v>
      </c>
      <c r="F58" s="1">
        <v>14.7574817</v>
      </c>
      <c r="G58" s="1">
        <v>7.0158760510000002</v>
      </c>
      <c r="H58" s="1">
        <v>2.1767220379999999</v>
      </c>
      <c r="I58" s="1">
        <v>47.280732929999999</v>
      </c>
      <c r="J58" s="1">
        <v>12.061610140000001</v>
      </c>
      <c r="K58" s="1">
        <v>30.735504679999998</v>
      </c>
      <c r="L58" s="1">
        <v>9.9221522489999998</v>
      </c>
      <c r="M58" s="1">
        <v>84.135014929999997</v>
      </c>
      <c r="N58" s="1">
        <v>15.51511107</v>
      </c>
      <c r="O58" s="1">
        <v>0.34987400289999998</v>
      </c>
      <c r="P58" s="1">
        <v>0</v>
      </c>
      <c r="Q58" s="1">
        <f t="shared" si="0"/>
        <v>16</v>
      </c>
      <c r="R58" s="1">
        <f t="shared" si="1"/>
        <v>771.25409734953269</v>
      </c>
      <c r="S58" s="1">
        <f t="shared" si="2"/>
        <v>21.938003539999997</v>
      </c>
      <c r="T58" s="1">
        <f t="shared" si="3"/>
        <v>1</v>
      </c>
      <c r="U58" s="1">
        <v>76.049920209999996</v>
      </c>
      <c r="V58" s="1">
        <f t="shared" si="4"/>
        <v>78</v>
      </c>
      <c r="W58" s="1">
        <f t="shared" si="5"/>
        <v>22</v>
      </c>
    </row>
    <row r="59" spans="1:23" ht="12.5">
      <c r="A59" s="1" t="s">
        <v>154</v>
      </c>
      <c r="B59" s="1" t="s">
        <v>107</v>
      </c>
      <c r="C59" s="1">
        <v>1160.1639399999999</v>
      </c>
      <c r="D59" s="1">
        <v>24.17100143</v>
      </c>
      <c r="E59" s="1">
        <v>70.753070949999994</v>
      </c>
      <c r="F59" s="1">
        <v>9.5070671630000003</v>
      </c>
      <c r="G59" s="1">
        <v>9.8355679309999999</v>
      </c>
      <c r="H59" s="1">
        <v>9.9042939590000003</v>
      </c>
      <c r="I59" s="1">
        <v>62.466448739999997</v>
      </c>
      <c r="J59" s="1">
        <v>12.29969513</v>
      </c>
      <c r="K59" s="1">
        <v>12.45046093</v>
      </c>
      <c r="L59" s="1">
        <v>12.78339519</v>
      </c>
      <c r="M59" s="1">
        <v>96.749763049999999</v>
      </c>
      <c r="N59" s="1">
        <v>0.74606447310000001</v>
      </c>
      <c r="O59" s="1">
        <v>1.6321642439999999</v>
      </c>
      <c r="P59" s="1">
        <v>0.8720082294</v>
      </c>
      <c r="Q59" s="1">
        <f t="shared" si="0"/>
        <v>16</v>
      </c>
      <c r="R59" s="1">
        <f t="shared" si="1"/>
        <v>280.42324252774432</v>
      </c>
      <c r="S59" s="1">
        <f t="shared" si="2"/>
        <v>75.828998569999996</v>
      </c>
      <c r="T59" s="1">
        <f t="shared" si="3"/>
        <v>2</v>
      </c>
      <c r="U59" s="1">
        <v>70.753070949999994</v>
      </c>
      <c r="V59" s="1">
        <f t="shared" si="4"/>
        <v>24</v>
      </c>
      <c r="W59" s="1">
        <f t="shared" si="5"/>
        <v>76</v>
      </c>
    </row>
    <row r="60" spans="1:23" ht="12.5">
      <c r="A60" s="1" t="s">
        <v>156</v>
      </c>
      <c r="B60" s="1" t="s">
        <v>69</v>
      </c>
      <c r="C60" s="1">
        <v>1207.360962</v>
      </c>
      <c r="D60" s="1">
        <v>66.820999150000006</v>
      </c>
      <c r="E60" s="1">
        <v>99.765173180000005</v>
      </c>
      <c r="F60" s="1">
        <v>0</v>
      </c>
      <c r="G60" s="1">
        <v>0.2348268167</v>
      </c>
      <c r="H60" s="1">
        <v>0</v>
      </c>
      <c r="I60" s="1">
        <v>99.845761719999999</v>
      </c>
      <c r="J60" s="1">
        <v>0</v>
      </c>
      <c r="K60" s="1">
        <v>0.1542382836</v>
      </c>
      <c r="L60" s="1">
        <v>0</v>
      </c>
      <c r="M60" s="1">
        <v>99.725158120000003</v>
      </c>
      <c r="N60" s="1">
        <v>0</v>
      </c>
      <c r="O60" s="1">
        <v>0.27484188250000002</v>
      </c>
      <c r="P60" s="1">
        <v>0</v>
      </c>
      <c r="Q60" s="1">
        <f t="shared" si="0"/>
        <v>16</v>
      </c>
      <c r="R60" s="1">
        <f t="shared" si="1"/>
        <v>806.77065815545188</v>
      </c>
      <c r="S60" s="1">
        <f t="shared" si="2"/>
        <v>33.179000849999994</v>
      </c>
      <c r="T60" s="1">
        <f t="shared" si="3"/>
        <v>2</v>
      </c>
      <c r="U60" s="1">
        <v>99.765173180000005</v>
      </c>
      <c r="V60" s="1">
        <f t="shared" si="4"/>
        <v>67</v>
      </c>
      <c r="W60" s="1">
        <f t="shared" si="5"/>
        <v>33</v>
      </c>
    </row>
    <row r="61" spans="1:23" ht="12.5">
      <c r="A61" s="1" t="s">
        <v>158</v>
      </c>
      <c r="B61" s="1" t="s">
        <v>74</v>
      </c>
      <c r="C61" s="1">
        <v>1271.7669679999999</v>
      </c>
      <c r="D61" s="1">
        <v>40.759998320000001</v>
      </c>
      <c r="E61" s="1">
        <v>99.866254699999999</v>
      </c>
      <c r="F61" s="1">
        <v>0</v>
      </c>
      <c r="G61" s="1">
        <v>0.13374530139999999</v>
      </c>
      <c r="H61" s="1">
        <v>0</v>
      </c>
      <c r="I61" s="1">
        <v>99.827682339999996</v>
      </c>
      <c r="J61" s="1">
        <v>0</v>
      </c>
      <c r="K61" s="1">
        <v>0.17231766179999999</v>
      </c>
      <c r="L61" s="1">
        <v>0</v>
      </c>
      <c r="M61" s="1">
        <v>99.922315220000002</v>
      </c>
      <c r="N61" s="1">
        <v>0</v>
      </c>
      <c r="O61" s="1">
        <v>7.7684781189999996E-2</v>
      </c>
      <c r="P61" s="1">
        <v>0</v>
      </c>
      <c r="Q61" s="1">
        <f t="shared" si="0"/>
        <v>16</v>
      </c>
      <c r="R61" s="1">
        <f t="shared" si="1"/>
        <v>518.37219479111491</v>
      </c>
      <c r="S61" s="1">
        <f t="shared" si="2"/>
        <v>59.240001679999999</v>
      </c>
      <c r="T61" s="1">
        <f t="shared" si="3"/>
        <v>2</v>
      </c>
      <c r="U61" s="1">
        <v>99.866254699999999</v>
      </c>
      <c r="V61" s="1">
        <f t="shared" si="4"/>
        <v>41</v>
      </c>
      <c r="W61" s="1">
        <f t="shared" si="5"/>
        <v>59</v>
      </c>
    </row>
    <row r="62" spans="1:23" ht="12.5">
      <c r="A62" s="1" t="s">
        <v>160</v>
      </c>
      <c r="B62" s="1" t="s">
        <v>107</v>
      </c>
      <c r="C62" s="1">
        <v>1318.4420170000001</v>
      </c>
      <c r="D62" s="1">
        <v>31.31999969</v>
      </c>
      <c r="E62" s="1">
        <v>85.495601199999996</v>
      </c>
      <c r="F62" s="1">
        <v>1.88586597</v>
      </c>
      <c r="G62" s="1">
        <v>8.3600293969999999</v>
      </c>
      <c r="H62" s="1">
        <v>4.2585034329999996</v>
      </c>
      <c r="I62" s="1">
        <v>80.48779562</v>
      </c>
      <c r="J62" s="1">
        <v>2.0493646750000001</v>
      </c>
      <c r="K62" s="1">
        <v>11.26233968</v>
      </c>
      <c r="L62" s="1">
        <v>6.2005000179999996</v>
      </c>
      <c r="M62" s="1">
        <v>96.476957920000004</v>
      </c>
      <c r="N62" s="1">
        <v>1.527338152</v>
      </c>
      <c r="O62" s="1">
        <v>1.995703929</v>
      </c>
      <c r="P62" s="1">
        <v>0</v>
      </c>
      <c r="Q62" s="1">
        <f t="shared" si="0"/>
        <v>16</v>
      </c>
      <c r="R62" s="1">
        <f t="shared" si="1"/>
        <v>412.93603563722979</v>
      </c>
      <c r="S62" s="1">
        <f t="shared" si="2"/>
        <v>68.680000309999997</v>
      </c>
      <c r="T62" s="1">
        <f t="shared" si="3"/>
        <v>2</v>
      </c>
      <c r="U62" s="1">
        <v>85.495601199999996</v>
      </c>
      <c r="V62" s="1">
        <f t="shared" si="4"/>
        <v>31</v>
      </c>
      <c r="W62" s="1">
        <f t="shared" si="5"/>
        <v>69</v>
      </c>
    </row>
    <row r="63" spans="1:23" ht="12.5">
      <c r="A63" s="1" t="s">
        <v>163</v>
      </c>
      <c r="B63" s="1" t="s">
        <v>69</v>
      </c>
      <c r="C63" s="1">
        <v>1326.5389399999999</v>
      </c>
      <c r="D63" s="1">
        <v>69.229003910000003</v>
      </c>
      <c r="E63" s="1">
        <v>99.59078178</v>
      </c>
      <c r="F63" s="1">
        <v>0</v>
      </c>
      <c r="G63" s="1">
        <v>0.40921822320000001</v>
      </c>
      <c r="H63" s="1">
        <v>0</v>
      </c>
      <c r="I63" s="1" t="s">
        <v>29</v>
      </c>
      <c r="J63" s="1" t="s">
        <v>29</v>
      </c>
      <c r="K63" s="1" t="s">
        <v>29</v>
      </c>
      <c r="L63" s="1" t="s">
        <v>29</v>
      </c>
      <c r="M63" s="1">
        <v>99.98545421</v>
      </c>
      <c r="N63" s="1">
        <v>0</v>
      </c>
      <c r="O63" s="1">
        <v>1.454579307E-2</v>
      </c>
      <c r="P63" s="1">
        <v>0</v>
      </c>
      <c r="Q63" s="1">
        <f t="shared" si="0"/>
        <v>16</v>
      </c>
      <c r="R63" s="1">
        <f t="shared" si="1"/>
        <v>918.34969464027245</v>
      </c>
      <c r="S63" s="1">
        <f t="shared" si="2"/>
        <v>30.770996089999997</v>
      </c>
      <c r="T63" s="1">
        <f t="shared" si="3"/>
        <v>2</v>
      </c>
      <c r="U63" s="1">
        <v>99.59078178</v>
      </c>
      <c r="V63" s="1">
        <f t="shared" si="4"/>
        <v>69</v>
      </c>
      <c r="W63" s="1">
        <f t="shared" si="5"/>
        <v>31</v>
      </c>
    </row>
    <row r="64" spans="1:23" ht="12.5">
      <c r="A64" s="1" t="s">
        <v>165</v>
      </c>
      <c r="B64" s="1" t="s">
        <v>69</v>
      </c>
      <c r="C64" s="1">
        <v>1399.490967</v>
      </c>
      <c r="D64" s="1">
        <v>53.2140007</v>
      </c>
      <c r="E64" s="1">
        <v>98.875170769999997</v>
      </c>
      <c r="F64" s="1">
        <v>1.1248292310000001</v>
      </c>
      <c r="G64" s="1">
        <v>0</v>
      </c>
      <c r="H64" s="1">
        <v>0</v>
      </c>
      <c r="I64" s="1" t="s">
        <v>29</v>
      </c>
      <c r="J64" s="1" t="s">
        <v>29</v>
      </c>
      <c r="K64" s="1" t="s">
        <v>29</v>
      </c>
      <c r="L64" s="1" t="s">
        <v>29</v>
      </c>
      <c r="M64" s="1" t="s">
        <v>29</v>
      </c>
      <c r="N64" s="1" t="s">
        <v>29</v>
      </c>
      <c r="O64" s="1" t="s">
        <v>29</v>
      </c>
      <c r="P64" s="1" t="s">
        <v>29</v>
      </c>
      <c r="Q64" s="1">
        <f t="shared" si="0"/>
        <v>16</v>
      </c>
      <c r="R64" s="1">
        <f t="shared" si="1"/>
        <v>744.72513297581668</v>
      </c>
      <c r="S64" s="1">
        <f t="shared" si="2"/>
        <v>46.7859993</v>
      </c>
      <c r="T64" s="1">
        <f t="shared" si="3"/>
        <v>2</v>
      </c>
      <c r="U64" s="1">
        <v>98.875170769999997</v>
      </c>
      <c r="V64" s="1">
        <f t="shared" si="4"/>
        <v>53</v>
      </c>
      <c r="W64" s="1">
        <f t="shared" si="5"/>
        <v>47</v>
      </c>
    </row>
    <row r="65" spans="1:23" ht="12.5">
      <c r="A65" s="1" t="s">
        <v>100</v>
      </c>
      <c r="B65" s="1" t="s">
        <v>69</v>
      </c>
      <c r="C65" s="1">
        <v>1701.5830080000001</v>
      </c>
      <c r="D65" s="1">
        <v>89.506004329999996</v>
      </c>
      <c r="E65" s="1">
        <v>100</v>
      </c>
      <c r="F65" s="1">
        <v>0</v>
      </c>
      <c r="G65" s="1">
        <v>0</v>
      </c>
      <c r="H65" s="1">
        <v>0</v>
      </c>
      <c r="I65" s="1" t="s">
        <v>29</v>
      </c>
      <c r="J65" s="1" t="s">
        <v>29</v>
      </c>
      <c r="K65" s="1" t="s">
        <v>29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29</v>
      </c>
      <c r="Q65" s="1">
        <f t="shared" si="0"/>
        <v>16</v>
      </c>
      <c r="R65" s="1">
        <f t="shared" si="1"/>
        <v>1523.0189608190242</v>
      </c>
      <c r="S65" s="1">
        <f t="shared" si="2"/>
        <v>10.493995670000004</v>
      </c>
      <c r="T65" s="1">
        <f t="shared" si="3"/>
        <v>2</v>
      </c>
      <c r="U65" s="1">
        <v>100</v>
      </c>
      <c r="V65" s="1">
        <f t="shared" si="4"/>
        <v>90</v>
      </c>
      <c r="W65" s="1">
        <f t="shared" si="5"/>
        <v>10</v>
      </c>
    </row>
    <row r="66" spans="1:23" ht="12.5">
      <c r="A66" s="1" t="s">
        <v>167</v>
      </c>
      <c r="B66" s="1" t="s">
        <v>69</v>
      </c>
      <c r="C66" s="1">
        <v>1886.2020259999999</v>
      </c>
      <c r="D66" s="1">
        <v>68.315002440000001</v>
      </c>
      <c r="E66" s="1">
        <v>98.782601150000005</v>
      </c>
      <c r="F66" s="1">
        <v>0.68230074240000005</v>
      </c>
      <c r="G66" s="1">
        <v>0.53509810369999999</v>
      </c>
      <c r="H66" s="1">
        <v>0</v>
      </c>
      <c r="I66" s="1">
        <v>98.579223139999996</v>
      </c>
      <c r="J66" s="1">
        <v>0</v>
      </c>
      <c r="K66" s="1">
        <v>1.4207768599999999</v>
      </c>
      <c r="L66" s="1">
        <v>0</v>
      </c>
      <c r="M66" s="1">
        <v>98.876924689999996</v>
      </c>
      <c r="N66" s="1">
        <v>0.99875681510000003</v>
      </c>
      <c r="O66" s="1">
        <v>0.1243184908</v>
      </c>
      <c r="P66" s="1">
        <v>0</v>
      </c>
      <c r="Q66" s="1">
        <f t="shared" si="0"/>
        <v>16</v>
      </c>
      <c r="R66" s="1">
        <f t="shared" si="1"/>
        <v>1288.5589600852295</v>
      </c>
      <c r="S66" s="1">
        <f t="shared" si="2"/>
        <v>31.684997559999999</v>
      </c>
      <c r="T66" s="1">
        <f t="shared" si="3"/>
        <v>2</v>
      </c>
      <c r="U66" s="1">
        <v>98.782601150000005</v>
      </c>
      <c r="V66" s="1">
        <f t="shared" si="4"/>
        <v>68</v>
      </c>
      <c r="W66" s="1">
        <f t="shared" si="5"/>
        <v>32</v>
      </c>
    </row>
    <row r="67" spans="1:23" ht="12.5">
      <c r="A67" s="1" t="s">
        <v>169</v>
      </c>
      <c r="B67" s="1" t="s">
        <v>170</v>
      </c>
      <c r="C67" s="1">
        <v>1967.998047</v>
      </c>
      <c r="D67" s="1">
        <v>44.195999149999999</v>
      </c>
      <c r="E67" s="1">
        <v>59.016912210000001</v>
      </c>
      <c r="F67" s="1">
        <v>14.03457137</v>
      </c>
      <c r="G67" s="1">
        <v>26.6263769</v>
      </c>
      <c r="H67" s="1">
        <v>0.3221395192</v>
      </c>
      <c r="I67" s="1">
        <v>49.831905300000003</v>
      </c>
      <c r="J67" s="1">
        <v>9.2857730259999993</v>
      </c>
      <c r="K67" s="1">
        <v>40.316451290000003</v>
      </c>
      <c r="L67" s="1">
        <v>0.56587038450000005</v>
      </c>
      <c r="M67" s="1">
        <v>70.614347910000006</v>
      </c>
      <c r="N67" s="1">
        <v>20.03063358</v>
      </c>
      <c r="O67" s="1">
        <v>9.3406252839999997</v>
      </c>
      <c r="P67" s="1">
        <v>1.4393226929999999E-2</v>
      </c>
      <c r="Q67" s="1">
        <f t="shared" si="0"/>
        <v>16</v>
      </c>
      <c r="R67" s="1">
        <f t="shared" si="1"/>
        <v>869.77640012413656</v>
      </c>
      <c r="S67" s="1">
        <f t="shared" si="2"/>
        <v>55.804000850000001</v>
      </c>
      <c r="T67" s="1">
        <f t="shared" si="3"/>
        <v>2</v>
      </c>
      <c r="U67" s="1">
        <v>59.016912210000001</v>
      </c>
      <c r="V67" s="1">
        <f t="shared" si="4"/>
        <v>44</v>
      </c>
      <c r="W67" s="1">
        <f t="shared" si="5"/>
        <v>56</v>
      </c>
    </row>
    <row r="68" spans="1:23" ht="12.5">
      <c r="A68" s="1" t="s">
        <v>171</v>
      </c>
      <c r="B68" s="1" t="s">
        <v>69</v>
      </c>
      <c r="C68" s="1">
        <v>2078.931885</v>
      </c>
      <c r="D68" s="1">
        <v>55.118003850000001</v>
      </c>
      <c r="E68" s="1">
        <v>99.5</v>
      </c>
      <c r="F68" s="1">
        <v>0</v>
      </c>
      <c r="G68" s="1">
        <v>0.5</v>
      </c>
      <c r="H68" s="1">
        <v>0</v>
      </c>
      <c r="I68" s="1" t="s">
        <v>29</v>
      </c>
      <c r="J68" s="1" t="s">
        <v>29</v>
      </c>
      <c r="K68" s="1" t="s">
        <v>29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29</v>
      </c>
      <c r="Q68" s="1">
        <f t="shared" si="0"/>
        <v>16</v>
      </c>
      <c r="R68" s="1">
        <f t="shared" si="1"/>
        <v>1145.8657564131775</v>
      </c>
      <c r="S68" s="1">
        <f t="shared" si="2"/>
        <v>44.881996149999999</v>
      </c>
      <c r="T68" s="1">
        <f t="shared" si="3"/>
        <v>3</v>
      </c>
      <c r="U68" s="1">
        <v>99.5</v>
      </c>
      <c r="V68" s="1">
        <f t="shared" si="4"/>
        <v>55</v>
      </c>
      <c r="W68" s="1">
        <f t="shared" si="5"/>
        <v>45</v>
      </c>
    </row>
    <row r="69" spans="1:23" ht="12.5">
      <c r="A69" s="1" t="s">
        <v>174</v>
      </c>
      <c r="B69" s="1" t="s">
        <v>74</v>
      </c>
      <c r="C69" s="1">
        <v>2083.3798830000001</v>
      </c>
      <c r="D69" s="1">
        <v>58.481998439999998</v>
      </c>
      <c r="E69" s="1">
        <v>97.742815789999995</v>
      </c>
      <c r="F69" s="1">
        <v>1.6349941400000001</v>
      </c>
      <c r="G69" s="1">
        <v>0.57422847619999995</v>
      </c>
      <c r="H69" s="1">
        <v>4.796159706E-2</v>
      </c>
      <c r="I69" s="1">
        <v>97.468714570000003</v>
      </c>
      <c r="J69" s="1">
        <v>1.505202232</v>
      </c>
      <c r="K69" s="1">
        <v>0.91056319819999998</v>
      </c>
      <c r="L69" s="1">
        <v>0.11552</v>
      </c>
      <c r="M69" s="1">
        <v>97.937402989999995</v>
      </c>
      <c r="N69" s="1">
        <v>1.7271369539999999</v>
      </c>
      <c r="O69" s="1">
        <v>0.33546005629999998</v>
      </c>
      <c r="P69" s="1">
        <v>0</v>
      </c>
      <c r="Q69" s="1">
        <f t="shared" si="0"/>
        <v>16</v>
      </c>
      <c r="R69" s="1">
        <f t="shared" si="1"/>
        <v>1218.4021906753337</v>
      </c>
      <c r="S69" s="1">
        <f t="shared" si="2"/>
        <v>41.518001560000002</v>
      </c>
      <c r="T69" s="1">
        <f t="shared" si="3"/>
        <v>3</v>
      </c>
      <c r="U69" s="1">
        <v>97.742815789999995</v>
      </c>
      <c r="V69" s="1">
        <f t="shared" si="4"/>
        <v>58</v>
      </c>
      <c r="W69" s="1">
        <f t="shared" si="5"/>
        <v>42</v>
      </c>
    </row>
    <row r="70" spans="1:23" ht="12.5">
      <c r="A70" s="1" t="s">
        <v>176</v>
      </c>
      <c r="B70" s="1" t="s">
        <v>107</v>
      </c>
      <c r="C70" s="1">
        <v>2142.251953</v>
      </c>
      <c r="D70" s="1">
        <v>29.027999879999999</v>
      </c>
      <c r="E70" s="1">
        <v>72.176039270000004</v>
      </c>
      <c r="F70" s="1">
        <v>10.40592597</v>
      </c>
      <c r="G70" s="1">
        <v>12.21725464</v>
      </c>
      <c r="H70" s="1">
        <v>5.2007801159999998</v>
      </c>
      <c r="I70" s="1">
        <v>63.650354819999997</v>
      </c>
      <c r="J70" s="1">
        <v>13.55843013</v>
      </c>
      <c r="K70" s="1">
        <v>15.73132479</v>
      </c>
      <c r="L70" s="1">
        <v>7.0598902539999999</v>
      </c>
      <c r="M70" s="1">
        <v>93.020908550000001</v>
      </c>
      <c r="N70" s="1">
        <v>2.698211997</v>
      </c>
      <c r="O70" s="1">
        <v>3.625530038</v>
      </c>
      <c r="P70" s="1">
        <v>0.65534941999999996</v>
      </c>
      <c r="Q70" s="1">
        <f t="shared" si="0"/>
        <v>16</v>
      </c>
      <c r="R70" s="1">
        <f t="shared" si="1"/>
        <v>621.85289434613765</v>
      </c>
      <c r="S70" s="1">
        <f t="shared" si="2"/>
        <v>70.972000120000004</v>
      </c>
      <c r="T70" s="1">
        <f t="shared" si="3"/>
        <v>3</v>
      </c>
      <c r="U70" s="1">
        <v>72.176039270000004</v>
      </c>
      <c r="V70" s="1">
        <f t="shared" si="4"/>
        <v>29</v>
      </c>
      <c r="W70" s="1">
        <f t="shared" si="5"/>
        <v>71</v>
      </c>
    </row>
    <row r="71" spans="1:23" ht="12.5">
      <c r="A71" s="1" t="s">
        <v>102</v>
      </c>
      <c r="B71" s="1" t="s">
        <v>74</v>
      </c>
      <c r="C71" s="1">
        <v>2225.7280270000001</v>
      </c>
      <c r="D71" s="1">
        <v>90.092002870000002</v>
      </c>
      <c r="E71" s="1">
        <v>85.341930599999998</v>
      </c>
      <c r="F71" s="1">
        <v>7.7352631030000003</v>
      </c>
      <c r="G71" s="1">
        <v>6.9228083570000001</v>
      </c>
      <c r="H71" s="1" t="s">
        <v>29</v>
      </c>
      <c r="I71" s="1">
        <v>44.745889009999999</v>
      </c>
      <c r="J71" s="1">
        <v>10.511148589999999</v>
      </c>
      <c r="K71" s="1">
        <v>44.742962400000003</v>
      </c>
      <c r="L71" s="1" t="s">
        <v>29</v>
      </c>
      <c r="M71" s="1">
        <v>89.806539169999994</v>
      </c>
      <c r="N71" s="1">
        <v>7.4299807600000003</v>
      </c>
      <c r="O71" s="1">
        <v>2.7634800720000001</v>
      </c>
      <c r="P71" s="1" t="s">
        <v>29</v>
      </c>
      <c r="Q71" s="1">
        <f t="shared" si="0"/>
        <v>16</v>
      </c>
      <c r="R71" s="1">
        <f t="shared" si="1"/>
        <v>2005.2029579632344</v>
      </c>
      <c r="S71" s="1">
        <f t="shared" si="2"/>
        <v>9.9079971299999983</v>
      </c>
      <c r="T71" s="1">
        <f t="shared" si="3"/>
        <v>3</v>
      </c>
      <c r="U71" s="1">
        <v>85.341930599999998</v>
      </c>
      <c r="V71" s="1">
        <f t="shared" si="4"/>
        <v>90</v>
      </c>
      <c r="W71" s="1">
        <f t="shared" si="5"/>
        <v>10</v>
      </c>
    </row>
    <row r="72" spans="1:23" ht="12.5">
      <c r="A72" s="1" t="s">
        <v>178</v>
      </c>
      <c r="B72" s="1" t="s">
        <v>74</v>
      </c>
      <c r="C72" s="1">
        <v>2351.625</v>
      </c>
      <c r="D72" s="1">
        <v>70.876998900000004</v>
      </c>
      <c r="E72" s="1">
        <v>92.213563070000006</v>
      </c>
      <c r="F72" s="1">
        <v>4.7230389700000002</v>
      </c>
      <c r="G72" s="1">
        <v>1.7325264760000001</v>
      </c>
      <c r="H72" s="1">
        <v>1.330871481</v>
      </c>
      <c r="I72" s="1">
        <v>79.04372386</v>
      </c>
      <c r="J72" s="1">
        <v>15.154947180000001</v>
      </c>
      <c r="K72" s="1">
        <v>1.5961191560000001</v>
      </c>
      <c r="L72" s="1">
        <v>4.2052098100000004</v>
      </c>
      <c r="M72" s="1">
        <v>97.624980579999999</v>
      </c>
      <c r="N72" s="1">
        <v>0.43662003220000001</v>
      </c>
      <c r="O72" s="1">
        <v>1.788579159</v>
      </c>
      <c r="P72" s="1">
        <v>0.14982022810000001</v>
      </c>
      <c r="Q72" s="1">
        <f t="shared" si="0"/>
        <v>16</v>
      </c>
      <c r="R72" s="1">
        <f t="shared" si="1"/>
        <v>1666.7612253821251</v>
      </c>
      <c r="S72" s="1">
        <f t="shared" si="2"/>
        <v>29.123001099999996</v>
      </c>
      <c r="T72" s="1">
        <f t="shared" si="3"/>
        <v>3</v>
      </c>
      <c r="U72" s="1">
        <v>92.213563070000006</v>
      </c>
      <c r="V72" s="1">
        <f t="shared" si="4"/>
        <v>71</v>
      </c>
      <c r="W72" s="1">
        <f t="shared" si="5"/>
        <v>29</v>
      </c>
    </row>
    <row r="73" spans="1:23" ht="12.5">
      <c r="A73" s="1" t="s">
        <v>180</v>
      </c>
      <c r="B73" s="1" t="s">
        <v>170</v>
      </c>
      <c r="C73" s="1">
        <v>2416.6640630000002</v>
      </c>
      <c r="D73" s="1">
        <v>62.581996920000002</v>
      </c>
      <c r="E73" s="1">
        <v>80.940407140000005</v>
      </c>
      <c r="F73" s="1">
        <v>8.5973913910000004</v>
      </c>
      <c r="G73" s="1">
        <v>10.352852070000001</v>
      </c>
      <c r="H73" s="1">
        <v>0.10934939270000001</v>
      </c>
      <c r="I73" s="1">
        <v>69.18852321</v>
      </c>
      <c r="J73" s="1">
        <v>16.497832389999999</v>
      </c>
      <c r="K73" s="1">
        <v>14.24376547</v>
      </c>
      <c r="L73" s="1">
        <v>6.9878936799999999E-2</v>
      </c>
      <c r="M73" s="1">
        <v>87.966904270000001</v>
      </c>
      <c r="N73" s="1">
        <v>3.8736895219999998</v>
      </c>
      <c r="O73" s="1">
        <v>8.0264572780000005</v>
      </c>
      <c r="P73" s="1">
        <v>0.13294892529999999</v>
      </c>
      <c r="Q73" s="1">
        <f t="shared" si="0"/>
        <v>16</v>
      </c>
      <c r="R73" s="1">
        <f t="shared" si="1"/>
        <v>1512.3966294734071</v>
      </c>
      <c r="S73" s="1">
        <f t="shared" si="2"/>
        <v>37.418003079999998</v>
      </c>
      <c r="T73" s="1">
        <f t="shared" si="3"/>
        <v>3</v>
      </c>
      <c r="U73" s="1">
        <v>80.940407140000005</v>
      </c>
      <c r="V73" s="1">
        <f t="shared" si="4"/>
        <v>63</v>
      </c>
      <c r="W73" s="1">
        <f t="shared" si="5"/>
        <v>37</v>
      </c>
    </row>
    <row r="74" spans="1:23" ht="12.5">
      <c r="A74" s="1" t="s">
        <v>181</v>
      </c>
      <c r="B74" s="1" t="s">
        <v>74</v>
      </c>
      <c r="C74" s="1">
        <v>2540.9160160000001</v>
      </c>
      <c r="D74" s="1">
        <v>52.033000950000002</v>
      </c>
      <c r="E74" s="1">
        <v>84.270036279999999</v>
      </c>
      <c r="F74" s="1">
        <v>7.0876275099999999</v>
      </c>
      <c r="G74" s="1">
        <v>3.740143722</v>
      </c>
      <c r="H74" s="1">
        <v>4.9021924849999996</v>
      </c>
      <c r="I74" s="1">
        <v>71.256167430000005</v>
      </c>
      <c r="J74" s="1">
        <v>11.97218925</v>
      </c>
      <c r="K74" s="1">
        <v>7.0818037589999996</v>
      </c>
      <c r="L74" s="1">
        <v>9.6898395629999996</v>
      </c>
      <c r="M74" s="1">
        <v>96.266965350000007</v>
      </c>
      <c r="N74" s="1">
        <v>2.5847589649999998</v>
      </c>
      <c r="O74" s="1">
        <v>0.65961026379999999</v>
      </c>
      <c r="P74" s="1">
        <v>0.4886654211</v>
      </c>
      <c r="Q74" s="1">
        <f t="shared" si="0"/>
        <v>16</v>
      </c>
      <c r="R74" s="1">
        <f t="shared" si="1"/>
        <v>1322.1148547439821</v>
      </c>
      <c r="S74" s="1">
        <f t="shared" si="2"/>
        <v>47.966999049999998</v>
      </c>
      <c r="T74" s="1">
        <f t="shared" si="3"/>
        <v>3</v>
      </c>
      <c r="U74" s="1">
        <v>84.270036279999999</v>
      </c>
      <c r="V74" s="1">
        <f t="shared" si="4"/>
        <v>52</v>
      </c>
      <c r="W74" s="1">
        <f t="shared" si="5"/>
        <v>48</v>
      </c>
    </row>
    <row r="75" spans="1:23" ht="12.5">
      <c r="A75" s="1" t="s">
        <v>183</v>
      </c>
      <c r="B75" s="1" t="s">
        <v>69</v>
      </c>
      <c r="C75" s="1">
        <v>2722.2910160000001</v>
      </c>
      <c r="D75" s="1">
        <v>68.045997619999994</v>
      </c>
      <c r="E75" s="1">
        <v>98.013347240000002</v>
      </c>
      <c r="F75" s="1">
        <v>0</v>
      </c>
      <c r="G75" s="1">
        <v>1.9866527599999999</v>
      </c>
      <c r="H75" s="1">
        <v>0</v>
      </c>
      <c r="I75" s="1">
        <v>93.78278023</v>
      </c>
      <c r="J75" s="1">
        <v>0</v>
      </c>
      <c r="K75" s="1">
        <v>6.2172197709999999</v>
      </c>
      <c r="L75" s="1">
        <v>0</v>
      </c>
      <c r="M75" s="1">
        <v>100</v>
      </c>
      <c r="N75" s="1">
        <v>0</v>
      </c>
      <c r="O75" s="1">
        <v>0</v>
      </c>
      <c r="P75" s="1">
        <v>0</v>
      </c>
      <c r="Q75" s="1">
        <f t="shared" si="0"/>
        <v>16</v>
      </c>
      <c r="R75" s="1">
        <f t="shared" si="1"/>
        <v>1852.4100799568339</v>
      </c>
      <c r="S75" s="1">
        <f t="shared" si="2"/>
        <v>31.954002380000006</v>
      </c>
      <c r="T75" s="1">
        <f t="shared" si="3"/>
        <v>3</v>
      </c>
      <c r="U75" s="1">
        <v>98.013347240000002</v>
      </c>
      <c r="V75" s="1">
        <f t="shared" si="4"/>
        <v>68</v>
      </c>
      <c r="W75" s="1">
        <f t="shared" si="5"/>
        <v>32</v>
      </c>
    </row>
    <row r="76" spans="1:23" ht="12.5">
      <c r="A76" s="1" t="s">
        <v>87</v>
      </c>
      <c r="B76" s="1" t="s">
        <v>69</v>
      </c>
      <c r="C76" s="1">
        <v>2860.8400879999999</v>
      </c>
      <c r="D76" s="1">
        <v>93.581001279999995</v>
      </c>
      <c r="E76" s="1">
        <v>100</v>
      </c>
      <c r="F76" s="1">
        <v>0</v>
      </c>
      <c r="G76" s="1">
        <v>0</v>
      </c>
      <c r="H76" s="1">
        <v>0</v>
      </c>
      <c r="I76" s="1" t="s">
        <v>29</v>
      </c>
      <c r="J76" s="1" t="s">
        <v>29</v>
      </c>
      <c r="K76" s="1" t="s">
        <v>29</v>
      </c>
      <c r="L76" s="1" t="s">
        <v>29</v>
      </c>
      <c r="M76" s="1" t="s">
        <v>29</v>
      </c>
      <c r="N76" s="1" t="s">
        <v>29</v>
      </c>
      <c r="O76" s="1" t="s">
        <v>29</v>
      </c>
      <c r="P76" s="1" t="s">
        <v>29</v>
      </c>
      <c r="Q76" s="1">
        <f t="shared" si="0"/>
        <v>16</v>
      </c>
      <c r="R76" s="1">
        <f t="shared" si="1"/>
        <v>2677.2027993700331</v>
      </c>
      <c r="S76" s="1">
        <f t="shared" si="2"/>
        <v>6.4189987200000047</v>
      </c>
      <c r="T76" s="1">
        <f t="shared" si="3"/>
        <v>3</v>
      </c>
      <c r="U76" s="1">
        <v>100</v>
      </c>
      <c r="V76" s="1">
        <f t="shared" si="4"/>
        <v>94</v>
      </c>
      <c r="W76" s="1">
        <f t="shared" si="5"/>
        <v>6</v>
      </c>
    </row>
    <row r="77" spans="1:23" ht="12.5">
      <c r="A77" s="1" t="s">
        <v>185</v>
      </c>
      <c r="B77" s="1" t="s">
        <v>74</v>
      </c>
      <c r="C77" s="1">
        <v>2877.8000489999999</v>
      </c>
      <c r="D77" s="1">
        <v>62.111999509999997</v>
      </c>
      <c r="E77" s="1">
        <v>95.068038830000006</v>
      </c>
      <c r="F77" s="1">
        <v>1.8846560919999999</v>
      </c>
      <c r="G77" s="1">
        <v>3.0473050810000002</v>
      </c>
      <c r="H77" s="1">
        <v>0</v>
      </c>
      <c r="I77" s="1">
        <v>94.091358060000005</v>
      </c>
      <c r="J77" s="1">
        <v>2.3052649550000002</v>
      </c>
      <c r="K77" s="1">
        <v>3.6033769859999998</v>
      </c>
      <c r="L77" s="1">
        <v>0</v>
      </c>
      <c r="M77" s="1">
        <v>95.663809119999996</v>
      </c>
      <c r="N77" s="1">
        <v>1.62808683</v>
      </c>
      <c r="O77" s="1">
        <v>2.7081040540000001</v>
      </c>
      <c r="P77" s="1">
        <v>0</v>
      </c>
      <c r="Q77" s="1">
        <f t="shared" si="0"/>
        <v>16</v>
      </c>
      <c r="R77" s="1">
        <f t="shared" si="1"/>
        <v>1787.4591523336596</v>
      </c>
      <c r="S77" s="1">
        <f t="shared" si="2"/>
        <v>37.888000490000003</v>
      </c>
      <c r="T77" s="1">
        <f t="shared" si="3"/>
        <v>3</v>
      </c>
      <c r="U77" s="1">
        <v>95.068038830000006</v>
      </c>
      <c r="V77" s="1">
        <f t="shared" si="4"/>
        <v>62</v>
      </c>
      <c r="W77" s="1">
        <f t="shared" si="5"/>
        <v>38</v>
      </c>
    </row>
    <row r="78" spans="1:23" ht="12.5">
      <c r="A78" s="1" t="s">
        <v>72</v>
      </c>
      <c r="B78" s="1" t="s">
        <v>69</v>
      </c>
      <c r="C78" s="1">
        <v>2881.0600589999999</v>
      </c>
      <c r="D78" s="1">
        <v>99.23500061</v>
      </c>
      <c r="E78" s="1">
        <v>99.568101940000005</v>
      </c>
      <c r="F78" s="1">
        <v>0</v>
      </c>
      <c r="G78" s="1">
        <v>0.4318980637</v>
      </c>
      <c r="H78" s="1">
        <v>0</v>
      </c>
      <c r="I78" s="1" t="s">
        <v>29</v>
      </c>
      <c r="J78" s="1" t="s">
        <v>29</v>
      </c>
      <c r="K78" s="1" t="s">
        <v>29</v>
      </c>
      <c r="L78" s="1" t="s">
        <v>29</v>
      </c>
      <c r="M78" s="1" t="s">
        <v>29</v>
      </c>
      <c r="N78" s="1" t="s">
        <v>29</v>
      </c>
      <c r="O78" s="1" t="s">
        <v>29</v>
      </c>
      <c r="P78" s="1" t="s">
        <v>29</v>
      </c>
      <c r="Q78" s="1">
        <f t="shared" si="0"/>
        <v>16</v>
      </c>
      <c r="R78" s="1">
        <f t="shared" si="1"/>
        <v>2859.0199671231162</v>
      </c>
      <c r="S78" s="1">
        <f t="shared" si="2"/>
        <v>0.76499938999999983</v>
      </c>
      <c r="T78" s="1">
        <f t="shared" si="3"/>
        <v>3</v>
      </c>
      <c r="U78" s="1">
        <v>99.568101940000005</v>
      </c>
      <c r="V78" s="1">
        <f t="shared" si="4"/>
        <v>99</v>
      </c>
      <c r="W78" s="1">
        <f t="shared" si="5"/>
        <v>1</v>
      </c>
    </row>
    <row r="79" spans="1:23" ht="12.5">
      <c r="A79" s="1" t="s">
        <v>188</v>
      </c>
      <c r="B79" s="1" t="s">
        <v>74</v>
      </c>
      <c r="C79" s="1">
        <v>2961.1608890000002</v>
      </c>
      <c r="D79" s="1">
        <v>56.311000819999997</v>
      </c>
      <c r="E79" s="1">
        <v>91.029944499999999</v>
      </c>
      <c r="F79" s="1">
        <v>5.3675709139999999</v>
      </c>
      <c r="G79" s="1">
        <v>1.8640102030000001</v>
      </c>
      <c r="H79" s="1">
        <v>1.7384743789999999</v>
      </c>
      <c r="I79" s="1">
        <v>85.39991216</v>
      </c>
      <c r="J79" s="1">
        <v>8.4907373709999998</v>
      </c>
      <c r="K79" s="1">
        <v>2.5689718949999998</v>
      </c>
      <c r="L79" s="1">
        <v>3.540378574</v>
      </c>
      <c r="M79" s="1">
        <v>95.398015909999998</v>
      </c>
      <c r="N79" s="1">
        <v>2.944456223</v>
      </c>
      <c r="O79" s="1">
        <v>1.317064322</v>
      </c>
      <c r="P79" s="1">
        <v>0.34046355</v>
      </c>
      <c r="Q79" s="1">
        <f t="shared" si="0"/>
        <v>16</v>
      </c>
      <c r="R79" s="1">
        <f t="shared" si="1"/>
        <v>1667.4593324863094</v>
      </c>
      <c r="S79" s="1">
        <f t="shared" si="2"/>
        <v>43.688999180000003</v>
      </c>
      <c r="T79" s="1">
        <f t="shared" si="3"/>
        <v>3</v>
      </c>
      <c r="U79" s="1">
        <v>91.029944499999999</v>
      </c>
      <c r="V79" s="1">
        <f t="shared" si="4"/>
        <v>56</v>
      </c>
      <c r="W79" s="1">
        <f t="shared" si="5"/>
        <v>44</v>
      </c>
    </row>
    <row r="80" spans="1:23" ht="12.5">
      <c r="A80" s="1" t="s">
        <v>190</v>
      </c>
      <c r="B80" s="1" t="s">
        <v>74</v>
      </c>
      <c r="C80" s="1">
        <v>2963.2338869999999</v>
      </c>
      <c r="D80" s="1">
        <v>63.312999730000001</v>
      </c>
      <c r="E80" s="1">
        <v>99.971180689999997</v>
      </c>
      <c r="F80" s="1">
        <v>0</v>
      </c>
      <c r="G80" s="1">
        <v>2.8819308009999999E-2</v>
      </c>
      <c r="H80" s="1">
        <v>0</v>
      </c>
      <c r="I80" s="1">
        <v>100</v>
      </c>
      <c r="J80" s="1">
        <v>0</v>
      </c>
      <c r="K80" s="1">
        <v>0</v>
      </c>
      <c r="L80" s="1">
        <v>0</v>
      </c>
      <c r="M80" s="1">
        <v>99.954481220000005</v>
      </c>
      <c r="N80" s="1">
        <v>0</v>
      </c>
      <c r="O80" s="1">
        <v>4.5518783639999998E-2</v>
      </c>
      <c r="P80" s="1">
        <v>0</v>
      </c>
      <c r="Q80" s="1">
        <f t="shared" si="0"/>
        <v>16</v>
      </c>
      <c r="R80" s="1">
        <f t="shared" si="1"/>
        <v>1876.1122628755784</v>
      </c>
      <c r="S80" s="1">
        <f t="shared" si="2"/>
        <v>36.687000269999999</v>
      </c>
      <c r="T80" s="1">
        <f t="shared" si="3"/>
        <v>3</v>
      </c>
      <c r="U80" s="1">
        <v>99.971180689999997</v>
      </c>
      <c r="V80" s="1">
        <f t="shared" si="4"/>
        <v>63</v>
      </c>
      <c r="W80" s="1">
        <f t="shared" si="5"/>
        <v>37</v>
      </c>
    </row>
    <row r="81" spans="1:23" ht="12.5">
      <c r="A81" s="1" t="s">
        <v>191</v>
      </c>
      <c r="B81" s="1" t="s">
        <v>107</v>
      </c>
      <c r="C81" s="1">
        <v>3278.2919919999999</v>
      </c>
      <c r="D81" s="1">
        <v>68.656997680000003</v>
      </c>
      <c r="E81" s="1">
        <v>85.495625270000005</v>
      </c>
      <c r="F81" s="1">
        <v>2.1464289299999999</v>
      </c>
      <c r="G81" s="1">
        <v>6.6333667140000001</v>
      </c>
      <c r="H81" s="1">
        <v>5.7245790809999999</v>
      </c>
      <c r="I81" s="1">
        <v>61.070751139999999</v>
      </c>
      <c r="J81" s="1">
        <v>3.0841705720000001</v>
      </c>
      <c r="K81" s="1">
        <v>17.580781160000001</v>
      </c>
      <c r="L81" s="1">
        <v>18.264297129999999</v>
      </c>
      <c r="M81" s="1">
        <v>96.645965579999995</v>
      </c>
      <c r="N81" s="1">
        <v>1.718335079</v>
      </c>
      <c r="O81" s="1">
        <v>1.635699341</v>
      </c>
      <c r="P81" s="1">
        <v>0</v>
      </c>
      <c r="Q81" s="1">
        <f t="shared" si="0"/>
        <v>16</v>
      </c>
      <c r="R81" s="1">
        <f t="shared" si="1"/>
        <v>2250.7768568910656</v>
      </c>
      <c r="S81" s="1">
        <f t="shared" si="2"/>
        <v>31.343002319999997</v>
      </c>
      <c r="T81" s="1">
        <f t="shared" si="3"/>
        <v>4</v>
      </c>
      <c r="U81" s="1">
        <v>85.495625270000005</v>
      </c>
      <c r="V81" s="1">
        <f t="shared" si="4"/>
        <v>69</v>
      </c>
      <c r="W81" s="1">
        <f t="shared" si="5"/>
        <v>31</v>
      </c>
    </row>
    <row r="82" spans="1:23" ht="12.5">
      <c r="A82" s="1" t="s">
        <v>192</v>
      </c>
      <c r="B82" s="1" t="s">
        <v>74</v>
      </c>
      <c r="C82" s="1">
        <v>3280.8149410000001</v>
      </c>
      <c r="D82" s="1">
        <v>49.020000459999999</v>
      </c>
      <c r="E82" s="1">
        <v>96.113897620000003</v>
      </c>
      <c r="F82" s="1">
        <v>3.8236639380000002</v>
      </c>
      <c r="G82" s="1">
        <v>6.2438437520000001E-2</v>
      </c>
      <c r="H82" s="1">
        <v>0</v>
      </c>
      <c r="I82" s="1">
        <v>97.333333330000002</v>
      </c>
      <c r="J82" s="1">
        <v>2.6666666669999999</v>
      </c>
      <c r="K82" s="1">
        <v>0</v>
      </c>
      <c r="L82" s="1">
        <v>0</v>
      </c>
      <c r="M82" s="1">
        <v>94.845704400000002</v>
      </c>
      <c r="N82" s="1">
        <v>5.0269222060000001</v>
      </c>
      <c r="O82" s="1">
        <v>0.12737339280000001</v>
      </c>
      <c r="P82" s="1">
        <v>0</v>
      </c>
      <c r="Q82" s="1">
        <f t="shared" si="0"/>
        <v>16</v>
      </c>
      <c r="R82" s="1">
        <f t="shared" si="1"/>
        <v>1608.2554991699487</v>
      </c>
      <c r="S82" s="1">
        <f t="shared" si="2"/>
        <v>50.979999540000001</v>
      </c>
      <c r="T82" s="1">
        <f t="shared" si="3"/>
        <v>4</v>
      </c>
      <c r="U82" s="1">
        <v>96.113897620000003</v>
      </c>
      <c r="V82" s="1">
        <f t="shared" si="4"/>
        <v>49</v>
      </c>
      <c r="W82" s="1">
        <f t="shared" si="5"/>
        <v>51</v>
      </c>
    </row>
    <row r="83" spans="1:23" ht="12.5">
      <c r="A83" s="1" t="s">
        <v>82</v>
      </c>
      <c r="B83" s="1" t="s">
        <v>69</v>
      </c>
      <c r="C83" s="1">
        <v>3473.7270509999998</v>
      </c>
      <c r="D83" s="1">
        <v>95.51499939</v>
      </c>
      <c r="E83" s="1">
        <v>99.495757560000001</v>
      </c>
      <c r="F83" s="1">
        <v>0.50424244119999995</v>
      </c>
      <c r="G83" s="1">
        <v>0</v>
      </c>
      <c r="H83" s="1">
        <v>0</v>
      </c>
      <c r="I83" s="1">
        <v>95.300830000000005</v>
      </c>
      <c r="J83" s="1">
        <v>4.6991699999999996</v>
      </c>
      <c r="K83" s="1">
        <v>0</v>
      </c>
      <c r="L83" s="1">
        <v>0</v>
      </c>
      <c r="M83" s="1">
        <v>99.692734439999995</v>
      </c>
      <c r="N83" s="1">
        <v>0.30726556170000002</v>
      </c>
      <c r="O83" s="1">
        <v>0</v>
      </c>
      <c r="P83" s="1">
        <v>0</v>
      </c>
      <c r="Q83" s="1">
        <f t="shared" si="0"/>
        <v>16</v>
      </c>
      <c r="R83" s="1">
        <f t="shared" si="1"/>
        <v>3317.9303715729147</v>
      </c>
      <c r="S83" s="1">
        <f t="shared" si="2"/>
        <v>4.4850006100000002</v>
      </c>
      <c r="T83" s="1">
        <f t="shared" si="3"/>
        <v>4</v>
      </c>
      <c r="U83" s="1">
        <v>99.495757560000001</v>
      </c>
      <c r="V83" s="1">
        <f t="shared" si="4"/>
        <v>96</v>
      </c>
      <c r="W83" s="1">
        <f t="shared" si="5"/>
        <v>4</v>
      </c>
    </row>
    <row r="84" spans="1:23" ht="12.5">
      <c r="A84" s="1" t="s">
        <v>193</v>
      </c>
      <c r="B84" s="1" t="s">
        <v>74</v>
      </c>
      <c r="C84" s="1">
        <v>3989.1750489999999</v>
      </c>
      <c r="D84" s="1">
        <v>59.452995299999998</v>
      </c>
      <c r="E84" s="1">
        <v>97.348139700000004</v>
      </c>
      <c r="F84" s="1">
        <v>0</v>
      </c>
      <c r="G84" s="1">
        <v>2.6327613790000002</v>
      </c>
      <c r="H84" s="1">
        <v>1.9098923269999998E-2</v>
      </c>
      <c r="I84" s="1">
        <v>94.271884200000002</v>
      </c>
      <c r="J84" s="1">
        <v>0</v>
      </c>
      <c r="K84" s="1">
        <v>5.7039236180000001</v>
      </c>
      <c r="L84" s="1">
        <v>2.4192183450000002E-2</v>
      </c>
      <c r="M84" s="1">
        <v>99.446153940000002</v>
      </c>
      <c r="N84" s="1">
        <v>0</v>
      </c>
      <c r="O84" s="1">
        <v>0.53822074200000003</v>
      </c>
      <c r="P84" s="1">
        <v>1.5625315859999999E-2</v>
      </c>
      <c r="Q84" s="1">
        <f t="shared" si="0"/>
        <v>16</v>
      </c>
      <c r="R84" s="1">
        <f t="shared" si="1"/>
        <v>2371.6840543907429</v>
      </c>
      <c r="S84" s="1">
        <f t="shared" si="2"/>
        <v>40.547004700000002</v>
      </c>
      <c r="T84" s="1">
        <f t="shared" si="3"/>
        <v>4</v>
      </c>
      <c r="U84" s="1">
        <v>97.348139700000004</v>
      </c>
      <c r="V84" s="1">
        <f t="shared" si="4"/>
        <v>59</v>
      </c>
      <c r="W84" s="1">
        <f t="shared" si="5"/>
        <v>41</v>
      </c>
    </row>
    <row r="85" spans="1:23" ht="12.5">
      <c r="A85" s="1" t="s">
        <v>194</v>
      </c>
      <c r="B85" s="1" t="s">
        <v>74</v>
      </c>
      <c r="C85" s="1">
        <v>4033.9628910000001</v>
      </c>
      <c r="D85" s="1">
        <v>42.849002839999997</v>
      </c>
      <c r="E85" s="1">
        <v>90.569962239999995</v>
      </c>
      <c r="F85" s="1">
        <v>1.519776762</v>
      </c>
      <c r="G85" s="1">
        <v>7.910260997</v>
      </c>
      <c r="H85" s="1">
        <v>0</v>
      </c>
      <c r="I85" s="1">
        <v>85.481038119999994</v>
      </c>
      <c r="J85" s="1">
        <v>1.52256302</v>
      </c>
      <c r="K85" s="1">
        <v>12.996398859999999</v>
      </c>
      <c r="L85" s="1">
        <v>0</v>
      </c>
      <c r="M85" s="1">
        <v>97.357444479999998</v>
      </c>
      <c r="N85" s="1">
        <v>1.516060408</v>
      </c>
      <c r="O85" s="1">
        <v>1.1264951110000001</v>
      </c>
      <c r="P85" s="1">
        <v>0</v>
      </c>
      <c r="Q85" s="1">
        <f t="shared" si="0"/>
        <v>16</v>
      </c>
      <c r="R85" s="1">
        <f t="shared" si="1"/>
        <v>1728.5128737291359</v>
      </c>
      <c r="S85" s="1">
        <f t="shared" si="2"/>
        <v>57.150997160000003</v>
      </c>
      <c r="T85" s="1">
        <f t="shared" si="3"/>
        <v>5</v>
      </c>
      <c r="U85" s="1">
        <v>90.569962239999995</v>
      </c>
      <c r="V85" s="1">
        <f t="shared" si="4"/>
        <v>43</v>
      </c>
      <c r="W85" s="1">
        <f t="shared" si="5"/>
        <v>57</v>
      </c>
    </row>
    <row r="86" spans="1:23" ht="12.5">
      <c r="A86" s="1" t="s">
        <v>196</v>
      </c>
      <c r="B86" s="1" t="s">
        <v>69</v>
      </c>
      <c r="C86" s="1">
        <v>4105.2680659999996</v>
      </c>
      <c r="D86" s="1">
        <v>57.552997589999997</v>
      </c>
      <c r="E86" s="1" t="s">
        <v>29</v>
      </c>
      <c r="F86" s="1" t="s">
        <v>29</v>
      </c>
      <c r="G86" s="1" t="s">
        <v>29</v>
      </c>
      <c r="H86" s="1" t="s">
        <v>29</v>
      </c>
      <c r="I86" s="1" t="s">
        <v>29</v>
      </c>
      <c r="J86" s="1" t="s">
        <v>29</v>
      </c>
      <c r="K86" s="1" t="s">
        <v>29</v>
      </c>
      <c r="L86" s="1" t="s">
        <v>29</v>
      </c>
      <c r="M86" s="1">
        <v>100</v>
      </c>
      <c r="N86" s="1">
        <v>0</v>
      </c>
      <c r="O86" s="1">
        <v>0</v>
      </c>
      <c r="P86" s="1">
        <v>0</v>
      </c>
      <c r="Q86" s="1">
        <f t="shared" si="0"/>
        <v>16</v>
      </c>
      <c r="R86" s="1">
        <f t="shared" si="1"/>
        <v>2362.7048310880195</v>
      </c>
      <c r="S86" s="1">
        <f t="shared" si="2"/>
        <v>42.447002410000003</v>
      </c>
      <c r="T86" s="1">
        <f t="shared" si="3"/>
        <v>5</v>
      </c>
      <c r="U86" s="1" t="s">
        <v>29</v>
      </c>
      <c r="V86" s="1">
        <f t="shared" si="4"/>
        <v>58</v>
      </c>
      <c r="W86" s="1">
        <f t="shared" si="5"/>
        <v>42</v>
      </c>
    </row>
    <row r="87" spans="1:23" ht="12.5">
      <c r="A87" s="1" t="s">
        <v>64</v>
      </c>
      <c r="B87" s="1" t="s">
        <v>69</v>
      </c>
      <c r="C87" s="1">
        <v>4270.5629879999997</v>
      </c>
      <c r="D87" s="1">
        <v>100</v>
      </c>
      <c r="E87" s="1">
        <v>100</v>
      </c>
      <c r="F87" s="1">
        <v>0</v>
      </c>
      <c r="G87" s="1">
        <v>0</v>
      </c>
      <c r="H87" s="1">
        <v>0</v>
      </c>
      <c r="I87" s="1" t="s">
        <v>29</v>
      </c>
      <c r="J87" s="1" t="s">
        <v>29</v>
      </c>
      <c r="K87" s="1" t="s">
        <v>29</v>
      </c>
      <c r="L87" s="1" t="s">
        <v>29</v>
      </c>
      <c r="M87" s="1" t="s">
        <v>29</v>
      </c>
      <c r="N87" s="1" t="s">
        <v>29</v>
      </c>
      <c r="O87" s="1" t="s">
        <v>29</v>
      </c>
      <c r="P87" s="1" t="s">
        <v>29</v>
      </c>
      <c r="Q87" s="1">
        <f t="shared" si="0"/>
        <v>16</v>
      </c>
      <c r="R87" s="1">
        <f t="shared" si="1"/>
        <v>4270.5629879999997</v>
      </c>
      <c r="S87" s="1">
        <f t="shared" si="2"/>
        <v>0</v>
      </c>
      <c r="T87" s="1">
        <f t="shared" si="3"/>
        <v>5</v>
      </c>
      <c r="U87" s="1">
        <v>100</v>
      </c>
      <c r="V87" s="1">
        <f t="shared" si="4"/>
        <v>100</v>
      </c>
      <c r="W87" s="1">
        <f t="shared" si="5"/>
        <v>0</v>
      </c>
    </row>
    <row r="88" spans="1:23" ht="12.5">
      <c r="A88" s="1" t="s">
        <v>195</v>
      </c>
      <c r="B88" s="1" t="s">
        <v>69</v>
      </c>
      <c r="C88" s="1">
        <v>4314.7680659999996</v>
      </c>
      <c r="D88" s="1">
        <v>68.414001459999994</v>
      </c>
      <c r="E88" s="1">
        <v>94.372544360000006</v>
      </c>
      <c r="F88" s="1">
        <v>1.8734805919999999</v>
      </c>
      <c r="G88" s="1">
        <v>2.2623042469999999</v>
      </c>
      <c r="H88" s="1">
        <v>1.491670799</v>
      </c>
      <c r="I88" s="1">
        <v>86.323083260000004</v>
      </c>
      <c r="J88" s="1">
        <v>1.791982583</v>
      </c>
      <c r="K88" s="1">
        <v>7.1623643420000001</v>
      </c>
      <c r="L88" s="1">
        <v>4.7225698109999996</v>
      </c>
      <c r="M88" s="1">
        <v>98.088892670000007</v>
      </c>
      <c r="N88" s="1">
        <v>1.9111073329999999</v>
      </c>
      <c r="O88" s="1">
        <v>0</v>
      </c>
      <c r="P88" s="1">
        <v>0</v>
      </c>
      <c r="Q88" s="1">
        <f t="shared" si="0"/>
        <v>16</v>
      </c>
      <c r="R88" s="1">
        <f t="shared" si="1"/>
        <v>2951.9054876688533</v>
      </c>
      <c r="S88" s="1">
        <f t="shared" si="2"/>
        <v>31.585998540000006</v>
      </c>
      <c r="T88" s="1">
        <f t="shared" si="3"/>
        <v>5</v>
      </c>
      <c r="U88" s="1">
        <v>94.372544360000006</v>
      </c>
      <c r="V88" s="1">
        <f t="shared" si="4"/>
        <v>68</v>
      </c>
      <c r="W88" s="1">
        <f t="shared" si="5"/>
        <v>32</v>
      </c>
    </row>
    <row r="89" spans="1:23" ht="12.5">
      <c r="A89" s="1" t="s">
        <v>198</v>
      </c>
      <c r="B89" s="1" t="s">
        <v>107</v>
      </c>
      <c r="C89" s="1">
        <v>4649.6601559999999</v>
      </c>
      <c r="D89" s="1">
        <v>55.326995850000003</v>
      </c>
      <c r="E89" s="1">
        <v>71.681049229999999</v>
      </c>
      <c r="F89" s="1">
        <v>13.476891930000001</v>
      </c>
      <c r="G89" s="1">
        <v>14.820326809999999</v>
      </c>
      <c r="H89" s="1">
        <v>2.173203433E-2</v>
      </c>
      <c r="I89" s="1">
        <v>49.911338899999997</v>
      </c>
      <c r="J89" s="1">
        <v>18.49039689</v>
      </c>
      <c r="K89" s="1">
        <v>31.549617300000001</v>
      </c>
      <c r="L89" s="1">
        <v>4.8646907220000001E-2</v>
      </c>
      <c r="M89" s="1">
        <v>89.258694649999995</v>
      </c>
      <c r="N89" s="1">
        <v>9.4288080829999998</v>
      </c>
      <c r="O89" s="1">
        <v>1.3124972699999999</v>
      </c>
      <c r="P89" s="1">
        <v>0</v>
      </c>
      <c r="Q89" s="1">
        <f t="shared" si="0"/>
        <v>16</v>
      </c>
      <c r="R89" s="1">
        <f t="shared" si="1"/>
        <v>2572.5172815492238</v>
      </c>
      <c r="S89" s="1">
        <f t="shared" si="2"/>
        <v>44.673004149999997</v>
      </c>
      <c r="T89" s="1">
        <f t="shared" si="3"/>
        <v>5</v>
      </c>
      <c r="U89" s="1">
        <v>71.681049229999999</v>
      </c>
      <c r="V89" s="1">
        <f t="shared" si="4"/>
        <v>55</v>
      </c>
      <c r="W89" s="1">
        <f t="shared" si="5"/>
        <v>45</v>
      </c>
    </row>
    <row r="90" spans="1:23" ht="12.5">
      <c r="A90" s="1" t="s">
        <v>116</v>
      </c>
      <c r="B90" s="1" t="s">
        <v>69</v>
      </c>
      <c r="C90" s="1">
        <v>4822.2329099999997</v>
      </c>
      <c r="D90" s="1">
        <v>86.698997500000004</v>
      </c>
      <c r="E90" s="1">
        <v>100.00000129999999</v>
      </c>
      <c r="F90" s="1">
        <v>0</v>
      </c>
      <c r="G90" s="1">
        <v>0</v>
      </c>
      <c r="H90" s="1">
        <v>0</v>
      </c>
      <c r="I90" s="1">
        <v>100</v>
      </c>
      <c r="J90" s="1">
        <v>0</v>
      </c>
      <c r="K90" s="1">
        <v>0</v>
      </c>
      <c r="L90" s="1">
        <v>0</v>
      </c>
      <c r="M90" s="1">
        <v>100</v>
      </c>
      <c r="N90" s="1">
        <v>0</v>
      </c>
      <c r="O90" s="1">
        <v>0</v>
      </c>
      <c r="P90" s="1">
        <v>0</v>
      </c>
      <c r="Q90" s="1">
        <f t="shared" si="0"/>
        <v>16</v>
      </c>
      <c r="R90" s="1">
        <f t="shared" si="1"/>
        <v>4180.8275900850776</v>
      </c>
      <c r="S90" s="1">
        <f t="shared" si="2"/>
        <v>13.301002499999996</v>
      </c>
      <c r="T90" s="1">
        <f t="shared" si="3"/>
        <v>5</v>
      </c>
      <c r="U90" s="1">
        <v>100</v>
      </c>
      <c r="V90" s="1">
        <f t="shared" si="4"/>
        <v>87</v>
      </c>
      <c r="W90" s="1">
        <f t="shared" si="5"/>
        <v>13</v>
      </c>
    </row>
    <row r="91" spans="1:23" ht="12.5">
      <c r="A91" s="1" t="s">
        <v>200</v>
      </c>
      <c r="B91" s="1" t="s">
        <v>170</v>
      </c>
      <c r="C91" s="1">
        <v>4829.7641599999997</v>
      </c>
      <c r="D91" s="1">
        <v>42.197998050000002</v>
      </c>
      <c r="E91" s="1">
        <v>37.202402050000003</v>
      </c>
      <c r="F91" s="1">
        <v>25.682373479999999</v>
      </c>
      <c r="G91" s="1">
        <v>33.53911377</v>
      </c>
      <c r="H91" s="1">
        <v>3.5761107079999999</v>
      </c>
      <c r="I91" s="1">
        <v>28.106594149999999</v>
      </c>
      <c r="J91" s="1">
        <v>19.405889899999998</v>
      </c>
      <c r="K91" s="1">
        <v>46.373073009999999</v>
      </c>
      <c r="L91" s="1">
        <v>6.1144429440000003</v>
      </c>
      <c r="M91" s="1">
        <v>49.661664950000002</v>
      </c>
      <c r="N91" s="1">
        <v>34.279780090000003</v>
      </c>
      <c r="O91" s="1">
        <v>15.95940214</v>
      </c>
      <c r="P91" s="1">
        <v>9.915281712E-2</v>
      </c>
      <c r="Q91" s="1">
        <f t="shared" si="0"/>
        <v>16</v>
      </c>
      <c r="R91" s="1">
        <f t="shared" si="1"/>
        <v>2038.0637860563988</v>
      </c>
      <c r="S91" s="1">
        <f t="shared" si="2"/>
        <v>57.802001949999998</v>
      </c>
      <c r="T91" s="1">
        <f t="shared" si="3"/>
        <v>5</v>
      </c>
      <c r="U91" s="1">
        <v>37.202402050000003</v>
      </c>
      <c r="V91" s="1">
        <f t="shared" si="4"/>
        <v>42</v>
      </c>
      <c r="W91" s="1">
        <f t="shared" si="5"/>
        <v>58</v>
      </c>
    </row>
    <row r="92" spans="1:23" ht="12.5">
      <c r="A92" s="1" t="s">
        <v>201</v>
      </c>
      <c r="B92" s="1" t="s">
        <v>69</v>
      </c>
      <c r="C92" s="1">
        <v>4937.7958980000003</v>
      </c>
      <c r="D92" s="1">
        <v>63.652999880000003</v>
      </c>
      <c r="E92" s="1">
        <v>97.399706510000001</v>
      </c>
      <c r="F92" s="1">
        <v>0</v>
      </c>
      <c r="G92" s="1">
        <v>2.6002934849999999</v>
      </c>
      <c r="H92" s="1">
        <v>0</v>
      </c>
      <c r="I92" s="1">
        <v>98.134920750000006</v>
      </c>
      <c r="J92" s="1">
        <v>0</v>
      </c>
      <c r="K92" s="1">
        <v>1.8650792469999999</v>
      </c>
      <c r="L92" s="1">
        <v>0</v>
      </c>
      <c r="M92" s="1">
        <v>96.979886030000003</v>
      </c>
      <c r="N92" s="1">
        <v>0</v>
      </c>
      <c r="O92" s="1">
        <v>3.0201139659999998</v>
      </c>
      <c r="P92" s="1">
        <v>0</v>
      </c>
      <c r="Q92" s="1">
        <f t="shared" si="0"/>
        <v>16</v>
      </c>
      <c r="R92" s="1">
        <f t="shared" si="1"/>
        <v>3143.0552170285855</v>
      </c>
      <c r="S92" s="1">
        <f t="shared" si="2"/>
        <v>36.347000119999997</v>
      </c>
      <c r="T92" s="1">
        <f t="shared" si="3"/>
        <v>5</v>
      </c>
      <c r="U92" s="1">
        <v>97.399706510000001</v>
      </c>
      <c r="V92" s="1">
        <f t="shared" si="4"/>
        <v>64</v>
      </c>
      <c r="W92" s="1">
        <f t="shared" si="5"/>
        <v>36</v>
      </c>
    </row>
    <row r="93" spans="1:23" ht="12.5">
      <c r="A93" s="1" t="s">
        <v>203</v>
      </c>
      <c r="B93" s="1" t="s">
        <v>170</v>
      </c>
      <c r="C93" s="1">
        <v>5057.6767579999996</v>
      </c>
      <c r="D93" s="1">
        <v>52.088996889999997</v>
      </c>
      <c r="E93" s="1">
        <v>75.261791590000001</v>
      </c>
      <c r="F93" s="1">
        <v>8.7006574749999999</v>
      </c>
      <c r="G93" s="1">
        <v>3.488080869</v>
      </c>
      <c r="H93" s="1">
        <v>12.549470060000001</v>
      </c>
      <c r="I93" s="1">
        <v>64.100216889999999</v>
      </c>
      <c r="J93" s="1">
        <v>6.5377757970000001</v>
      </c>
      <c r="K93" s="1">
        <v>3.3837098750000001</v>
      </c>
      <c r="L93" s="1">
        <v>25.978297439999999</v>
      </c>
      <c r="M93" s="1">
        <v>85.528109630000003</v>
      </c>
      <c r="N93" s="1">
        <v>10.69005698</v>
      </c>
      <c r="O93" s="1">
        <v>3.58408039</v>
      </c>
      <c r="P93" s="1">
        <v>0.19775300060000001</v>
      </c>
      <c r="Q93" s="1">
        <f t="shared" si="0"/>
        <v>16</v>
      </c>
      <c r="R93" s="1">
        <f t="shared" si="1"/>
        <v>2634.4930891808722</v>
      </c>
      <c r="S93" s="1">
        <f t="shared" si="2"/>
        <v>47.911003110000003</v>
      </c>
      <c r="T93" s="1">
        <f t="shared" si="3"/>
        <v>6</v>
      </c>
      <c r="U93" s="1">
        <v>75.261791590000001</v>
      </c>
      <c r="V93" s="1">
        <f t="shared" si="4"/>
        <v>52</v>
      </c>
      <c r="W93" s="1">
        <f t="shared" si="5"/>
        <v>48</v>
      </c>
    </row>
    <row r="94" spans="1:23" ht="12.5">
      <c r="A94" s="1" t="s">
        <v>136</v>
      </c>
      <c r="B94" s="1" t="s">
        <v>74</v>
      </c>
      <c r="C94" s="1">
        <v>5094.1137699999999</v>
      </c>
      <c r="D94" s="1">
        <v>80.770996089999997</v>
      </c>
      <c r="E94" s="1">
        <v>99.810536929999998</v>
      </c>
      <c r="F94" s="1">
        <v>0.18945947460000001</v>
      </c>
      <c r="G94" s="1">
        <v>3.5944518969999999E-6</v>
      </c>
      <c r="H94" s="1">
        <v>0</v>
      </c>
      <c r="I94" s="1">
        <v>99.646249999999995</v>
      </c>
      <c r="J94" s="1">
        <v>0.35375000000000001</v>
      </c>
      <c r="K94" s="1">
        <v>0</v>
      </c>
      <c r="L94" s="1">
        <v>0</v>
      </c>
      <c r="M94" s="1">
        <v>99.849652860000006</v>
      </c>
      <c r="N94" s="1">
        <v>0.15034714290000001</v>
      </c>
      <c r="O94" s="1">
        <v>0</v>
      </c>
      <c r="P94" s="1">
        <v>0</v>
      </c>
      <c r="Q94" s="1">
        <f t="shared" si="0"/>
        <v>16</v>
      </c>
      <c r="R94" s="1">
        <f t="shared" si="1"/>
        <v>4114.5664339868517</v>
      </c>
      <c r="S94" s="1">
        <f t="shared" si="2"/>
        <v>19.229003910000003</v>
      </c>
      <c r="T94" s="1">
        <f t="shared" si="3"/>
        <v>6</v>
      </c>
      <c r="U94" s="1">
        <v>99.810536929999998</v>
      </c>
      <c r="V94" s="1">
        <f t="shared" si="4"/>
        <v>81</v>
      </c>
      <c r="W94" s="1">
        <f t="shared" si="5"/>
        <v>19</v>
      </c>
    </row>
    <row r="95" spans="1:23" ht="12.5">
      <c r="A95" s="1" t="s">
        <v>155</v>
      </c>
      <c r="B95" s="1" t="s">
        <v>107</v>
      </c>
      <c r="C95" s="1">
        <v>5101.4160160000001</v>
      </c>
      <c r="D95" s="1">
        <v>76.718994140000007</v>
      </c>
      <c r="E95" s="1">
        <v>97.880397220000006</v>
      </c>
      <c r="F95" s="1">
        <v>1.029979486</v>
      </c>
      <c r="G95" s="1">
        <v>1.089623295</v>
      </c>
      <c r="H95" s="1" t="s">
        <v>29</v>
      </c>
      <c r="I95" s="1">
        <v>98.715556419999999</v>
      </c>
      <c r="J95" s="1">
        <v>0.31740062730000002</v>
      </c>
      <c r="K95" s="1">
        <v>0.96704295760000003</v>
      </c>
      <c r="L95" s="1" t="s">
        <v>29</v>
      </c>
      <c r="M95" s="1">
        <v>97.626964430000001</v>
      </c>
      <c r="N95" s="1">
        <v>1.246217358</v>
      </c>
      <c r="O95" s="1">
        <v>1.126818208</v>
      </c>
      <c r="P95" s="1" t="s">
        <v>29</v>
      </c>
      <c r="Q95" s="1">
        <f t="shared" si="0"/>
        <v>16</v>
      </c>
      <c r="R95" s="1">
        <f t="shared" si="1"/>
        <v>3913.7550543720617</v>
      </c>
      <c r="S95" s="1">
        <f t="shared" si="2"/>
        <v>23.281005859999993</v>
      </c>
      <c r="T95" s="1">
        <f t="shared" si="3"/>
        <v>6</v>
      </c>
      <c r="U95" s="1">
        <v>97.880397220000006</v>
      </c>
      <c r="V95" s="1">
        <f t="shared" si="4"/>
        <v>77</v>
      </c>
      <c r="W95" s="1">
        <f t="shared" si="5"/>
        <v>23</v>
      </c>
    </row>
    <row r="96" spans="1:23" ht="12.5">
      <c r="A96" s="1" t="s">
        <v>123</v>
      </c>
      <c r="B96" s="1" t="s">
        <v>69</v>
      </c>
      <c r="C96" s="1">
        <v>5106.6220700000003</v>
      </c>
      <c r="D96" s="1">
        <v>86.275993349999993</v>
      </c>
      <c r="E96" s="1">
        <v>92.168024689999996</v>
      </c>
      <c r="F96" s="1">
        <v>7.5414198929999996</v>
      </c>
      <c r="G96" s="1">
        <v>0.26040520360000002</v>
      </c>
      <c r="H96" s="1">
        <v>3.0150217449999999E-2</v>
      </c>
      <c r="I96" s="1">
        <v>76.250779910000006</v>
      </c>
      <c r="J96" s="1">
        <v>21.632121130000002</v>
      </c>
      <c r="K96" s="1">
        <v>1.897409218</v>
      </c>
      <c r="L96" s="1">
        <v>0.21968973750000001</v>
      </c>
      <c r="M96" s="1">
        <v>94.7</v>
      </c>
      <c r="N96" s="1">
        <v>5.3</v>
      </c>
      <c r="O96" s="1">
        <v>0</v>
      </c>
      <c r="P96" s="1">
        <v>0</v>
      </c>
      <c r="Q96" s="1">
        <f t="shared" si="0"/>
        <v>16</v>
      </c>
      <c r="R96" s="1">
        <f t="shared" si="1"/>
        <v>4405.788917522832</v>
      </c>
      <c r="S96" s="1">
        <f t="shared" si="2"/>
        <v>13.724006650000007</v>
      </c>
      <c r="T96" s="1">
        <f t="shared" si="3"/>
        <v>6</v>
      </c>
      <c r="U96" s="1">
        <v>92.168024689999996</v>
      </c>
      <c r="V96" s="1">
        <f t="shared" si="4"/>
        <v>86</v>
      </c>
      <c r="W96" s="1">
        <f t="shared" si="5"/>
        <v>14</v>
      </c>
    </row>
    <row r="97" spans="1:23" ht="12.5">
      <c r="A97" s="1" t="s">
        <v>129</v>
      </c>
      <c r="B97" s="1" t="s">
        <v>69</v>
      </c>
      <c r="C97" s="1">
        <v>5421.2421880000002</v>
      </c>
      <c r="D97" s="1">
        <v>82.973991389999995</v>
      </c>
      <c r="E97" s="1">
        <v>99.999995499999997</v>
      </c>
      <c r="F97" s="1">
        <v>0</v>
      </c>
      <c r="G97" s="1">
        <v>4.5034074529999998E-6</v>
      </c>
      <c r="H97" s="1">
        <v>0</v>
      </c>
      <c r="I97" s="1">
        <v>100</v>
      </c>
      <c r="J97" s="1">
        <v>0</v>
      </c>
      <c r="K97" s="1">
        <v>0</v>
      </c>
      <c r="L97" s="1">
        <v>0</v>
      </c>
      <c r="M97" s="1">
        <v>100</v>
      </c>
      <c r="N97" s="1">
        <v>0</v>
      </c>
      <c r="O97" s="1">
        <v>0</v>
      </c>
      <c r="P97" s="1">
        <v>0</v>
      </c>
      <c r="Q97" s="1">
        <f t="shared" si="0"/>
        <v>16</v>
      </c>
      <c r="R97" s="1">
        <f t="shared" si="1"/>
        <v>4498.221026302167</v>
      </c>
      <c r="S97" s="1">
        <f t="shared" si="2"/>
        <v>17.026008610000005</v>
      </c>
      <c r="T97" s="1">
        <f t="shared" si="3"/>
        <v>6</v>
      </c>
      <c r="U97" s="1">
        <v>99.999995499999997</v>
      </c>
      <c r="V97" s="1">
        <f t="shared" si="4"/>
        <v>83</v>
      </c>
      <c r="W97" s="1">
        <f t="shared" si="5"/>
        <v>17</v>
      </c>
    </row>
    <row r="98" spans="1:23" ht="12.5">
      <c r="A98" s="1" t="s">
        <v>205</v>
      </c>
      <c r="B98" s="1" t="s">
        <v>69</v>
      </c>
      <c r="C98" s="1">
        <v>5459.6430659999996</v>
      </c>
      <c r="D98" s="1">
        <v>53.759998320000001</v>
      </c>
      <c r="E98" s="1">
        <v>99.787698579999997</v>
      </c>
      <c r="F98" s="1">
        <v>0.2123014241</v>
      </c>
      <c r="G98" s="1">
        <v>0</v>
      </c>
      <c r="H98" s="1">
        <v>0</v>
      </c>
      <c r="I98" s="1">
        <v>100</v>
      </c>
      <c r="J98" s="1">
        <v>0</v>
      </c>
      <c r="K98" s="1">
        <v>0</v>
      </c>
      <c r="L98" s="1">
        <v>0</v>
      </c>
      <c r="M98" s="1">
        <v>99.605094059999999</v>
      </c>
      <c r="N98" s="1">
        <v>0.39490593740000002</v>
      </c>
      <c r="O98" s="1">
        <v>0</v>
      </c>
      <c r="P98" s="1">
        <v>0</v>
      </c>
      <c r="Q98" s="1">
        <f t="shared" si="0"/>
        <v>16</v>
      </c>
      <c r="R98" s="1">
        <f t="shared" si="1"/>
        <v>2935.1040205595964</v>
      </c>
      <c r="S98" s="1">
        <f t="shared" si="2"/>
        <v>46.240001679999999</v>
      </c>
      <c r="T98" s="1">
        <f t="shared" si="3"/>
        <v>6</v>
      </c>
      <c r="U98" s="1">
        <v>99.787698579999997</v>
      </c>
      <c r="V98" s="1">
        <f t="shared" si="4"/>
        <v>54</v>
      </c>
      <c r="W98" s="1">
        <f t="shared" si="5"/>
        <v>46</v>
      </c>
    </row>
    <row r="99" spans="1:23" ht="12.5">
      <c r="A99" s="1" t="s">
        <v>197</v>
      </c>
      <c r="B99" s="1" t="s">
        <v>107</v>
      </c>
      <c r="C99" s="1">
        <v>5518.091797</v>
      </c>
      <c r="D99" s="1">
        <v>67.829002380000006</v>
      </c>
      <c r="E99" s="1">
        <v>73.78451158</v>
      </c>
      <c r="F99" s="1">
        <v>10.46117203</v>
      </c>
      <c r="G99" s="1">
        <v>9.5591807220000007</v>
      </c>
      <c r="H99" s="1">
        <v>6.1951356640000004</v>
      </c>
      <c r="I99" s="1">
        <v>45.724413179999999</v>
      </c>
      <c r="J99" s="1">
        <v>10.6323901</v>
      </c>
      <c r="K99" s="1">
        <v>24.405169730000001</v>
      </c>
      <c r="L99" s="1">
        <v>19.238026990000002</v>
      </c>
      <c r="M99" s="1">
        <v>87.093296159999994</v>
      </c>
      <c r="N99" s="1">
        <v>10.37996439</v>
      </c>
      <c r="O99" s="1">
        <v>2.5177899969999999</v>
      </c>
      <c r="P99" s="1">
        <v>8.9494520549999994E-3</v>
      </c>
      <c r="Q99" s="1">
        <f t="shared" si="0"/>
        <v>16</v>
      </c>
      <c r="R99" s="1">
        <f t="shared" si="1"/>
        <v>3742.8666163177149</v>
      </c>
      <c r="S99" s="1">
        <f t="shared" si="2"/>
        <v>32.170997619999994</v>
      </c>
      <c r="T99" s="1">
        <f t="shared" si="3"/>
        <v>6</v>
      </c>
      <c r="U99" s="1">
        <v>73.78451158</v>
      </c>
      <c r="V99" s="1">
        <f t="shared" si="4"/>
        <v>68</v>
      </c>
      <c r="W99" s="1">
        <f t="shared" si="5"/>
        <v>32</v>
      </c>
    </row>
    <row r="100" spans="1:23" ht="12.5">
      <c r="A100" s="1" t="s">
        <v>124</v>
      </c>
      <c r="B100" s="1" t="s">
        <v>69</v>
      </c>
      <c r="C100" s="1">
        <v>5540.7177730000003</v>
      </c>
      <c r="D100" s="1">
        <v>85.517005920000003</v>
      </c>
      <c r="E100" s="1">
        <v>100.0000033</v>
      </c>
      <c r="F100" s="1">
        <v>0</v>
      </c>
      <c r="G100" s="1">
        <v>0</v>
      </c>
      <c r="H100" s="1">
        <v>0</v>
      </c>
      <c r="I100" s="1">
        <v>100</v>
      </c>
      <c r="J100" s="1">
        <v>0</v>
      </c>
      <c r="K100" s="1">
        <v>0</v>
      </c>
      <c r="L100" s="1">
        <v>0</v>
      </c>
      <c r="M100" s="1">
        <v>100</v>
      </c>
      <c r="N100" s="1">
        <v>0</v>
      </c>
      <c r="O100" s="1">
        <v>0</v>
      </c>
      <c r="P100" s="1">
        <v>0</v>
      </c>
      <c r="Q100" s="1">
        <f t="shared" si="0"/>
        <v>16</v>
      </c>
      <c r="R100" s="1">
        <f t="shared" si="1"/>
        <v>4738.2559459469021</v>
      </c>
      <c r="S100" s="1">
        <f t="shared" si="2"/>
        <v>14.482994079999997</v>
      </c>
      <c r="T100" s="1">
        <f t="shared" si="3"/>
        <v>6</v>
      </c>
      <c r="U100" s="1">
        <v>100</v>
      </c>
      <c r="V100" s="1">
        <f t="shared" si="4"/>
        <v>86</v>
      </c>
      <c r="W100" s="1">
        <f t="shared" si="5"/>
        <v>14</v>
      </c>
    </row>
    <row r="101" spans="1:23" ht="12.5">
      <c r="A101" s="1" t="s">
        <v>108</v>
      </c>
      <c r="B101" s="1" t="s">
        <v>69</v>
      </c>
      <c r="C101" s="1">
        <v>5792.203125</v>
      </c>
      <c r="D101" s="1">
        <v>88.116004939999996</v>
      </c>
      <c r="E101" s="1">
        <v>100.00000110000001</v>
      </c>
      <c r="F101" s="1">
        <v>0</v>
      </c>
      <c r="G101" s="1">
        <v>0</v>
      </c>
      <c r="H101" s="1">
        <v>0</v>
      </c>
      <c r="I101" s="1">
        <v>100</v>
      </c>
      <c r="J101" s="1">
        <v>0</v>
      </c>
      <c r="K101" s="1">
        <v>0</v>
      </c>
      <c r="L101" s="1">
        <v>0</v>
      </c>
      <c r="M101" s="1">
        <v>100</v>
      </c>
      <c r="N101" s="1">
        <v>0</v>
      </c>
      <c r="O101" s="1">
        <v>0</v>
      </c>
      <c r="P101" s="1">
        <v>0</v>
      </c>
      <c r="Q101" s="1">
        <f t="shared" si="0"/>
        <v>16</v>
      </c>
      <c r="R101" s="1">
        <f t="shared" si="1"/>
        <v>5103.8579917598336</v>
      </c>
      <c r="S101" s="1">
        <f t="shared" si="2"/>
        <v>11.883995060000004</v>
      </c>
      <c r="T101" s="1">
        <f t="shared" si="3"/>
        <v>6</v>
      </c>
      <c r="U101" s="1">
        <v>100</v>
      </c>
      <c r="V101" s="1">
        <f t="shared" si="4"/>
        <v>88</v>
      </c>
      <c r="W101" s="1">
        <f t="shared" si="5"/>
        <v>12</v>
      </c>
    </row>
    <row r="102" spans="1:23" ht="12.5">
      <c r="A102" s="1" t="s">
        <v>68</v>
      </c>
      <c r="B102" s="1" t="s">
        <v>69</v>
      </c>
      <c r="C102" s="1">
        <v>5850.3427730000003</v>
      </c>
      <c r="D102" s="1">
        <v>100</v>
      </c>
      <c r="E102" s="1">
        <v>100</v>
      </c>
      <c r="F102" s="1">
        <v>0</v>
      </c>
      <c r="G102" s="1">
        <v>0</v>
      </c>
      <c r="H102" s="1">
        <v>0</v>
      </c>
      <c r="I102" s="1" t="s">
        <v>29</v>
      </c>
      <c r="J102" s="1" t="s">
        <v>29</v>
      </c>
      <c r="K102" s="1" t="s">
        <v>29</v>
      </c>
      <c r="L102" s="1" t="s">
        <v>29</v>
      </c>
      <c r="M102" s="1">
        <v>100</v>
      </c>
      <c r="N102" s="1">
        <v>0</v>
      </c>
      <c r="O102" s="1">
        <v>0</v>
      </c>
      <c r="P102" s="1">
        <v>0</v>
      </c>
      <c r="Q102" s="1">
        <f t="shared" si="0"/>
        <v>16</v>
      </c>
      <c r="R102" s="1">
        <f t="shared" si="1"/>
        <v>5850.3427730000003</v>
      </c>
      <c r="S102" s="1">
        <f t="shared" si="2"/>
        <v>0</v>
      </c>
      <c r="T102" s="1">
        <f t="shared" si="3"/>
        <v>6</v>
      </c>
      <c r="U102" s="1">
        <v>100</v>
      </c>
      <c r="V102" s="1">
        <f t="shared" si="4"/>
        <v>100</v>
      </c>
      <c r="W102" s="1">
        <f t="shared" si="5"/>
        <v>0</v>
      </c>
    </row>
    <row r="103" spans="1:23" ht="12.5">
      <c r="A103" s="1" t="s">
        <v>208</v>
      </c>
      <c r="B103" s="1" t="s">
        <v>74</v>
      </c>
      <c r="C103" s="1">
        <v>6031.1870120000003</v>
      </c>
      <c r="D103" s="1">
        <v>52.516002659999998</v>
      </c>
      <c r="E103" s="1">
        <v>100</v>
      </c>
      <c r="F103" s="1">
        <v>0</v>
      </c>
      <c r="G103" s="1">
        <v>0</v>
      </c>
      <c r="H103" s="1">
        <v>0</v>
      </c>
      <c r="I103" s="1">
        <v>100</v>
      </c>
      <c r="J103" s="1">
        <v>0</v>
      </c>
      <c r="K103" s="1">
        <v>0</v>
      </c>
      <c r="L103" s="1">
        <v>0</v>
      </c>
      <c r="M103" s="1">
        <v>100</v>
      </c>
      <c r="N103" s="1">
        <v>0</v>
      </c>
      <c r="O103" s="1">
        <v>0</v>
      </c>
      <c r="P103" s="1">
        <v>0</v>
      </c>
      <c r="Q103" s="1">
        <f t="shared" si="0"/>
        <v>16</v>
      </c>
      <c r="R103" s="1">
        <f t="shared" si="1"/>
        <v>3167.3383316514942</v>
      </c>
      <c r="S103" s="1">
        <f t="shared" si="2"/>
        <v>47.483997340000002</v>
      </c>
      <c r="T103" s="1">
        <f t="shared" si="3"/>
        <v>7</v>
      </c>
      <c r="U103" s="1">
        <v>100</v>
      </c>
      <c r="V103" s="1">
        <f t="shared" si="4"/>
        <v>53</v>
      </c>
      <c r="W103" s="1">
        <f t="shared" si="5"/>
        <v>47</v>
      </c>
    </row>
    <row r="104" spans="1:23" ht="12.5">
      <c r="A104" s="1" t="s">
        <v>177</v>
      </c>
      <c r="B104" s="1" t="s">
        <v>107</v>
      </c>
      <c r="C104" s="1">
        <v>6486.201172</v>
      </c>
      <c r="D104" s="1">
        <v>73.444000239999994</v>
      </c>
      <c r="E104" s="1">
        <v>97.946575409999994</v>
      </c>
      <c r="F104" s="1">
        <v>0.20726323190000001</v>
      </c>
      <c r="G104" s="1">
        <v>0.31517399689999998</v>
      </c>
      <c r="H104" s="1">
        <v>1.530987366</v>
      </c>
      <c r="I104" s="1">
        <v>93.454395079999998</v>
      </c>
      <c r="J104" s="1">
        <v>0.78047620490000003</v>
      </c>
      <c r="K104" s="1">
        <v>0</v>
      </c>
      <c r="L104" s="1">
        <v>5.7651287120000001</v>
      </c>
      <c r="M104" s="1">
        <v>99.570870009999993</v>
      </c>
      <c r="N104" s="1">
        <v>0</v>
      </c>
      <c r="O104" s="1">
        <v>0.42912999439999999</v>
      </c>
      <c r="P104" s="1">
        <v>0</v>
      </c>
      <c r="Q104" s="1">
        <f t="shared" si="0"/>
        <v>16</v>
      </c>
      <c r="R104" s="1">
        <f t="shared" si="1"/>
        <v>4763.7256043305624</v>
      </c>
      <c r="S104" s="1">
        <f t="shared" si="2"/>
        <v>26.555999760000006</v>
      </c>
      <c r="T104" s="1">
        <f t="shared" si="3"/>
        <v>7</v>
      </c>
      <c r="U104" s="1">
        <v>97.946575409999994</v>
      </c>
      <c r="V104" s="1">
        <f t="shared" si="4"/>
        <v>73</v>
      </c>
      <c r="W104" s="1">
        <f t="shared" si="5"/>
        <v>27</v>
      </c>
    </row>
    <row r="105" spans="1:23" ht="12.5">
      <c r="A105" s="1" t="s">
        <v>211</v>
      </c>
      <c r="B105" s="1" t="s">
        <v>29</v>
      </c>
      <c r="C105" s="1">
        <v>6524.1909180000002</v>
      </c>
      <c r="D105" s="1">
        <v>36.855998990000003</v>
      </c>
      <c r="E105" s="1">
        <v>91.699305219999999</v>
      </c>
      <c r="F105" s="1">
        <v>1.900734111</v>
      </c>
      <c r="G105" s="1">
        <v>1.8656486999999999</v>
      </c>
      <c r="H105" s="1">
        <v>4.5343119649999997</v>
      </c>
      <c r="I105" s="1">
        <v>87.258429000000007</v>
      </c>
      <c r="J105" s="1">
        <v>2.606070485</v>
      </c>
      <c r="K105" s="1">
        <v>2.9545936840000002</v>
      </c>
      <c r="L105" s="1">
        <v>7.1809068319999998</v>
      </c>
      <c r="M105" s="1">
        <v>99.307692309999993</v>
      </c>
      <c r="N105" s="1">
        <v>0.6923076923</v>
      </c>
      <c r="O105" s="1">
        <v>0</v>
      </c>
      <c r="P105" s="1">
        <v>0</v>
      </c>
      <c r="Q105" s="1">
        <f t="shared" si="0"/>
        <v>16</v>
      </c>
      <c r="R105" s="1">
        <f t="shared" si="1"/>
        <v>2404.5557388437524</v>
      </c>
      <c r="S105" s="1">
        <f t="shared" si="2"/>
        <v>63.144001009999997</v>
      </c>
      <c r="T105" s="1">
        <f t="shared" si="3"/>
        <v>7</v>
      </c>
      <c r="U105" s="1">
        <v>91.699305219999999</v>
      </c>
      <c r="V105" s="1">
        <f t="shared" si="4"/>
        <v>37</v>
      </c>
      <c r="W105" s="1">
        <f t="shared" si="5"/>
        <v>63</v>
      </c>
    </row>
    <row r="106" spans="1:23" ht="12.5">
      <c r="A106" s="1" t="s">
        <v>214</v>
      </c>
      <c r="B106" s="1" t="s">
        <v>107</v>
      </c>
      <c r="C106" s="1">
        <v>6624.5541990000002</v>
      </c>
      <c r="D106" s="1">
        <v>59.012001040000001</v>
      </c>
      <c r="E106" s="1">
        <v>81.708753799999997</v>
      </c>
      <c r="F106" s="1">
        <v>1.506645682</v>
      </c>
      <c r="G106" s="1">
        <v>13.530531140000001</v>
      </c>
      <c r="H106" s="1">
        <v>3.2540693780000001</v>
      </c>
      <c r="I106" s="1">
        <v>59.107446629999998</v>
      </c>
      <c r="J106" s="1">
        <v>3.5209742849999999</v>
      </c>
      <c r="K106" s="1">
        <v>29.780173680000001</v>
      </c>
      <c r="L106" s="1">
        <v>7.5914054000000002</v>
      </c>
      <c r="M106" s="1">
        <v>97.406956609999995</v>
      </c>
      <c r="N106" s="1">
        <v>0.10755231429999999</v>
      </c>
      <c r="O106" s="1">
        <v>2.244007656</v>
      </c>
      <c r="P106" s="1">
        <v>0.24148342289999999</v>
      </c>
      <c r="Q106" s="1">
        <f t="shared" si="0"/>
        <v>16</v>
      </c>
      <c r="R106" s="1">
        <f t="shared" si="1"/>
        <v>3909.281992809244</v>
      </c>
      <c r="S106" s="1">
        <f t="shared" si="2"/>
        <v>40.987998959999999</v>
      </c>
      <c r="T106" s="1">
        <f t="shared" si="3"/>
        <v>7</v>
      </c>
      <c r="U106" s="1">
        <v>81.708753799999997</v>
      </c>
      <c r="V106" s="1">
        <f t="shared" si="4"/>
        <v>59</v>
      </c>
      <c r="W106" s="1">
        <f t="shared" si="5"/>
        <v>41</v>
      </c>
    </row>
    <row r="107" spans="1:23" ht="12.5">
      <c r="A107" s="1" t="s">
        <v>104</v>
      </c>
      <c r="B107" s="1" t="s">
        <v>107</v>
      </c>
      <c r="C107" s="1">
        <v>6825.4418949999999</v>
      </c>
      <c r="D107" s="1">
        <v>88.924995420000002</v>
      </c>
      <c r="E107" s="1">
        <v>92.6</v>
      </c>
      <c r="F107" s="1">
        <v>7.4</v>
      </c>
      <c r="G107" s="1">
        <v>0</v>
      </c>
      <c r="H107" s="1">
        <v>0</v>
      </c>
      <c r="I107" s="1" t="s">
        <v>29</v>
      </c>
      <c r="J107" s="1" t="s">
        <v>29</v>
      </c>
      <c r="K107" s="1" t="s">
        <v>29</v>
      </c>
      <c r="L107" s="1" t="s">
        <v>29</v>
      </c>
      <c r="M107" s="1" t="s">
        <v>29</v>
      </c>
      <c r="N107" s="1" t="s">
        <v>29</v>
      </c>
      <c r="O107" s="1" t="s">
        <v>29</v>
      </c>
      <c r="P107" s="1" t="s">
        <v>29</v>
      </c>
      <c r="Q107" s="1">
        <f t="shared" si="0"/>
        <v>16</v>
      </c>
      <c r="R107" s="1">
        <f t="shared" si="1"/>
        <v>6069.5238925235108</v>
      </c>
      <c r="S107" s="1">
        <f t="shared" si="2"/>
        <v>11.075004579999998</v>
      </c>
      <c r="T107" s="1">
        <f t="shared" si="3"/>
        <v>7</v>
      </c>
      <c r="U107" s="1">
        <v>92.6</v>
      </c>
      <c r="V107" s="1">
        <f t="shared" si="4"/>
        <v>89</v>
      </c>
      <c r="W107" s="1">
        <f t="shared" si="5"/>
        <v>11</v>
      </c>
    </row>
    <row r="108" spans="1:23" ht="12.5">
      <c r="A108" s="1" t="s">
        <v>138</v>
      </c>
      <c r="B108" s="1" t="s">
        <v>74</v>
      </c>
      <c r="C108" s="1">
        <v>6871.2871089999999</v>
      </c>
      <c r="D108" s="1">
        <v>80.691001889999995</v>
      </c>
      <c r="E108" s="1">
        <v>99.891523800000002</v>
      </c>
      <c r="F108" s="1">
        <v>0</v>
      </c>
      <c r="G108" s="1">
        <v>0.1084762012</v>
      </c>
      <c r="H108" s="1">
        <v>0</v>
      </c>
      <c r="I108" s="1" t="s">
        <v>29</v>
      </c>
      <c r="J108" s="1" t="s">
        <v>29</v>
      </c>
      <c r="K108" s="1" t="s">
        <v>29</v>
      </c>
      <c r="L108" s="1" t="s">
        <v>29</v>
      </c>
      <c r="M108" s="1" t="s">
        <v>29</v>
      </c>
      <c r="N108" s="1" t="s">
        <v>29</v>
      </c>
      <c r="O108" s="1" t="s">
        <v>29</v>
      </c>
      <c r="P108" s="1" t="s">
        <v>29</v>
      </c>
      <c r="Q108" s="1">
        <f t="shared" si="0"/>
        <v>16</v>
      </c>
      <c r="R108" s="1">
        <f t="shared" si="1"/>
        <v>5544.510410990516</v>
      </c>
      <c r="S108" s="1">
        <f t="shared" si="2"/>
        <v>19.308998110000005</v>
      </c>
      <c r="T108" s="1">
        <f t="shared" si="3"/>
        <v>7</v>
      </c>
      <c r="U108" s="1">
        <v>99.891523800000002</v>
      </c>
      <c r="V108" s="1">
        <f t="shared" si="4"/>
        <v>81</v>
      </c>
      <c r="W108" s="1">
        <f t="shared" si="5"/>
        <v>19</v>
      </c>
    </row>
    <row r="109" spans="1:23" ht="12.5">
      <c r="A109" s="1" t="s">
        <v>162</v>
      </c>
      <c r="B109" s="1" t="s">
        <v>74</v>
      </c>
      <c r="C109" s="1">
        <v>6948.4448240000002</v>
      </c>
      <c r="D109" s="1">
        <v>75.685997009999994</v>
      </c>
      <c r="E109" s="1">
        <v>99.011416940000004</v>
      </c>
      <c r="F109" s="1">
        <v>0</v>
      </c>
      <c r="G109" s="1">
        <v>0.98858306070000002</v>
      </c>
      <c r="H109" s="1">
        <v>0</v>
      </c>
      <c r="I109" s="1">
        <v>97.401287969999998</v>
      </c>
      <c r="J109" s="1">
        <v>0</v>
      </c>
      <c r="K109" s="1">
        <v>2.5987120309999998</v>
      </c>
      <c r="L109" s="1">
        <v>0</v>
      </c>
      <c r="M109" s="1">
        <v>99.528670399999996</v>
      </c>
      <c r="N109" s="1">
        <v>0</v>
      </c>
      <c r="O109" s="1">
        <v>0.47132960070000002</v>
      </c>
      <c r="P109" s="1">
        <v>0</v>
      </c>
      <c r="Q109" s="1">
        <f t="shared" si="0"/>
        <v>16</v>
      </c>
      <c r="R109" s="1">
        <f t="shared" si="1"/>
        <v>5258.9997417341392</v>
      </c>
      <c r="S109" s="1">
        <f t="shared" si="2"/>
        <v>24.314002990000006</v>
      </c>
      <c r="T109" s="1">
        <f t="shared" si="3"/>
        <v>7</v>
      </c>
      <c r="U109" s="1">
        <v>99.011416940000004</v>
      </c>
      <c r="V109" s="1">
        <f t="shared" si="4"/>
        <v>76</v>
      </c>
      <c r="W109" s="1">
        <f t="shared" si="5"/>
        <v>24</v>
      </c>
    </row>
    <row r="110" spans="1:23" ht="12.5">
      <c r="A110" s="1" t="s">
        <v>209</v>
      </c>
      <c r="B110" s="1" t="s">
        <v>74</v>
      </c>
      <c r="C110" s="1">
        <v>7132.5297849999997</v>
      </c>
      <c r="D110" s="1">
        <v>62.182994839999999</v>
      </c>
      <c r="E110" s="1">
        <v>99.593466329999998</v>
      </c>
      <c r="F110" s="1">
        <v>0.40653024389999998</v>
      </c>
      <c r="G110" s="1">
        <v>3.4229177000000001E-6</v>
      </c>
      <c r="H110" s="1">
        <v>0</v>
      </c>
      <c r="I110" s="1">
        <v>99.111227529999994</v>
      </c>
      <c r="J110" s="1">
        <v>0.88877246840000002</v>
      </c>
      <c r="K110" s="1">
        <v>0</v>
      </c>
      <c r="L110" s="1">
        <v>0</v>
      </c>
      <c r="M110" s="1">
        <v>99.886748539999999</v>
      </c>
      <c r="N110" s="1">
        <v>0.11325146429999999</v>
      </c>
      <c r="O110" s="1">
        <v>0</v>
      </c>
      <c r="P110" s="1">
        <v>0</v>
      </c>
      <c r="Q110" s="1">
        <f t="shared" si="0"/>
        <v>16</v>
      </c>
      <c r="R110" s="1">
        <f t="shared" si="1"/>
        <v>4435.2206281680128</v>
      </c>
      <c r="S110" s="1">
        <f t="shared" si="2"/>
        <v>37.817005160000001</v>
      </c>
      <c r="T110" s="1">
        <f t="shared" si="3"/>
        <v>8</v>
      </c>
      <c r="U110" s="1">
        <v>99.593466329999998</v>
      </c>
      <c r="V110" s="1">
        <f t="shared" si="4"/>
        <v>62</v>
      </c>
      <c r="W110" s="1">
        <f t="shared" si="5"/>
        <v>38</v>
      </c>
    </row>
    <row r="111" spans="1:23" ht="12.5">
      <c r="A111" s="1" t="s">
        <v>216</v>
      </c>
      <c r="B111" s="1" t="s">
        <v>107</v>
      </c>
      <c r="C111" s="1">
        <v>7275.5561520000001</v>
      </c>
      <c r="D111" s="1">
        <v>36.290000919999997</v>
      </c>
      <c r="E111" s="1">
        <v>85.219743179999995</v>
      </c>
      <c r="F111" s="1">
        <v>3.566857739</v>
      </c>
      <c r="G111" s="1">
        <v>10.62886799</v>
      </c>
      <c r="H111" s="1">
        <v>0.58453109380000001</v>
      </c>
      <c r="I111" s="1">
        <v>78.472959419999995</v>
      </c>
      <c r="J111" s="1">
        <v>5.5985837859999998</v>
      </c>
      <c r="K111" s="1">
        <v>15.010969599999999</v>
      </c>
      <c r="L111" s="1">
        <v>0.91748719570000004</v>
      </c>
      <c r="M111" s="1">
        <v>97.064262220000003</v>
      </c>
      <c r="N111" s="1">
        <v>0</v>
      </c>
      <c r="O111" s="1">
        <v>2.935737778</v>
      </c>
      <c r="P111" s="1">
        <v>0</v>
      </c>
      <c r="Q111" s="1">
        <f t="shared" si="0"/>
        <v>16</v>
      </c>
      <c r="R111" s="1">
        <f t="shared" si="1"/>
        <v>2640.2993944959167</v>
      </c>
      <c r="S111" s="1">
        <f t="shared" si="2"/>
        <v>63.709999080000003</v>
      </c>
      <c r="T111" s="1">
        <f t="shared" si="3"/>
        <v>8</v>
      </c>
      <c r="U111" s="1">
        <v>85.219743179999995</v>
      </c>
      <c r="V111" s="1">
        <f t="shared" si="4"/>
        <v>36</v>
      </c>
      <c r="W111" s="1">
        <f t="shared" si="5"/>
        <v>64</v>
      </c>
    </row>
    <row r="112" spans="1:23" ht="12.5">
      <c r="A112" s="1" t="s">
        <v>70</v>
      </c>
      <c r="B112" s="1" t="s">
        <v>69</v>
      </c>
      <c r="C112" s="1">
        <v>7496.9877930000002</v>
      </c>
      <c r="D112" s="1">
        <v>100</v>
      </c>
      <c r="E112" s="1">
        <v>100</v>
      </c>
      <c r="F112" s="1">
        <v>0</v>
      </c>
      <c r="G112" s="1">
        <v>0</v>
      </c>
      <c r="H112" s="1">
        <v>0</v>
      </c>
      <c r="I112" s="1" t="s">
        <v>29</v>
      </c>
      <c r="J112" s="1" t="s">
        <v>29</v>
      </c>
      <c r="K112" s="1" t="s">
        <v>29</v>
      </c>
      <c r="L112" s="1" t="s">
        <v>29</v>
      </c>
      <c r="M112" s="1">
        <v>100</v>
      </c>
      <c r="N112" s="1">
        <v>0</v>
      </c>
      <c r="O112" s="1">
        <v>0</v>
      </c>
      <c r="P112" s="1">
        <v>0</v>
      </c>
      <c r="Q112" s="1">
        <f t="shared" si="0"/>
        <v>16</v>
      </c>
      <c r="R112" s="1">
        <f t="shared" si="1"/>
        <v>7496.9877930000002</v>
      </c>
      <c r="S112" s="1">
        <f t="shared" si="2"/>
        <v>0</v>
      </c>
      <c r="T112" s="1">
        <f t="shared" si="3"/>
        <v>8</v>
      </c>
      <c r="U112" s="1">
        <v>100</v>
      </c>
      <c r="V112" s="1">
        <f t="shared" si="4"/>
        <v>100</v>
      </c>
      <c r="W112" s="1">
        <f t="shared" si="5"/>
        <v>0</v>
      </c>
    </row>
    <row r="113" spans="1:23" ht="12.5">
      <c r="A113" s="1" t="s">
        <v>218</v>
      </c>
      <c r="B113" s="1" t="s">
        <v>170</v>
      </c>
      <c r="C113" s="1">
        <v>7976.9848629999997</v>
      </c>
      <c r="D113" s="1">
        <v>42.923000340000002</v>
      </c>
      <c r="E113" s="1">
        <v>63.766285619999998</v>
      </c>
      <c r="F113" s="1">
        <v>9.0233163570000006</v>
      </c>
      <c r="G113" s="1">
        <v>15.5639457</v>
      </c>
      <c r="H113" s="1">
        <v>11.646452330000001</v>
      </c>
      <c r="I113" s="1">
        <v>52.752702669999998</v>
      </c>
      <c r="J113" s="1">
        <v>5.2211368890000003</v>
      </c>
      <c r="K113" s="1">
        <v>23.142949089999998</v>
      </c>
      <c r="L113" s="1">
        <v>18.88321135</v>
      </c>
      <c r="M113" s="1">
        <v>78.411637659999997</v>
      </c>
      <c r="N113" s="1">
        <v>14.079277429999999</v>
      </c>
      <c r="O113" s="1">
        <v>5.4857354369999998</v>
      </c>
      <c r="P113" s="1">
        <v>2.0233494749999998</v>
      </c>
      <c r="Q113" s="1">
        <f t="shared" si="0"/>
        <v>16</v>
      </c>
      <c r="R113" s="1">
        <f t="shared" si="1"/>
        <v>3423.9612398672384</v>
      </c>
      <c r="S113" s="1">
        <f t="shared" si="2"/>
        <v>57.076999659999998</v>
      </c>
      <c r="T113" s="1">
        <f t="shared" si="3"/>
        <v>8</v>
      </c>
      <c r="U113" s="1">
        <v>63.766285619999998</v>
      </c>
      <c r="V113" s="1">
        <f t="shared" si="4"/>
        <v>43</v>
      </c>
      <c r="W113" s="1">
        <f t="shared" si="5"/>
        <v>57</v>
      </c>
    </row>
    <row r="114" spans="1:23" ht="12.5">
      <c r="A114" s="1" t="s">
        <v>220</v>
      </c>
      <c r="B114" s="1" t="s">
        <v>170</v>
      </c>
      <c r="C114" s="1">
        <v>8278.7373050000006</v>
      </c>
      <c r="D114" s="1">
        <v>42.799999239999998</v>
      </c>
      <c r="E114" s="1">
        <v>68.58372009</v>
      </c>
      <c r="F114" s="1">
        <v>6.065434765</v>
      </c>
      <c r="G114" s="1">
        <v>14.16432245</v>
      </c>
      <c r="H114" s="1">
        <v>11.18652269</v>
      </c>
      <c r="I114" s="1">
        <v>52.117552750000002</v>
      </c>
      <c r="J114" s="1">
        <v>8.1875420190000003</v>
      </c>
      <c r="K114" s="1">
        <v>20.7910842</v>
      </c>
      <c r="L114" s="1">
        <v>18.90382103</v>
      </c>
      <c r="M114" s="1">
        <v>90.589910009999997</v>
      </c>
      <c r="N114" s="1">
        <v>3.2293480560000001</v>
      </c>
      <c r="O114" s="1">
        <v>5.3079905280000004</v>
      </c>
      <c r="P114" s="1">
        <v>0.87275140490000003</v>
      </c>
      <c r="Q114" s="1">
        <f t="shared" si="0"/>
        <v>16</v>
      </c>
      <c r="R114" s="1">
        <f t="shared" si="1"/>
        <v>3543.2995036215966</v>
      </c>
      <c r="S114" s="1">
        <f t="shared" si="2"/>
        <v>57.200000760000002</v>
      </c>
      <c r="T114" s="1">
        <f t="shared" si="3"/>
        <v>9</v>
      </c>
      <c r="U114" s="1">
        <v>68.58372009</v>
      </c>
      <c r="V114" s="1">
        <f t="shared" si="4"/>
        <v>43</v>
      </c>
      <c r="W114" s="1">
        <f t="shared" si="5"/>
        <v>57</v>
      </c>
    </row>
    <row r="115" spans="1:23" ht="12.5">
      <c r="A115" s="1" t="s">
        <v>172</v>
      </c>
      <c r="B115" s="1" t="s">
        <v>69</v>
      </c>
      <c r="C115" s="1">
        <v>8654.6181639999995</v>
      </c>
      <c r="D115" s="1">
        <v>73.915000919999997</v>
      </c>
      <c r="E115" s="1">
        <v>100.0000028</v>
      </c>
      <c r="F115" s="1">
        <v>0</v>
      </c>
      <c r="G115" s="1">
        <v>0</v>
      </c>
      <c r="H115" s="1">
        <v>0</v>
      </c>
      <c r="I115" s="1">
        <v>100</v>
      </c>
      <c r="J115" s="1">
        <v>0</v>
      </c>
      <c r="K115" s="1">
        <v>0</v>
      </c>
      <c r="L115" s="1">
        <v>0</v>
      </c>
      <c r="M115" s="1">
        <v>100</v>
      </c>
      <c r="N115" s="1">
        <v>0</v>
      </c>
      <c r="O115" s="1">
        <v>0</v>
      </c>
      <c r="P115" s="1">
        <v>0</v>
      </c>
      <c r="Q115" s="1">
        <f t="shared" si="0"/>
        <v>16</v>
      </c>
      <c r="R115" s="1">
        <f t="shared" si="1"/>
        <v>6397.0610955430866</v>
      </c>
      <c r="S115" s="1">
        <f t="shared" si="2"/>
        <v>26.084999080000003</v>
      </c>
      <c r="T115" s="1">
        <f t="shared" si="3"/>
        <v>9</v>
      </c>
      <c r="U115" s="1">
        <v>100</v>
      </c>
      <c r="V115" s="1">
        <f t="shared" si="4"/>
        <v>74</v>
      </c>
      <c r="W115" s="1">
        <f t="shared" si="5"/>
        <v>26</v>
      </c>
    </row>
    <row r="116" spans="1:23" ht="12.5">
      <c r="A116" s="1" t="s">
        <v>88</v>
      </c>
      <c r="B116" s="1" t="s">
        <v>69</v>
      </c>
      <c r="C116" s="1">
        <v>8655.5410159999992</v>
      </c>
      <c r="D116" s="1">
        <v>92.58699799</v>
      </c>
      <c r="E116" s="1">
        <v>100</v>
      </c>
      <c r="F116" s="1">
        <v>0</v>
      </c>
      <c r="G116" s="1">
        <v>0</v>
      </c>
      <c r="H116" s="1">
        <v>0</v>
      </c>
      <c r="I116" s="1">
        <v>100</v>
      </c>
      <c r="J116" s="1">
        <v>0</v>
      </c>
      <c r="K116" s="1">
        <v>0</v>
      </c>
      <c r="L116" s="1">
        <v>0</v>
      </c>
      <c r="M116" s="1">
        <v>100</v>
      </c>
      <c r="N116" s="1">
        <v>0</v>
      </c>
      <c r="O116" s="1">
        <v>0</v>
      </c>
      <c r="P116" s="1">
        <v>0</v>
      </c>
      <c r="Q116" s="1">
        <f t="shared" si="0"/>
        <v>16</v>
      </c>
      <c r="R116" s="1">
        <f t="shared" si="1"/>
        <v>8013.9055865075443</v>
      </c>
      <c r="S116" s="1">
        <f t="shared" si="2"/>
        <v>7.4130020099999996</v>
      </c>
      <c r="T116" s="1">
        <f t="shared" si="3"/>
        <v>9</v>
      </c>
      <c r="U116" s="1">
        <v>100</v>
      </c>
      <c r="V116" s="1">
        <f t="shared" si="4"/>
        <v>93</v>
      </c>
      <c r="W116" s="1">
        <f t="shared" si="5"/>
        <v>7</v>
      </c>
    </row>
    <row r="117" spans="1:23" ht="12.5">
      <c r="A117" s="1" t="s">
        <v>223</v>
      </c>
      <c r="B117" s="1" t="s">
        <v>74</v>
      </c>
      <c r="C117" s="1">
        <v>8737.3701170000004</v>
      </c>
      <c r="D117" s="1">
        <v>56.445999149999999</v>
      </c>
      <c r="E117" s="1">
        <v>95.29552932</v>
      </c>
      <c r="F117" s="1">
        <v>4.244199279</v>
      </c>
      <c r="G117" s="1">
        <v>0.44372047780000001</v>
      </c>
      <c r="H117" s="1">
        <v>1.6550926470000001E-2</v>
      </c>
      <c r="I117" s="1">
        <v>95.844974750000006</v>
      </c>
      <c r="J117" s="1">
        <v>3.545864028</v>
      </c>
      <c r="K117" s="1">
        <v>0.57116028659999996</v>
      </c>
      <c r="L117" s="1">
        <v>3.8000931410000001E-2</v>
      </c>
      <c r="M117" s="1">
        <v>94.871569890000004</v>
      </c>
      <c r="N117" s="1">
        <v>4.7830378649999998</v>
      </c>
      <c r="O117" s="1">
        <v>0.3453922445</v>
      </c>
      <c r="P117" s="1">
        <v>0</v>
      </c>
      <c r="Q117" s="1">
        <f t="shared" si="0"/>
        <v>16</v>
      </c>
      <c r="R117" s="1">
        <f t="shared" si="1"/>
        <v>4931.8958619741743</v>
      </c>
      <c r="S117" s="1">
        <f t="shared" si="2"/>
        <v>43.554000850000001</v>
      </c>
      <c r="T117" s="1">
        <f t="shared" si="3"/>
        <v>9</v>
      </c>
      <c r="U117" s="1">
        <v>95.29552932</v>
      </c>
      <c r="V117" s="1">
        <f t="shared" si="4"/>
        <v>56</v>
      </c>
      <c r="W117" s="1">
        <f t="shared" si="5"/>
        <v>44</v>
      </c>
    </row>
    <row r="118" spans="1:23" ht="12.5">
      <c r="A118" s="1" t="s">
        <v>225</v>
      </c>
      <c r="B118" s="1" t="s">
        <v>107</v>
      </c>
      <c r="C118" s="1">
        <v>8947.0273440000001</v>
      </c>
      <c r="D118" s="1">
        <v>13.34500027</v>
      </c>
      <c r="E118" s="1">
        <v>45.344017520000001</v>
      </c>
      <c r="F118" s="1">
        <v>2.128564452</v>
      </c>
      <c r="G118" s="1">
        <v>22.157624949999999</v>
      </c>
      <c r="H118" s="1">
        <v>30.369793080000001</v>
      </c>
      <c r="I118" s="1">
        <v>39.071343669999997</v>
      </c>
      <c r="J118" s="1">
        <v>2.4298502929999999</v>
      </c>
      <c r="K118" s="1">
        <v>24.431800859999999</v>
      </c>
      <c r="L118" s="1">
        <v>34.067005170000002</v>
      </c>
      <c r="M118" s="1">
        <v>86.075271639999997</v>
      </c>
      <c r="N118" s="1">
        <v>0.17218226079999999</v>
      </c>
      <c r="O118" s="1">
        <v>7.3903855639999998</v>
      </c>
      <c r="P118" s="1">
        <v>6.3621605319999999</v>
      </c>
      <c r="Q118" s="1">
        <f t="shared" si="0"/>
        <v>16</v>
      </c>
      <c r="R118" s="1">
        <f t="shared" si="1"/>
        <v>1193.9808232137736</v>
      </c>
      <c r="S118" s="1">
        <f t="shared" si="2"/>
        <v>86.65499973</v>
      </c>
      <c r="T118" s="1">
        <f t="shared" si="3"/>
        <v>9</v>
      </c>
      <c r="U118" s="1">
        <v>45.344017520000001</v>
      </c>
      <c r="V118" s="1">
        <f t="shared" si="4"/>
        <v>13</v>
      </c>
      <c r="W118" s="1">
        <f t="shared" si="5"/>
        <v>87</v>
      </c>
    </row>
    <row r="119" spans="1:23" ht="12.5">
      <c r="A119" s="1" t="s">
        <v>215</v>
      </c>
      <c r="B119" s="1" t="s">
        <v>69</v>
      </c>
      <c r="C119" s="1">
        <v>9006.4003909999992</v>
      </c>
      <c r="D119" s="1">
        <v>58.748001100000003</v>
      </c>
      <c r="E119" s="1">
        <v>100</v>
      </c>
      <c r="F119" s="1">
        <v>0</v>
      </c>
      <c r="G119" s="1">
        <v>0</v>
      </c>
      <c r="H119" s="1">
        <v>0</v>
      </c>
      <c r="I119" s="1">
        <v>100</v>
      </c>
      <c r="J119" s="1">
        <v>0</v>
      </c>
      <c r="K119" s="1">
        <v>0</v>
      </c>
      <c r="L119" s="1">
        <v>0</v>
      </c>
      <c r="M119" s="1">
        <v>100</v>
      </c>
      <c r="N119" s="1">
        <v>0</v>
      </c>
      <c r="O119" s="1">
        <v>0</v>
      </c>
      <c r="P119" s="1">
        <v>0</v>
      </c>
      <c r="Q119" s="1">
        <f t="shared" si="0"/>
        <v>16</v>
      </c>
      <c r="R119" s="1">
        <f t="shared" si="1"/>
        <v>5291.0802007750844</v>
      </c>
      <c r="S119" s="1">
        <f t="shared" si="2"/>
        <v>41.251998899999997</v>
      </c>
      <c r="T119" s="1">
        <f t="shared" si="3"/>
        <v>10</v>
      </c>
      <c r="U119" s="1">
        <v>100</v>
      </c>
      <c r="V119" s="1">
        <f t="shared" si="4"/>
        <v>59</v>
      </c>
      <c r="W119" s="1">
        <f t="shared" si="5"/>
        <v>41</v>
      </c>
    </row>
    <row r="120" spans="1:23" ht="12.5">
      <c r="A120" s="1" t="s">
        <v>150</v>
      </c>
      <c r="B120" s="1" t="s">
        <v>74</v>
      </c>
      <c r="C120" s="1">
        <v>9449.3212889999995</v>
      </c>
      <c r="D120" s="1">
        <v>79.483001709999996</v>
      </c>
      <c r="E120" s="1">
        <v>96.534726079999999</v>
      </c>
      <c r="F120" s="1">
        <v>3.3721195499999999</v>
      </c>
      <c r="G120" s="1">
        <v>9.3154368370000004E-2</v>
      </c>
      <c r="H120" s="1">
        <v>0</v>
      </c>
      <c r="I120" s="1">
        <v>98.564122310000002</v>
      </c>
      <c r="J120" s="1">
        <v>0.9955971951</v>
      </c>
      <c r="K120" s="1">
        <v>0.4402804931</v>
      </c>
      <c r="L120" s="1">
        <v>0</v>
      </c>
      <c r="M120" s="1">
        <v>96.010873619999998</v>
      </c>
      <c r="N120" s="1">
        <v>3.9855726439999999</v>
      </c>
      <c r="O120" s="1">
        <v>3.5537319770000001E-3</v>
      </c>
      <c r="P120" s="1">
        <v>0</v>
      </c>
      <c r="Q120" s="1">
        <f t="shared" si="0"/>
        <v>16</v>
      </c>
      <c r="R120" s="1">
        <f t="shared" si="1"/>
        <v>7510.604201719264</v>
      </c>
      <c r="S120" s="1">
        <f t="shared" si="2"/>
        <v>20.516998290000004</v>
      </c>
      <c r="T120" s="1">
        <f t="shared" si="3"/>
        <v>10</v>
      </c>
      <c r="U120" s="1">
        <v>96.534726079999999</v>
      </c>
      <c r="V120" s="1">
        <f t="shared" si="4"/>
        <v>79</v>
      </c>
      <c r="W120" s="1">
        <f t="shared" si="5"/>
        <v>21</v>
      </c>
    </row>
    <row r="121" spans="1:23" ht="12.5">
      <c r="A121" s="1" t="s">
        <v>227</v>
      </c>
      <c r="B121" s="1" t="s">
        <v>107</v>
      </c>
      <c r="C121" s="1">
        <v>9537.6416019999997</v>
      </c>
      <c r="D121" s="1">
        <v>27.505998609999999</v>
      </c>
      <c r="E121" s="1">
        <v>81.852415019999995</v>
      </c>
      <c r="F121" s="1">
        <v>2.5683639349999998</v>
      </c>
      <c r="G121" s="1">
        <v>3.4218570050000001</v>
      </c>
      <c r="H121" s="1">
        <v>12.157364039999999</v>
      </c>
      <c r="I121" s="1">
        <v>76.643599199999997</v>
      </c>
      <c r="J121" s="1">
        <v>3.2071439279999998</v>
      </c>
      <c r="K121" s="1">
        <v>4.1407069480000001</v>
      </c>
      <c r="L121" s="1">
        <v>16.00854992</v>
      </c>
      <c r="M121" s="1">
        <v>95.580623860000003</v>
      </c>
      <c r="N121" s="1">
        <v>0.88481447629999999</v>
      </c>
      <c r="O121" s="1">
        <v>1.5272683229999999</v>
      </c>
      <c r="P121" s="1">
        <v>2.0072933389999998</v>
      </c>
      <c r="Q121" s="1">
        <f t="shared" si="0"/>
        <v>16</v>
      </c>
      <c r="R121" s="1">
        <f t="shared" si="1"/>
        <v>2623.4235664729017</v>
      </c>
      <c r="S121" s="1">
        <f t="shared" si="2"/>
        <v>72.494001389999994</v>
      </c>
      <c r="T121" s="1">
        <f t="shared" si="3"/>
        <v>10</v>
      </c>
      <c r="U121" s="1">
        <v>81.852415019999995</v>
      </c>
      <c r="V121" s="1">
        <f t="shared" si="4"/>
        <v>28</v>
      </c>
      <c r="W121" s="1">
        <f t="shared" si="5"/>
        <v>72</v>
      </c>
    </row>
    <row r="122" spans="1:23" ht="12.5">
      <c r="A122" s="1" t="s">
        <v>179</v>
      </c>
      <c r="B122" s="1" t="s">
        <v>69</v>
      </c>
      <c r="C122" s="1">
        <v>9660.3496090000008</v>
      </c>
      <c r="D122" s="1">
        <v>71.942001340000004</v>
      </c>
      <c r="E122" s="1">
        <v>99.999997469999997</v>
      </c>
      <c r="F122" s="1">
        <v>0</v>
      </c>
      <c r="G122" s="1">
        <v>2.5272441919999999E-6</v>
      </c>
      <c r="H122" s="1">
        <v>0</v>
      </c>
      <c r="I122" s="1">
        <v>100</v>
      </c>
      <c r="J122" s="1">
        <v>0</v>
      </c>
      <c r="K122" s="1">
        <v>0</v>
      </c>
      <c r="L122" s="1">
        <v>0</v>
      </c>
      <c r="M122" s="1">
        <v>100</v>
      </c>
      <c r="N122" s="1">
        <v>0</v>
      </c>
      <c r="O122" s="1">
        <v>0</v>
      </c>
      <c r="P122" s="1">
        <v>0</v>
      </c>
      <c r="Q122" s="1">
        <f t="shared" si="0"/>
        <v>16</v>
      </c>
      <c r="R122" s="1">
        <f t="shared" si="1"/>
        <v>6949.8488451554658</v>
      </c>
      <c r="S122" s="1">
        <f t="shared" si="2"/>
        <v>28.057998659999996</v>
      </c>
      <c r="T122" s="1">
        <f t="shared" si="3"/>
        <v>10</v>
      </c>
      <c r="U122" s="1">
        <v>99.999997469999997</v>
      </c>
      <c r="V122" s="1">
        <f t="shared" si="4"/>
        <v>72</v>
      </c>
      <c r="W122" s="1">
        <f t="shared" si="5"/>
        <v>28</v>
      </c>
    </row>
    <row r="123" spans="1:23" ht="12.5">
      <c r="A123" s="1" t="s">
        <v>118</v>
      </c>
      <c r="B123" s="1" t="s">
        <v>69</v>
      </c>
      <c r="C123" s="1">
        <v>9890.4003909999992</v>
      </c>
      <c r="D123" s="1">
        <v>87.047996519999998</v>
      </c>
      <c r="E123" s="1">
        <v>99.965596000000005</v>
      </c>
      <c r="F123" s="1">
        <v>0</v>
      </c>
      <c r="G123" s="1">
        <v>3.4403999999999997E-2</v>
      </c>
      <c r="H123" s="1">
        <v>0</v>
      </c>
      <c r="I123" s="1" t="s">
        <v>29</v>
      </c>
      <c r="J123" s="1" t="s">
        <v>29</v>
      </c>
      <c r="K123" s="1" t="s">
        <v>29</v>
      </c>
      <c r="L123" s="1" t="s">
        <v>29</v>
      </c>
      <c r="M123" s="1" t="s">
        <v>29</v>
      </c>
      <c r="N123" s="1" t="s">
        <v>29</v>
      </c>
      <c r="O123" s="1" t="s">
        <v>29</v>
      </c>
      <c r="P123" s="1" t="s">
        <v>29</v>
      </c>
      <c r="Q123" s="1">
        <f t="shared" si="0"/>
        <v>16</v>
      </c>
      <c r="R123" s="1">
        <f t="shared" si="1"/>
        <v>8609.3953881717443</v>
      </c>
      <c r="S123" s="1">
        <f t="shared" si="2"/>
        <v>12.952003480000002</v>
      </c>
      <c r="T123" s="1">
        <f t="shared" si="3"/>
        <v>10</v>
      </c>
      <c r="U123" s="1">
        <v>99.965596000000005</v>
      </c>
      <c r="V123" s="1">
        <f t="shared" si="4"/>
        <v>87</v>
      </c>
      <c r="W123" s="1">
        <f t="shared" si="5"/>
        <v>13</v>
      </c>
    </row>
    <row r="124" spans="1:23" ht="12.5">
      <c r="A124" s="1" t="s">
        <v>217</v>
      </c>
      <c r="B124" s="1" t="s">
        <v>107</v>
      </c>
      <c r="C124" s="1">
        <v>9904.6083980000003</v>
      </c>
      <c r="D124" s="1">
        <v>58.358997340000002</v>
      </c>
      <c r="E124" s="1">
        <v>95.689221130000007</v>
      </c>
      <c r="F124" s="1">
        <v>0.4256206085</v>
      </c>
      <c r="G124" s="1">
        <v>3.8851582640000002</v>
      </c>
      <c r="H124" s="1">
        <v>0</v>
      </c>
      <c r="I124" s="1">
        <v>89.875799549999996</v>
      </c>
      <c r="J124" s="1">
        <v>0.80670950789999996</v>
      </c>
      <c r="K124" s="1">
        <v>9.3174909459999995</v>
      </c>
      <c r="L124" s="1">
        <v>0</v>
      </c>
      <c r="M124" s="1">
        <v>99.837282810000005</v>
      </c>
      <c r="N124" s="1">
        <v>0.15370152619999999</v>
      </c>
      <c r="O124" s="1">
        <v>9.0156632960000007E-3</v>
      </c>
      <c r="P124" s="1">
        <v>0</v>
      </c>
      <c r="Q124" s="1">
        <f t="shared" si="0"/>
        <v>16</v>
      </c>
      <c r="R124" s="1">
        <f t="shared" si="1"/>
        <v>5780.2301515262379</v>
      </c>
      <c r="S124" s="1">
        <f t="shared" si="2"/>
        <v>41.641002659999998</v>
      </c>
      <c r="T124" s="1">
        <f t="shared" si="3"/>
        <v>10</v>
      </c>
      <c r="U124" s="1">
        <v>95.689221130000007</v>
      </c>
      <c r="V124" s="1">
        <f t="shared" si="4"/>
        <v>58</v>
      </c>
      <c r="W124" s="1">
        <f t="shared" si="5"/>
        <v>42</v>
      </c>
    </row>
    <row r="125" spans="1:23" ht="12.5">
      <c r="A125" s="1" t="s">
        <v>109</v>
      </c>
      <c r="B125" s="1" t="s">
        <v>69</v>
      </c>
      <c r="C125" s="1">
        <v>10099.26953</v>
      </c>
      <c r="D125" s="1">
        <v>87.97699738</v>
      </c>
      <c r="E125" s="1">
        <v>99.826867629999995</v>
      </c>
      <c r="F125" s="1">
        <v>0</v>
      </c>
      <c r="G125" s="1">
        <v>0.17313237349999999</v>
      </c>
      <c r="H125" s="1">
        <v>0</v>
      </c>
      <c r="I125" s="1">
        <v>99.719374740000006</v>
      </c>
      <c r="J125" s="1">
        <v>0</v>
      </c>
      <c r="K125" s="1">
        <v>0.28062526259999998</v>
      </c>
      <c r="L125" s="1">
        <v>0</v>
      </c>
      <c r="M125" s="1">
        <v>99.841557679999994</v>
      </c>
      <c r="N125" s="1">
        <v>0</v>
      </c>
      <c r="O125" s="1">
        <v>0.1584423157</v>
      </c>
      <c r="P125" s="1">
        <v>0</v>
      </c>
      <c r="Q125" s="1">
        <f t="shared" si="0"/>
        <v>16</v>
      </c>
      <c r="R125" s="1">
        <f t="shared" si="1"/>
        <v>8885.0340898072373</v>
      </c>
      <c r="S125" s="1">
        <f t="shared" si="2"/>
        <v>12.02300262</v>
      </c>
      <c r="T125" s="1">
        <f t="shared" si="3"/>
        <v>11</v>
      </c>
      <c r="U125" s="1">
        <v>99.826867629999995</v>
      </c>
      <c r="V125" s="1">
        <f t="shared" si="4"/>
        <v>88</v>
      </c>
      <c r="W125" s="1">
        <f t="shared" si="5"/>
        <v>12</v>
      </c>
    </row>
    <row r="126" spans="1:23" ht="12.5">
      <c r="A126" s="1" t="s">
        <v>228</v>
      </c>
      <c r="B126" s="1" t="s">
        <v>74</v>
      </c>
      <c r="C126" s="1">
        <v>10139.174800000001</v>
      </c>
      <c r="D126" s="1">
        <v>56.397003169999998</v>
      </c>
      <c r="E126" s="1">
        <v>96.043376129999999</v>
      </c>
      <c r="F126" s="1">
        <v>1.04278118</v>
      </c>
      <c r="G126" s="1">
        <v>2.9138426879999999</v>
      </c>
      <c r="H126" s="1">
        <v>0</v>
      </c>
      <c r="I126" s="1">
        <v>90.925797950000003</v>
      </c>
      <c r="J126" s="1">
        <v>2.3915356710000002</v>
      </c>
      <c r="K126" s="1">
        <v>6.6826663770000003</v>
      </c>
      <c r="L126" s="1">
        <v>0</v>
      </c>
      <c r="M126" s="1">
        <v>100</v>
      </c>
      <c r="N126" s="1">
        <v>0</v>
      </c>
      <c r="O126" s="1">
        <v>0</v>
      </c>
      <c r="P126" s="1">
        <v>0</v>
      </c>
      <c r="Q126" s="1">
        <f t="shared" si="0"/>
        <v>16</v>
      </c>
      <c r="R126" s="1">
        <f t="shared" si="1"/>
        <v>5718.1907333678409</v>
      </c>
      <c r="S126" s="1">
        <f t="shared" si="2"/>
        <v>43.602996830000002</v>
      </c>
      <c r="T126" s="1">
        <f t="shared" si="3"/>
        <v>11</v>
      </c>
      <c r="U126" s="1">
        <v>96.043376129999999</v>
      </c>
      <c r="V126" s="1">
        <f t="shared" si="4"/>
        <v>56</v>
      </c>
      <c r="W126" s="1">
        <f t="shared" si="5"/>
        <v>44</v>
      </c>
    </row>
    <row r="127" spans="1:23" ht="12.5">
      <c r="A127" s="1" t="s">
        <v>204</v>
      </c>
      <c r="B127" s="1" t="s">
        <v>69</v>
      </c>
      <c r="C127" s="1">
        <v>10196.70703</v>
      </c>
      <c r="D127" s="1">
        <v>66.309997559999999</v>
      </c>
      <c r="E127" s="1">
        <v>99.911993670000001</v>
      </c>
      <c r="F127" s="1">
        <v>0</v>
      </c>
      <c r="G127" s="1">
        <v>8.8006333689999994E-2</v>
      </c>
      <c r="H127" s="1">
        <v>0</v>
      </c>
      <c r="I127" s="1">
        <v>99.738776090000002</v>
      </c>
      <c r="J127" s="1">
        <v>0</v>
      </c>
      <c r="K127" s="1">
        <v>0.26122391220000002</v>
      </c>
      <c r="L127" s="1">
        <v>0</v>
      </c>
      <c r="M127" s="1">
        <v>100</v>
      </c>
      <c r="N127" s="1">
        <v>0</v>
      </c>
      <c r="O127" s="1">
        <v>0</v>
      </c>
      <c r="P127" s="1">
        <v>0</v>
      </c>
      <c r="Q127" s="1">
        <f t="shared" si="0"/>
        <v>16</v>
      </c>
      <c r="R127" s="1">
        <f t="shared" si="1"/>
        <v>6761.4361827933481</v>
      </c>
      <c r="S127" s="1">
        <f t="shared" si="2"/>
        <v>33.690002440000001</v>
      </c>
      <c r="T127" s="1">
        <f t="shared" si="3"/>
        <v>11</v>
      </c>
      <c r="U127" s="1">
        <v>99.911993670000001</v>
      </c>
      <c r="V127" s="1">
        <f t="shared" si="4"/>
        <v>66</v>
      </c>
      <c r="W127" s="1">
        <f t="shared" si="5"/>
        <v>34</v>
      </c>
    </row>
    <row r="128" spans="1:23" ht="12.5">
      <c r="A128" s="1" t="s">
        <v>98</v>
      </c>
      <c r="B128" s="1" t="s">
        <v>74</v>
      </c>
      <c r="C128" s="1">
        <v>10203.139649999999</v>
      </c>
      <c r="D128" s="1">
        <v>91.417999269999996</v>
      </c>
      <c r="E128" s="1">
        <v>98.940302959999997</v>
      </c>
      <c r="F128" s="1">
        <v>0.1462147369</v>
      </c>
      <c r="G128" s="1">
        <v>0.8536474704</v>
      </c>
      <c r="H128" s="1">
        <v>5.9834831790000001E-2</v>
      </c>
      <c r="I128" s="1">
        <v>97.311478690000001</v>
      </c>
      <c r="J128" s="1">
        <v>0.62394659450000001</v>
      </c>
      <c r="K128" s="1">
        <v>2.0247147160000001</v>
      </c>
      <c r="L128" s="1">
        <v>3.986E-2</v>
      </c>
      <c r="M128" s="1">
        <v>99.093212589999993</v>
      </c>
      <c r="N128" s="1">
        <v>0.1013669408</v>
      </c>
      <c r="O128" s="1">
        <v>0.74371047069999996</v>
      </c>
      <c r="P128" s="1">
        <v>6.1710000000000001E-2</v>
      </c>
      <c r="Q128" s="1">
        <f t="shared" si="0"/>
        <v>16</v>
      </c>
      <c r="R128" s="1">
        <f t="shared" si="1"/>
        <v>9327.50613075408</v>
      </c>
      <c r="S128" s="1">
        <f t="shared" si="2"/>
        <v>8.5820007300000043</v>
      </c>
      <c r="T128" s="1">
        <f t="shared" si="3"/>
        <v>11</v>
      </c>
      <c r="U128" s="1">
        <v>98.940302959999997</v>
      </c>
      <c r="V128" s="1">
        <f t="shared" si="4"/>
        <v>91</v>
      </c>
      <c r="W128" s="1">
        <f t="shared" si="5"/>
        <v>9</v>
      </c>
    </row>
    <row r="129" spans="1:23" ht="12.5">
      <c r="A129" s="1" t="s">
        <v>147</v>
      </c>
      <c r="B129" s="1" t="s">
        <v>69</v>
      </c>
      <c r="C129" s="1">
        <v>10423.05566</v>
      </c>
      <c r="D129" s="1">
        <v>79.715003969999998</v>
      </c>
      <c r="E129" s="1">
        <v>100.00000230000001</v>
      </c>
      <c r="F129" s="1">
        <v>0</v>
      </c>
      <c r="G129" s="1">
        <v>0</v>
      </c>
      <c r="H129" s="1">
        <v>0</v>
      </c>
      <c r="I129" s="1">
        <v>100</v>
      </c>
      <c r="J129" s="1">
        <v>0</v>
      </c>
      <c r="K129" s="1">
        <v>0</v>
      </c>
      <c r="L129" s="1">
        <v>0</v>
      </c>
      <c r="M129" s="1">
        <v>100</v>
      </c>
      <c r="N129" s="1">
        <v>0</v>
      </c>
      <c r="O129" s="1">
        <v>0</v>
      </c>
      <c r="P129" s="1">
        <v>0</v>
      </c>
      <c r="Q129" s="1">
        <f t="shared" si="0"/>
        <v>16</v>
      </c>
      <c r="R129" s="1">
        <f t="shared" si="1"/>
        <v>8308.7392331643096</v>
      </c>
      <c r="S129" s="1">
        <f t="shared" si="2"/>
        <v>20.284996030000002</v>
      </c>
      <c r="T129" s="1">
        <f t="shared" si="3"/>
        <v>11</v>
      </c>
      <c r="U129" s="1">
        <v>100</v>
      </c>
      <c r="V129" s="1">
        <f t="shared" si="4"/>
        <v>80</v>
      </c>
      <c r="W129" s="1">
        <f t="shared" si="5"/>
        <v>20</v>
      </c>
    </row>
    <row r="130" spans="1:23" ht="12.5">
      <c r="A130" s="1" t="s">
        <v>173</v>
      </c>
      <c r="B130" s="1" t="s">
        <v>69</v>
      </c>
      <c r="C130" s="1">
        <v>10708.98242</v>
      </c>
      <c r="D130" s="1">
        <v>74.061004639999993</v>
      </c>
      <c r="E130" s="1">
        <v>99.880591670000001</v>
      </c>
      <c r="F130" s="1">
        <v>0</v>
      </c>
      <c r="G130" s="1">
        <v>0.11940833250000001</v>
      </c>
      <c r="H130" s="1">
        <v>0</v>
      </c>
      <c r="I130" s="1">
        <v>99.817599299999998</v>
      </c>
      <c r="J130" s="1">
        <v>0</v>
      </c>
      <c r="K130" s="1">
        <v>0.18240069649999999</v>
      </c>
      <c r="L130" s="1">
        <v>0</v>
      </c>
      <c r="M130" s="1">
        <v>99.902650929999993</v>
      </c>
      <c r="N130" s="1">
        <v>0</v>
      </c>
      <c r="O130" s="1">
        <v>9.7349067900000003E-2</v>
      </c>
      <c r="P130" s="1">
        <v>0</v>
      </c>
      <c r="Q130" s="1">
        <f t="shared" si="0"/>
        <v>16</v>
      </c>
      <c r="R130" s="1">
        <f t="shared" si="1"/>
        <v>7931.1799669729835</v>
      </c>
      <c r="S130" s="1">
        <f t="shared" si="2"/>
        <v>25.938995360000007</v>
      </c>
      <c r="T130" s="1">
        <f t="shared" si="3"/>
        <v>11</v>
      </c>
      <c r="U130" s="1">
        <v>99.880591670000001</v>
      </c>
      <c r="V130" s="1">
        <f t="shared" si="4"/>
        <v>74</v>
      </c>
      <c r="W130" s="1">
        <f t="shared" si="5"/>
        <v>26</v>
      </c>
    </row>
    <row r="131" spans="1:23" ht="12.5">
      <c r="A131" s="1" t="s">
        <v>131</v>
      </c>
      <c r="B131" s="1" t="s">
        <v>74</v>
      </c>
      <c r="C131" s="1">
        <v>10847.9043</v>
      </c>
      <c r="D131" s="1">
        <v>82.540000919999997</v>
      </c>
      <c r="E131" s="1">
        <v>96.686811919999997</v>
      </c>
      <c r="F131" s="1">
        <v>0.46703865039999998</v>
      </c>
      <c r="G131" s="1">
        <v>1.2694287829999999</v>
      </c>
      <c r="H131" s="1">
        <v>1.5767206439999999</v>
      </c>
      <c r="I131" s="1">
        <v>90.304464370000005</v>
      </c>
      <c r="J131" s="1">
        <v>1.3853155079999999</v>
      </c>
      <c r="K131" s="1">
        <v>1.1151181269999999</v>
      </c>
      <c r="L131" s="1">
        <v>7.1951019909999996</v>
      </c>
      <c r="M131" s="1">
        <v>98.036891580000002</v>
      </c>
      <c r="N131" s="1">
        <v>0.27279203590000001</v>
      </c>
      <c r="O131" s="1">
        <v>1.3020733959999999</v>
      </c>
      <c r="P131" s="1">
        <v>0.38824299220000003</v>
      </c>
      <c r="Q131" s="1">
        <f t="shared" si="0"/>
        <v>16</v>
      </c>
      <c r="R131" s="1">
        <f t="shared" si="1"/>
        <v>8953.8603090207198</v>
      </c>
      <c r="S131" s="1">
        <f t="shared" si="2"/>
        <v>17.459999080000003</v>
      </c>
      <c r="T131" s="1">
        <f t="shared" si="3"/>
        <v>11</v>
      </c>
      <c r="U131" s="1">
        <v>96.686811919999997</v>
      </c>
      <c r="V131" s="1">
        <f t="shared" si="4"/>
        <v>83</v>
      </c>
      <c r="W131" s="1">
        <f t="shared" si="5"/>
        <v>17</v>
      </c>
    </row>
    <row r="132" spans="1:23" ht="12.5">
      <c r="A132" s="1" t="s">
        <v>231</v>
      </c>
      <c r="B132" s="1" t="s">
        <v>170</v>
      </c>
      <c r="C132" s="1">
        <v>11193.728520000001</v>
      </c>
      <c r="D132" s="1">
        <v>20.198999400000002</v>
      </c>
      <c r="E132" s="1">
        <v>40.95092717</v>
      </c>
      <c r="F132" s="1">
        <v>37.426962869999997</v>
      </c>
      <c r="G132" s="1">
        <v>13.537555190000001</v>
      </c>
      <c r="H132" s="1">
        <v>8.0845547619999998</v>
      </c>
      <c r="I132" s="1">
        <v>33.593628809999998</v>
      </c>
      <c r="J132" s="1">
        <v>42.164380680000001</v>
      </c>
      <c r="K132" s="1">
        <v>14.111096160000001</v>
      </c>
      <c r="L132" s="1">
        <v>10.13089435</v>
      </c>
      <c r="M132" s="1">
        <v>70.017704449999997</v>
      </c>
      <c r="N132" s="1">
        <v>18.710660919999999</v>
      </c>
      <c r="O132" s="1">
        <v>11.27163464</v>
      </c>
      <c r="P132" s="1">
        <v>0</v>
      </c>
      <c r="Q132" s="1">
        <f t="shared" si="0"/>
        <v>16</v>
      </c>
      <c r="R132" s="1">
        <f t="shared" si="1"/>
        <v>2261.0211565924292</v>
      </c>
      <c r="S132" s="1">
        <f t="shared" si="2"/>
        <v>79.801000599999995</v>
      </c>
      <c r="T132" s="1">
        <f t="shared" si="3"/>
        <v>12</v>
      </c>
      <c r="U132" s="1">
        <v>40.95092717</v>
      </c>
      <c r="V132" s="1">
        <f t="shared" si="4"/>
        <v>20</v>
      </c>
      <c r="W132" s="1">
        <f t="shared" si="5"/>
        <v>80</v>
      </c>
    </row>
    <row r="133" spans="1:23" ht="12.5">
      <c r="A133" s="1" t="s">
        <v>157</v>
      </c>
      <c r="B133" s="1" t="s">
        <v>74</v>
      </c>
      <c r="C133" s="1">
        <v>11326.61621</v>
      </c>
      <c r="D133" s="1">
        <v>77.194000239999994</v>
      </c>
      <c r="E133" s="1">
        <v>97.002696159999999</v>
      </c>
      <c r="F133" s="1">
        <v>1.471384542</v>
      </c>
      <c r="G133" s="1">
        <v>1.252811506</v>
      </c>
      <c r="H133" s="1">
        <v>0.27310779629999998</v>
      </c>
      <c r="I133" s="1">
        <v>94.386651139999998</v>
      </c>
      <c r="J133" s="1">
        <v>2.591752445</v>
      </c>
      <c r="K133" s="1">
        <v>1.9059729350000001</v>
      </c>
      <c r="L133" s="1">
        <v>1.115623477</v>
      </c>
      <c r="M133" s="1">
        <v>97.775576639999997</v>
      </c>
      <c r="N133" s="1">
        <v>1.1403859000000001</v>
      </c>
      <c r="O133" s="1">
        <v>1.059840374</v>
      </c>
      <c r="P133" s="1">
        <v>2.4197084109999999E-2</v>
      </c>
      <c r="Q133" s="1">
        <f t="shared" si="0"/>
        <v>16</v>
      </c>
      <c r="R133" s="1">
        <f t="shared" si="1"/>
        <v>8743.4681443312784</v>
      </c>
      <c r="S133" s="1">
        <f t="shared" si="2"/>
        <v>22.805999760000006</v>
      </c>
      <c r="T133" s="1">
        <f t="shared" si="3"/>
        <v>12</v>
      </c>
      <c r="U133" s="1">
        <v>97.002696159999999</v>
      </c>
      <c r="V133" s="1">
        <f t="shared" si="4"/>
        <v>77</v>
      </c>
      <c r="W133" s="1">
        <f t="shared" si="5"/>
        <v>23</v>
      </c>
    </row>
    <row r="134" spans="1:23" ht="12.5">
      <c r="A134" s="1" t="s">
        <v>222</v>
      </c>
      <c r="B134" s="1" t="s">
        <v>107</v>
      </c>
      <c r="C134" s="1">
        <v>11402.5332</v>
      </c>
      <c r="D134" s="1">
        <v>57.087997440000002</v>
      </c>
      <c r="E134" s="1">
        <v>66.695308400000002</v>
      </c>
      <c r="F134" s="1">
        <v>9.8145436519999993</v>
      </c>
      <c r="G134" s="1">
        <v>23.490147950000001</v>
      </c>
      <c r="H134" s="1">
        <v>0</v>
      </c>
      <c r="I134" s="1">
        <v>42.845700100000002</v>
      </c>
      <c r="J134" s="1">
        <v>13.25598695</v>
      </c>
      <c r="K134" s="1">
        <v>43.898312949999998</v>
      </c>
      <c r="L134" s="1">
        <v>0</v>
      </c>
      <c r="M134" s="1">
        <v>84.622621289999998</v>
      </c>
      <c r="N134" s="1">
        <v>7.2276738790000001</v>
      </c>
      <c r="O134" s="1">
        <v>8.1497048349999996</v>
      </c>
      <c r="P134" s="1">
        <v>0</v>
      </c>
      <c r="Q134" s="1">
        <f t="shared" si="0"/>
        <v>16</v>
      </c>
      <c r="R134" s="1">
        <f t="shared" si="1"/>
        <v>6509.4778613111503</v>
      </c>
      <c r="S134" s="1">
        <f t="shared" si="2"/>
        <v>42.912002559999998</v>
      </c>
      <c r="T134" s="1">
        <f t="shared" si="3"/>
        <v>12</v>
      </c>
      <c r="U134" s="1">
        <v>66.695308400000002</v>
      </c>
      <c r="V134" s="1">
        <f t="shared" si="4"/>
        <v>57</v>
      </c>
      <c r="W134" s="1">
        <f t="shared" si="5"/>
        <v>43</v>
      </c>
    </row>
    <row r="135" spans="1:23" ht="12.5">
      <c r="A135" s="1" t="s">
        <v>77</v>
      </c>
      <c r="B135" s="1" t="s">
        <v>69</v>
      </c>
      <c r="C135" s="1">
        <v>11589.61621</v>
      </c>
      <c r="D135" s="1">
        <v>98.078994750000007</v>
      </c>
      <c r="E135" s="1">
        <v>99.999996449999998</v>
      </c>
      <c r="F135" s="1">
        <v>0</v>
      </c>
      <c r="G135" s="1">
        <v>3.5547967910000002E-6</v>
      </c>
      <c r="H135" s="1">
        <v>0</v>
      </c>
      <c r="I135" s="1">
        <v>100</v>
      </c>
      <c r="J135" s="1">
        <v>0</v>
      </c>
      <c r="K135" s="1">
        <v>0</v>
      </c>
      <c r="L135" s="1">
        <v>0</v>
      </c>
      <c r="M135" s="1">
        <v>100</v>
      </c>
      <c r="N135" s="1">
        <v>0</v>
      </c>
      <c r="O135" s="1">
        <v>0</v>
      </c>
      <c r="P135" s="1">
        <v>0</v>
      </c>
      <c r="Q135" s="1">
        <f t="shared" si="0"/>
        <v>16</v>
      </c>
      <c r="R135" s="1">
        <f t="shared" si="1"/>
        <v>11366.97907415105</v>
      </c>
      <c r="S135" s="1">
        <f t="shared" si="2"/>
        <v>1.9210052499999932</v>
      </c>
      <c r="T135" s="1">
        <f t="shared" si="3"/>
        <v>12</v>
      </c>
      <c r="U135" s="1">
        <v>99.999996449999998</v>
      </c>
      <c r="V135" s="1">
        <f t="shared" si="4"/>
        <v>98</v>
      </c>
      <c r="W135" s="1">
        <f t="shared" si="5"/>
        <v>2</v>
      </c>
    </row>
    <row r="136" spans="1:23" ht="12.5">
      <c r="A136" s="1" t="s">
        <v>186</v>
      </c>
      <c r="B136" s="1" t="s">
        <v>107</v>
      </c>
      <c r="C136" s="1">
        <v>11673.0293</v>
      </c>
      <c r="D136" s="1">
        <v>70.123001099999996</v>
      </c>
      <c r="E136" s="1">
        <v>93.390071629999994</v>
      </c>
      <c r="F136" s="1">
        <v>0.13659052960000001</v>
      </c>
      <c r="G136" s="1">
        <v>1.575010843</v>
      </c>
      <c r="H136" s="1">
        <v>4.8983269969999998</v>
      </c>
      <c r="I136" s="1">
        <v>79.936642829999997</v>
      </c>
      <c r="J136" s="1">
        <v>0.24473640820000001</v>
      </c>
      <c r="K136" s="1">
        <v>3.9541336930000002</v>
      </c>
      <c r="L136" s="1">
        <v>15.864487069999999</v>
      </c>
      <c r="M136" s="1">
        <v>99.122118319999998</v>
      </c>
      <c r="N136" s="1">
        <v>9.0513289469999994E-2</v>
      </c>
      <c r="O136" s="1">
        <v>0.56134538079999996</v>
      </c>
      <c r="P136" s="1">
        <v>0.22602301120000001</v>
      </c>
      <c r="Q136" s="1">
        <f t="shared" si="0"/>
        <v>16</v>
      </c>
      <c r="R136" s="1">
        <f t="shared" si="1"/>
        <v>8185.4784644423216</v>
      </c>
      <c r="S136" s="1">
        <f t="shared" si="2"/>
        <v>29.876998900000004</v>
      </c>
      <c r="T136" s="1">
        <f t="shared" si="3"/>
        <v>12</v>
      </c>
      <c r="U136" s="1">
        <v>93.390071629999994</v>
      </c>
      <c r="V136" s="1">
        <f t="shared" si="4"/>
        <v>70</v>
      </c>
      <c r="W136" s="1">
        <f t="shared" si="5"/>
        <v>30</v>
      </c>
    </row>
    <row r="137" spans="1:23" ht="12.5">
      <c r="A137" s="1" t="s">
        <v>187</v>
      </c>
      <c r="B137" s="1" t="s">
        <v>107</v>
      </c>
      <c r="C137" s="1">
        <v>11818.61816</v>
      </c>
      <c r="D137" s="1">
        <v>69.568000789999999</v>
      </c>
      <c r="E137" s="1">
        <v>97.54330899</v>
      </c>
      <c r="F137" s="1">
        <v>1.63135067</v>
      </c>
      <c r="G137" s="1">
        <v>0.82534033780000005</v>
      </c>
      <c r="H137" s="1">
        <v>0</v>
      </c>
      <c r="I137" s="1">
        <v>93.936231930000005</v>
      </c>
      <c r="J137" s="1">
        <v>3.3516873569999999</v>
      </c>
      <c r="K137" s="1">
        <v>2.71208071</v>
      </c>
      <c r="L137" s="1">
        <v>0</v>
      </c>
      <c r="M137" s="1">
        <v>99.121197629999998</v>
      </c>
      <c r="N137" s="1">
        <v>0.87880236840000003</v>
      </c>
      <c r="O137" s="1">
        <v>0</v>
      </c>
      <c r="P137" s="1">
        <v>0</v>
      </c>
      <c r="Q137" s="1">
        <f t="shared" si="0"/>
        <v>16</v>
      </c>
      <c r="R137" s="1">
        <f t="shared" si="1"/>
        <v>8221.9763749158828</v>
      </c>
      <c r="S137" s="1">
        <f t="shared" si="2"/>
        <v>30.431999210000001</v>
      </c>
      <c r="T137" s="1">
        <f t="shared" si="3"/>
        <v>12</v>
      </c>
      <c r="U137" s="1">
        <v>97.54330899</v>
      </c>
      <c r="V137" s="1">
        <f t="shared" si="4"/>
        <v>70</v>
      </c>
      <c r="W137" s="1">
        <f t="shared" si="5"/>
        <v>30</v>
      </c>
    </row>
    <row r="138" spans="1:23" ht="12.5">
      <c r="A138" s="1" t="s">
        <v>236</v>
      </c>
      <c r="B138" s="1" t="s">
        <v>170</v>
      </c>
      <c r="C138" s="1">
        <v>11890.78125</v>
      </c>
      <c r="D138" s="1">
        <v>13.708000180000001</v>
      </c>
      <c r="E138" s="1">
        <v>62.207122249999998</v>
      </c>
      <c r="F138" s="1">
        <v>19.439693139999999</v>
      </c>
      <c r="G138" s="1">
        <v>14.758259689999999</v>
      </c>
      <c r="H138" s="1">
        <v>3.5949249129999998</v>
      </c>
      <c r="I138" s="1">
        <v>57.685765269999997</v>
      </c>
      <c r="J138" s="1">
        <v>21.251482129999999</v>
      </c>
      <c r="K138" s="1">
        <v>16.896752379999999</v>
      </c>
      <c r="L138" s="1">
        <v>4.1660002189999998</v>
      </c>
      <c r="M138" s="1">
        <v>90.669110860000004</v>
      </c>
      <c r="N138" s="1">
        <v>8.0344628690000004</v>
      </c>
      <c r="O138" s="1">
        <v>1.2964262689999999</v>
      </c>
      <c r="P138" s="1">
        <v>0</v>
      </c>
      <c r="Q138" s="1">
        <f t="shared" si="0"/>
        <v>16</v>
      </c>
      <c r="R138" s="1">
        <f t="shared" si="1"/>
        <v>1629.9883151534063</v>
      </c>
      <c r="S138" s="1">
        <f t="shared" si="2"/>
        <v>86.291999820000001</v>
      </c>
      <c r="T138" s="1">
        <f t="shared" si="3"/>
        <v>12</v>
      </c>
      <c r="U138" s="1">
        <v>62.207122249999998</v>
      </c>
      <c r="V138" s="1">
        <f t="shared" si="4"/>
        <v>14</v>
      </c>
      <c r="W138" s="1">
        <f t="shared" si="5"/>
        <v>86</v>
      </c>
    </row>
    <row r="139" spans="1:23" ht="12.5">
      <c r="A139" s="1" t="s">
        <v>238</v>
      </c>
      <c r="B139" s="1" t="s">
        <v>107</v>
      </c>
      <c r="C139" s="1">
        <v>12123.19824</v>
      </c>
      <c r="D139" s="1">
        <v>48.414997100000001</v>
      </c>
      <c r="E139" s="1">
        <v>65.414122989999996</v>
      </c>
      <c r="F139" s="1">
        <v>9.317535586</v>
      </c>
      <c r="G139" s="1">
        <v>21.97254088</v>
      </c>
      <c r="H139" s="1">
        <v>3.2958005469999998</v>
      </c>
      <c r="I139" s="1">
        <v>58.052267989999997</v>
      </c>
      <c r="J139" s="1">
        <v>12.705205039999999</v>
      </c>
      <c r="K139" s="1">
        <v>23.977968329999999</v>
      </c>
      <c r="L139" s="1">
        <v>5.2645586340000001</v>
      </c>
      <c r="M139" s="1">
        <v>73.258000039999999</v>
      </c>
      <c r="N139" s="1">
        <v>5.7080563529999999</v>
      </c>
      <c r="O139" s="1">
        <v>19.835806810000001</v>
      </c>
      <c r="P139" s="1">
        <v>1.1981367940000001</v>
      </c>
      <c r="Q139" s="1">
        <f t="shared" si="0"/>
        <v>16</v>
      </c>
      <c r="R139" s="1">
        <f t="shared" si="1"/>
        <v>5869.446076323251</v>
      </c>
      <c r="S139" s="1">
        <f t="shared" si="2"/>
        <v>51.585002899999999</v>
      </c>
      <c r="T139" s="1">
        <f t="shared" si="3"/>
        <v>13</v>
      </c>
      <c r="U139" s="1">
        <v>65.414122989999996</v>
      </c>
      <c r="V139" s="1">
        <f t="shared" si="4"/>
        <v>48</v>
      </c>
      <c r="W139" s="1">
        <f t="shared" si="5"/>
        <v>52</v>
      </c>
    </row>
    <row r="140" spans="1:23" ht="12.5">
      <c r="A140" s="1" t="s">
        <v>239</v>
      </c>
      <c r="B140" s="1" t="s">
        <v>170</v>
      </c>
      <c r="C140" s="1">
        <v>12952.208979999999</v>
      </c>
      <c r="D140" s="1">
        <v>17.432001110000002</v>
      </c>
      <c r="E140" s="1">
        <v>60.41450115</v>
      </c>
      <c r="F140" s="1">
        <v>22.3207193</v>
      </c>
      <c r="G140" s="1">
        <v>13.15480415</v>
      </c>
      <c r="H140" s="1">
        <v>4.1099754009999998</v>
      </c>
      <c r="I140" s="1">
        <v>55.642468229999999</v>
      </c>
      <c r="J140" s="1">
        <v>25.08014133</v>
      </c>
      <c r="K140" s="1">
        <v>14.778867719999999</v>
      </c>
      <c r="L140" s="1">
        <v>4.4985227139999999</v>
      </c>
      <c r="M140" s="1">
        <v>83.017599300000001</v>
      </c>
      <c r="N140" s="1">
        <v>9.2505062509999991</v>
      </c>
      <c r="O140" s="1">
        <v>5.4623030569999997</v>
      </c>
      <c r="P140" s="1">
        <v>2.2695913939999999</v>
      </c>
      <c r="Q140" s="1">
        <f t="shared" si="0"/>
        <v>16</v>
      </c>
      <c r="R140" s="1">
        <f t="shared" si="1"/>
        <v>2257.8292131631197</v>
      </c>
      <c r="S140" s="1">
        <f t="shared" si="2"/>
        <v>82.567998889999998</v>
      </c>
      <c r="T140" s="1">
        <f t="shared" si="3"/>
        <v>13</v>
      </c>
      <c r="U140" s="1">
        <v>60.41450115</v>
      </c>
      <c r="V140" s="1">
        <f t="shared" si="4"/>
        <v>17</v>
      </c>
      <c r="W140" s="1">
        <f t="shared" si="5"/>
        <v>83</v>
      </c>
    </row>
    <row r="141" spans="1:23" ht="12.5">
      <c r="A141" s="1" t="s">
        <v>240</v>
      </c>
      <c r="B141" s="1" t="s">
        <v>170</v>
      </c>
      <c r="C141" s="1">
        <v>13132.79199</v>
      </c>
      <c r="D141" s="1">
        <v>36.875</v>
      </c>
      <c r="E141" s="1">
        <v>63.961788740000003</v>
      </c>
      <c r="F141" s="1">
        <v>21.281591500000001</v>
      </c>
      <c r="G141" s="1">
        <v>6.2961194059999999</v>
      </c>
      <c r="H141" s="1">
        <v>8.4605003540000006</v>
      </c>
      <c r="I141" s="1">
        <v>50.74817899</v>
      </c>
      <c r="J141" s="1">
        <v>26.14432944</v>
      </c>
      <c r="K141" s="1">
        <v>9.7047191430000002</v>
      </c>
      <c r="L141" s="1">
        <v>13.402772430000001</v>
      </c>
      <c r="M141" s="1">
        <v>86.581690069999993</v>
      </c>
      <c r="N141" s="1">
        <v>12.957241529999999</v>
      </c>
      <c r="O141" s="1">
        <v>0.46106839799999999</v>
      </c>
      <c r="P141" s="1">
        <v>0</v>
      </c>
      <c r="Q141" s="1">
        <f t="shared" si="0"/>
        <v>16</v>
      </c>
      <c r="R141" s="1">
        <f t="shared" si="1"/>
        <v>4842.7170463125003</v>
      </c>
      <c r="S141" s="1">
        <f t="shared" si="2"/>
        <v>63.125</v>
      </c>
      <c r="T141" s="1">
        <f t="shared" si="3"/>
        <v>14</v>
      </c>
      <c r="U141" s="1">
        <v>63.961788740000003</v>
      </c>
      <c r="V141" s="1">
        <f t="shared" si="4"/>
        <v>37</v>
      </c>
      <c r="W141" s="1">
        <f t="shared" si="5"/>
        <v>63</v>
      </c>
    </row>
    <row r="142" spans="1:23" ht="12.5">
      <c r="A142" s="1" t="s">
        <v>241</v>
      </c>
      <c r="B142" s="1" t="s">
        <v>107</v>
      </c>
      <c r="C142" s="1">
        <v>14862.92676</v>
      </c>
      <c r="D142" s="1">
        <v>32.242000580000003</v>
      </c>
      <c r="E142" s="1">
        <v>62.666457610000002</v>
      </c>
      <c r="F142" s="1">
        <v>14.1975397</v>
      </c>
      <c r="G142" s="1">
        <v>16.277855450000001</v>
      </c>
      <c r="H142" s="1">
        <v>6.8581472420000003</v>
      </c>
      <c r="I142" s="1">
        <v>48.282428850000002</v>
      </c>
      <c r="J142" s="1">
        <v>18.590984670000001</v>
      </c>
      <c r="K142" s="1">
        <v>23.013646550000001</v>
      </c>
      <c r="L142" s="1">
        <v>10.112939920000001</v>
      </c>
      <c r="M142" s="1">
        <v>92.89512895</v>
      </c>
      <c r="N142" s="1">
        <v>4.9645177570000003</v>
      </c>
      <c r="O142" s="1">
        <v>2.1222986740000001</v>
      </c>
      <c r="P142" s="1">
        <v>1.805461538E-2</v>
      </c>
      <c r="Q142" s="1">
        <f t="shared" si="0"/>
        <v>16</v>
      </c>
      <c r="R142" s="1">
        <f t="shared" si="1"/>
        <v>4792.1049321641758</v>
      </c>
      <c r="S142" s="1">
        <f t="shared" si="2"/>
        <v>67.757999420000004</v>
      </c>
      <c r="T142" s="1">
        <f t="shared" si="3"/>
        <v>15</v>
      </c>
      <c r="U142" s="1">
        <v>62.666457610000002</v>
      </c>
      <c r="V142" s="1">
        <f t="shared" si="4"/>
        <v>32</v>
      </c>
      <c r="W142" s="1">
        <f t="shared" si="5"/>
        <v>68</v>
      </c>
    </row>
    <row r="143" spans="1:23" ht="12.5">
      <c r="A143" s="1" t="s">
        <v>242</v>
      </c>
      <c r="B143" s="1" t="s">
        <v>170</v>
      </c>
      <c r="C143" s="1">
        <v>15893.21875</v>
      </c>
      <c r="D143" s="1">
        <v>46.140998840000002</v>
      </c>
      <c r="E143" s="1">
        <v>56.476973389999998</v>
      </c>
      <c r="F143" s="1">
        <v>27.704199559999999</v>
      </c>
      <c r="G143" s="1">
        <v>13.41704303</v>
      </c>
      <c r="H143" s="1">
        <v>2.4017840210000001</v>
      </c>
      <c r="I143" s="1">
        <v>37.075862819999998</v>
      </c>
      <c r="J143" s="1">
        <v>36.643249580000003</v>
      </c>
      <c r="K143" s="1">
        <v>21.821495460000001</v>
      </c>
      <c r="L143" s="1">
        <v>4.4593921429999996</v>
      </c>
      <c r="M143" s="1">
        <v>79.123305740000006</v>
      </c>
      <c r="N143" s="1">
        <v>17.269915560000001</v>
      </c>
      <c r="O143" s="1">
        <v>3.6067787029999998</v>
      </c>
      <c r="P143" s="1">
        <v>0</v>
      </c>
      <c r="Q143" s="1">
        <f t="shared" si="0"/>
        <v>16</v>
      </c>
      <c r="R143" s="1">
        <f t="shared" si="1"/>
        <v>7333.2898790761628</v>
      </c>
      <c r="S143" s="1">
        <f t="shared" si="2"/>
        <v>53.859001159999998</v>
      </c>
      <c r="T143" s="1">
        <f t="shared" si="3"/>
        <v>16</v>
      </c>
      <c r="U143" s="1">
        <v>56.476973389999998</v>
      </c>
      <c r="V143" s="1">
        <f t="shared" si="4"/>
        <v>46</v>
      </c>
      <c r="W143" s="1">
        <f t="shared" si="5"/>
        <v>54</v>
      </c>
    </row>
    <row r="144" spans="1:23" ht="12.5">
      <c r="A144" s="1" t="s">
        <v>244</v>
      </c>
      <c r="B144" s="1" t="s">
        <v>170</v>
      </c>
      <c r="C144" s="1">
        <v>16425.859380000002</v>
      </c>
      <c r="D144" s="1">
        <v>23.520000459999999</v>
      </c>
      <c r="E144" s="1">
        <v>46.187534790000001</v>
      </c>
      <c r="F144" s="1">
        <v>14.74028929</v>
      </c>
      <c r="G144" s="1">
        <v>31.562457139999999</v>
      </c>
      <c r="H144" s="1">
        <v>7.5097187840000004</v>
      </c>
      <c r="I144" s="1">
        <v>37.575215249999999</v>
      </c>
      <c r="J144" s="1">
        <v>14.35396111</v>
      </c>
      <c r="K144" s="1">
        <v>38.524967609999997</v>
      </c>
      <c r="L144" s="1">
        <v>9.5458560269999992</v>
      </c>
      <c r="M144" s="1">
        <v>74.192223089999999</v>
      </c>
      <c r="N144" s="1">
        <v>15.99651381</v>
      </c>
      <c r="O144" s="1">
        <v>8.9224527210000009</v>
      </c>
      <c r="P144" s="1">
        <v>0.88881038430000003</v>
      </c>
      <c r="Q144" s="1">
        <f t="shared" si="0"/>
        <v>16</v>
      </c>
      <c r="R144" s="1">
        <f t="shared" si="1"/>
        <v>3863.3622017349535</v>
      </c>
      <c r="S144" s="1">
        <f t="shared" si="2"/>
        <v>76.479999539999994</v>
      </c>
      <c r="T144" s="1">
        <f t="shared" si="3"/>
        <v>17</v>
      </c>
      <c r="U144" s="1">
        <v>46.187534790000001</v>
      </c>
      <c r="V144" s="1">
        <f t="shared" si="4"/>
        <v>24</v>
      </c>
      <c r="W144" s="1">
        <f t="shared" si="5"/>
        <v>76</v>
      </c>
    </row>
    <row r="145" spans="1:23" ht="12.5">
      <c r="A145" s="1" t="s">
        <v>246</v>
      </c>
      <c r="B145" s="1" t="s">
        <v>107</v>
      </c>
      <c r="C145" s="1">
        <v>16718.970700000002</v>
      </c>
      <c r="D145" s="1">
        <v>24.23200035</v>
      </c>
      <c r="E145" s="1">
        <v>71.219884969999995</v>
      </c>
      <c r="F145" s="1">
        <v>13.90222204</v>
      </c>
      <c r="G145" s="1">
        <v>5.6772185579999999</v>
      </c>
      <c r="H145" s="1">
        <v>9.2006744339999997</v>
      </c>
      <c r="I145" s="1">
        <v>65.067155830000004</v>
      </c>
      <c r="J145" s="1">
        <v>15.51772278</v>
      </c>
      <c r="K145" s="1">
        <v>7.4928993070000001</v>
      </c>
      <c r="L145" s="1">
        <v>11.92222209</v>
      </c>
      <c r="M145" s="1">
        <v>90.458077169999996</v>
      </c>
      <c r="N145" s="1">
        <v>8.8509147200000005</v>
      </c>
      <c r="O145" s="1">
        <v>0</v>
      </c>
      <c r="P145" s="1">
        <v>0.69100811439999998</v>
      </c>
      <c r="Q145" s="1">
        <f t="shared" si="0"/>
        <v>16</v>
      </c>
      <c r="R145" s="1">
        <f t="shared" si="1"/>
        <v>4051.3410385403977</v>
      </c>
      <c r="S145" s="1">
        <f t="shared" si="2"/>
        <v>75.767999650000007</v>
      </c>
      <c r="T145" s="1">
        <f t="shared" si="3"/>
        <v>17</v>
      </c>
      <c r="U145" s="1">
        <v>71.219884969999995</v>
      </c>
      <c r="V145" s="1">
        <f t="shared" si="4"/>
        <v>24</v>
      </c>
      <c r="W145" s="1">
        <f t="shared" si="5"/>
        <v>76</v>
      </c>
    </row>
    <row r="146" spans="1:23" ht="12.5">
      <c r="A146" s="1" t="s">
        <v>243</v>
      </c>
      <c r="B146" s="1" t="s">
        <v>107</v>
      </c>
      <c r="C146" s="1">
        <v>16743.929690000001</v>
      </c>
      <c r="D146" s="1">
        <v>48.122001650000001</v>
      </c>
      <c r="E146" s="1">
        <v>84.905237790000001</v>
      </c>
      <c r="F146" s="1">
        <v>2.3872175090000001</v>
      </c>
      <c r="G146" s="1">
        <v>12.60781566</v>
      </c>
      <c r="H146" s="1">
        <v>9.9729040419999998E-2</v>
      </c>
      <c r="I146" s="1">
        <v>75.242928199999994</v>
      </c>
      <c r="J146" s="1">
        <v>4.052382433</v>
      </c>
      <c r="K146" s="1">
        <v>20.512451739999999</v>
      </c>
      <c r="L146" s="1">
        <v>0.1922376314</v>
      </c>
      <c r="M146" s="1">
        <v>95.321700939999999</v>
      </c>
      <c r="N146" s="1">
        <v>0.59208365669999996</v>
      </c>
      <c r="O146" s="1">
        <v>4.0862154019999997</v>
      </c>
      <c r="P146" s="1">
        <v>0</v>
      </c>
      <c r="Q146" s="1">
        <f t="shared" si="0"/>
        <v>16</v>
      </c>
      <c r="R146" s="1">
        <f t="shared" si="1"/>
        <v>8057.5141216966404</v>
      </c>
      <c r="S146" s="1">
        <f t="shared" si="2"/>
        <v>51.877998349999999</v>
      </c>
      <c r="T146" s="1">
        <f t="shared" si="3"/>
        <v>17</v>
      </c>
      <c r="U146" s="1">
        <v>84.905237790000001</v>
      </c>
      <c r="V146" s="1">
        <f t="shared" si="4"/>
        <v>48</v>
      </c>
      <c r="W146" s="1">
        <f t="shared" si="5"/>
        <v>52</v>
      </c>
    </row>
    <row r="147" spans="1:23" ht="12.5">
      <c r="A147" s="1" t="s">
        <v>92</v>
      </c>
      <c r="B147" s="1" t="s">
        <v>69</v>
      </c>
      <c r="C147" s="1">
        <v>17134.873049999998</v>
      </c>
      <c r="D147" s="1">
        <v>92.236000059999995</v>
      </c>
      <c r="E147" s="1">
        <v>99.999999290000005</v>
      </c>
      <c r="F147" s="1">
        <v>0</v>
      </c>
      <c r="G147" s="1">
        <v>7.1240862099999999E-7</v>
      </c>
      <c r="H147" s="1">
        <v>0</v>
      </c>
      <c r="I147" s="1">
        <v>100</v>
      </c>
      <c r="J147" s="1">
        <v>0</v>
      </c>
      <c r="K147" s="1">
        <v>0</v>
      </c>
      <c r="L147" s="1">
        <v>0</v>
      </c>
      <c r="M147" s="1">
        <v>100</v>
      </c>
      <c r="N147" s="1">
        <v>0</v>
      </c>
      <c r="O147" s="1">
        <v>0</v>
      </c>
      <c r="P147" s="1">
        <v>0</v>
      </c>
      <c r="Q147" s="1">
        <f t="shared" si="0"/>
        <v>16</v>
      </c>
      <c r="R147" s="1">
        <f t="shared" si="1"/>
        <v>15804.52151667892</v>
      </c>
      <c r="S147" s="1">
        <f t="shared" si="2"/>
        <v>7.763999940000005</v>
      </c>
      <c r="T147" s="1">
        <f t="shared" si="3"/>
        <v>18</v>
      </c>
      <c r="U147" s="1">
        <v>99.999999290000005</v>
      </c>
      <c r="V147" s="1">
        <f t="shared" si="4"/>
        <v>92</v>
      </c>
      <c r="W147" s="1">
        <f t="shared" si="5"/>
        <v>8</v>
      </c>
    </row>
    <row r="148" spans="1:23" ht="12.5">
      <c r="A148" s="1" t="s">
        <v>229</v>
      </c>
      <c r="B148" s="1" t="s">
        <v>170</v>
      </c>
      <c r="C148" s="1">
        <v>17500.65625</v>
      </c>
      <c r="D148" s="1">
        <v>55.475002289999999</v>
      </c>
      <c r="E148" s="1">
        <v>93.925857179999994</v>
      </c>
      <c r="F148" s="1">
        <v>5.8737307679999997</v>
      </c>
      <c r="G148" s="1">
        <v>0.20041205419999999</v>
      </c>
      <c r="H148" s="1">
        <v>0</v>
      </c>
      <c r="I148" s="1">
        <v>92.082745000000003</v>
      </c>
      <c r="J148" s="1">
        <v>7.9172549999999999</v>
      </c>
      <c r="K148" s="1">
        <v>0</v>
      </c>
      <c r="L148" s="1">
        <v>0</v>
      </c>
      <c r="M148" s="1">
        <v>95.405164360000001</v>
      </c>
      <c r="N148" s="1">
        <v>4.2335701170000002</v>
      </c>
      <c r="O148" s="1">
        <v>0.36126552499999998</v>
      </c>
      <c r="P148" s="1">
        <v>0</v>
      </c>
      <c r="Q148" s="1">
        <f t="shared" si="0"/>
        <v>16</v>
      </c>
      <c r="R148" s="1">
        <f t="shared" si="1"/>
        <v>9708.4894554525272</v>
      </c>
      <c r="S148" s="1">
        <f t="shared" si="2"/>
        <v>44.524997710000001</v>
      </c>
      <c r="T148" s="1">
        <f t="shared" si="3"/>
        <v>18</v>
      </c>
      <c r="U148" s="1">
        <v>93.925857179999994</v>
      </c>
      <c r="V148" s="1">
        <f t="shared" si="4"/>
        <v>55</v>
      </c>
      <c r="W148" s="1">
        <f t="shared" si="5"/>
        <v>45</v>
      </c>
    </row>
    <row r="149" spans="1:23" ht="12.5">
      <c r="A149" s="1" t="s">
        <v>206</v>
      </c>
      <c r="B149" s="1" t="s">
        <v>74</v>
      </c>
      <c r="C149" s="1">
        <v>17643.060549999998</v>
      </c>
      <c r="D149" s="1">
        <v>64.166000370000006</v>
      </c>
      <c r="E149" s="1">
        <v>95.359763560000005</v>
      </c>
      <c r="F149" s="1">
        <v>3.451463449E-3</v>
      </c>
      <c r="G149" s="1">
        <v>2.6044853890000002</v>
      </c>
      <c r="H149" s="1">
        <v>2.032299589</v>
      </c>
      <c r="I149" s="1">
        <v>87.050744949999995</v>
      </c>
      <c r="J149" s="1">
        <v>9.6318110219999996E-3</v>
      </c>
      <c r="K149" s="1">
        <v>7.2681954900000001</v>
      </c>
      <c r="L149" s="1">
        <v>5.6714277470000001</v>
      </c>
      <c r="M149" s="1">
        <v>100</v>
      </c>
      <c r="N149" s="1">
        <v>0</v>
      </c>
      <c r="O149" s="1">
        <v>0</v>
      </c>
      <c r="P149" s="1">
        <v>0</v>
      </c>
      <c r="Q149" s="1">
        <f t="shared" si="0"/>
        <v>16</v>
      </c>
      <c r="R149" s="1">
        <f t="shared" si="1"/>
        <v>11320.846297792325</v>
      </c>
      <c r="S149" s="1">
        <f t="shared" si="2"/>
        <v>35.833999629999994</v>
      </c>
      <c r="T149" s="1">
        <f t="shared" si="3"/>
        <v>18</v>
      </c>
      <c r="U149" s="1">
        <v>95.359763560000005</v>
      </c>
      <c r="V149" s="1">
        <f t="shared" si="4"/>
        <v>64</v>
      </c>
      <c r="W149" s="1">
        <f t="shared" si="5"/>
        <v>36</v>
      </c>
    </row>
    <row r="150" spans="1:23" ht="12.5">
      <c r="A150" s="1" t="s">
        <v>232</v>
      </c>
      <c r="B150" s="1" t="s">
        <v>74</v>
      </c>
      <c r="C150" s="1">
        <v>17915.566409999999</v>
      </c>
      <c r="D150" s="1">
        <v>51.835998539999999</v>
      </c>
      <c r="E150" s="1">
        <v>94.006428270000001</v>
      </c>
      <c r="F150" s="1">
        <v>1.034150511</v>
      </c>
      <c r="G150" s="1">
        <v>3.2159118150000001</v>
      </c>
      <c r="H150" s="1">
        <v>1.7435094040000001</v>
      </c>
      <c r="I150" s="1">
        <v>90.119329800000003</v>
      </c>
      <c r="J150" s="1">
        <v>1.8491699989999999</v>
      </c>
      <c r="K150" s="1">
        <v>4.5834386909999996</v>
      </c>
      <c r="L150" s="1">
        <v>3.4480615079999999</v>
      </c>
      <c r="M150" s="1">
        <v>97.618169440000003</v>
      </c>
      <c r="N150" s="1">
        <v>0.27686600569999997</v>
      </c>
      <c r="O150" s="1">
        <v>1.94525887</v>
      </c>
      <c r="P150" s="1">
        <v>0.15970568490000001</v>
      </c>
      <c r="Q150" s="1">
        <f t="shared" si="0"/>
        <v>16</v>
      </c>
      <c r="R150" s="1">
        <f t="shared" si="1"/>
        <v>9286.7127427203286</v>
      </c>
      <c r="S150" s="1">
        <f t="shared" si="2"/>
        <v>48.164001460000001</v>
      </c>
      <c r="T150" s="1">
        <f t="shared" si="3"/>
        <v>18</v>
      </c>
      <c r="U150" s="1">
        <v>94.006428270000001</v>
      </c>
      <c r="V150" s="1">
        <f t="shared" si="4"/>
        <v>52</v>
      </c>
      <c r="W150" s="1">
        <f t="shared" si="5"/>
        <v>48</v>
      </c>
    </row>
    <row r="151" spans="1:23" ht="12.5">
      <c r="A151" s="1" t="s">
        <v>248</v>
      </c>
      <c r="B151" s="1" t="s">
        <v>170</v>
      </c>
      <c r="C151" s="1">
        <v>18383.95508</v>
      </c>
      <c r="D151" s="1">
        <v>44.6289978</v>
      </c>
      <c r="E151" s="1">
        <v>65.412383570000003</v>
      </c>
      <c r="F151" s="1">
        <v>6.1539390200000001</v>
      </c>
      <c r="G151" s="1">
        <v>21.576840709999999</v>
      </c>
      <c r="H151" s="1">
        <v>6.8568367060000002</v>
      </c>
      <c r="I151" s="1">
        <v>48.22728833</v>
      </c>
      <c r="J151" s="1">
        <v>8.3317036130000002</v>
      </c>
      <c r="K151" s="1">
        <v>31.608654439999999</v>
      </c>
      <c r="L151" s="1">
        <v>11.832353619999999</v>
      </c>
      <c r="M151" s="1">
        <v>86.733854660000006</v>
      </c>
      <c r="N151" s="1">
        <v>3.4519961939999999</v>
      </c>
      <c r="O151" s="1">
        <v>9.1304141049999998</v>
      </c>
      <c r="P151" s="1">
        <v>0.68373504630000004</v>
      </c>
      <c r="Q151" s="1">
        <f t="shared" si="0"/>
        <v>16</v>
      </c>
      <c r="R151" s="1">
        <f t="shared" si="1"/>
        <v>8204.5749082061884</v>
      </c>
      <c r="S151" s="1">
        <f t="shared" si="2"/>
        <v>55.3710022</v>
      </c>
      <c r="T151" s="1">
        <f t="shared" si="3"/>
        <v>19</v>
      </c>
      <c r="U151" s="1">
        <v>65.412383570000003</v>
      </c>
      <c r="V151" s="1">
        <f t="shared" si="4"/>
        <v>45</v>
      </c>
      <c r="W151" s="1">
        <f t="shared" si="5"/>
        <v>55</v>
      </c>
    </row>
    <row r="152" spans="1:23" ht="12.5">
      <c r="A152" s="1" t="s">
        <v>219</v>
      </c>
      <c r="B152" s="1" t="s">
        <v>74</v>
      </c>
      <c r="C152" s="1">
        <v>18776.707030000001</v>
      </c>
      <c r="D152" s="1">
        <v>57.671001429999997</v>
      </c>
      <c r="E152" s="1">
        <v>95.434970320000005</v>
      </c>
      <c r="F152" s="1">
        <v>1.9414250390000001</v>
      </c>
      <c r="G152" s="1">
        <v>2.5459569339999999</v>
      </c>
      <c r="H152" s="1">
        <v>7.7647704710000001E-2</v>
      </c>
      <c r="I152" s="1">
        <v>91.939252339999996</v>
      </c>
      <c r="J152" s="1">
        <v>1.862616064</v>
      </c>
      <c r="K152" s="1">
        <v>6.0146930489999999</v>
      </c>
      <c r="L152" s="1">
        <v>0.18343854379999999</v>
      </c>
      <c r="M152" s="1">
        <v>98.000731329999994</v>
      </c>
      <c r="N152" s="1">
        <v>1.999268673</v>
      </c>
      <c r="O152" s="1">
        <v>0</v>
      </c>
      <c r="P152" s="1">
        <v>0</v>
      </c>
      <c r="Q152" s="1">
        <f t="shared" si="0"/>
        <v>16</v>
      </c>
      <c r="R152" s="1">
        <f t="shared" si="1"/>
        <v>10828.714979778211</v>
      </c>
      <c r="S152" s="1">
        <f t="shared" si="2"/>
        <v>42.328998570000003</v>
      </c>
      <c r="T152" s="1">
        <f t="shared" si="3"/>
        <v>19</v>
      </c>
      <c r="U152" s="1">
        <v>95.434970320000005</v>
      </c>
      <c r="V152" s="1">
        <f t="shared" si="4"/>
        <v>58</v>
      </c>
      <c r="W152" s="1">
        <f t="shared" si="5"/>
        <v>42</v>
      </c>
    </row>
    <row r="153" spans="1:23" ht="12.5">
      <c r="A153" s="1" t="s">
        <v>111</v>
      </c>
      <c r="B153" s="1" t="s">
        <v>69</v>
      </c>
      <c r="C153" s="1">
        <v>19116.208979999999</v>
      </c>
      <c r="D153" s="1">
        <v>87.72699738</v>
      </c>
      <c r="E153" s="1">
        <v>99.999998719999994</v>
      </c>
      <c r="F153" s="1">
        <v>0</v>
      </c>
      <c r="G153" s="1">
        <v>1.2771393330000001E-6</v>
      </c>
      <c r="H153" s="1">
        <v>0</v>
      </c>
      <c r="I153" s="1">
        <v>100</v>
      </c>
      <c r="J153" s="1">
        <v>0</v>
      </c>
      <c r="K153" s="1">
        <v>0</v>
      </c>
      <c r="L153" s="1">
        <v>0</v>
      </c>
      <c r="M153" s="1">
        <v>100</v>
      </c>
      <c r="N153" s="1">
        <v>0</v>
      </c>
      <c r="O153" s="1">
        <v>0</v>
      </c>
      <c r="P153" s="1">
        <v>0</v>
      </c>
      <c r="Q153" s="1">
        <f t="shared" si="0"/>
        <v>16</v>
      </c>
      <c r="R153" s="1">
        <f t="shared" si="1"/>
        <v>16770.076151039924</v>
      </c>
      <c r="S153" s="1">
        <f t="shared" si="2"/>
        <v>12.27300262</v>
      </c>
      <c r="T153" s="1">
        <f t="shared" si="3"/>
        <v>20</v>
      </c>
      <c r="U153" s="1">
        <v>99.999998719999994</v>
      </c>
      <c r="V153" s="1">
        <f t="shared" si="4"/>
        <v>88</v>
      </c>
      <c r="W153" s="1">
        <f t="shared" si="5"/>
        <v>12</v>
      </c>
    </row>
    <row r="154" spans="1:23" ht="12.5">
      <c r="A154" s="1" t="s">
        <v>250</v>
      </c>
      <c r="B154" s="1" t="s">
        <v>170</v>
      </c>
      <c r="C154" s="1">
        <v>19129.95508</v>
      </c>
      <c r="D154" s="1">
        <v>17.42700005</v>
      </c>
      <c r="E154" s="1">
        <v>70.047728509999999</v>
      </c>
      <c r="F154" s="1">
        <v>21.95081497</v>
      </c>
      <c r="G154" s="1">
        <v>5.7763044069999996</v>
      </c>
      <c r="H154" s="1">
        <v>2.2251521099999998</v>
      </c>
      <c r="I154" s="1">
        <v>66.585043760000005</v>
      </c>
      <c r="J154" s="1">
        <v>24.414158029999999</v>
      </c>
      <c r="K154" s="1">
        <v>6.3838741460000001</v>
      </c>
      <c r="L154" s="1">
        <v>2.6169240660000002</v>
      </c>
      <c r="M154" s="1">
        <v>86.454698210000004</v>
      </c>
      <c r="N154" s="1">
        <v>10.278948249999999</v>
      </c>
      <c r="O154" s="1">
        <v>2.8975039960000002</v>
      </c>
      <c r="P154" s="1">
        <v>0.36884954460000002</v>
      </c>
      <c r="Q154" s="1">
        <f t="shared" si="0"/>
        <v>16</v>
      </c>
      <c r="R154" s="1">
        <f t="shared" si="1"/>
        <v>3333.7772813565775</v>
      </c>
      <c r="S154" s="1">
        <f t="shared" si="2"/>
        <v>82.572999949999996</v>
      </c>
      <c r="T154" s="1">
        <f t="shared" si="3"/>
        <v>20</v>
      </c>
      <c r="U154" s="1">
        <v>70.047728509999999</v>
      </c>
      <c r="V154" s="1">
        <f t="shared" si="4"/>
        <v>17</v>
      </c>
      <c r="W154" s="1">
        <f t="shared" si="5"/>
        <v>83</v>
      </c>
    </row>
    <row r="155" spans="1:23" ht="12.5">
      <c r="A155" s="1" t="s">
        <v>230</v>
      </c>
      <c r="B155" s="1" t="s">
        <v>69</v>
      </c>
      <c r="C155" s="1">
        <v>19237.681639999999</v>
      </c>
      <c r="D155" s="1">
        <v>54.194000240000001</v>
      </c>
      <c r="E155" s="1">
        <v>100</v>
      </c>
      <c r="F155" s="1">
        <v>0</v>
      </c>
      <c r="G155" s="1">
        <v>0</v>
      </c>
      <c r="H155" s="1">
        <v>0</v>
      </c>
      <c r="I155" s="1">
        <v>100</v>
      </c>
      <c r="J155" s="1">
        <v>0</v>
      </c>
      <c r="K155" s="1">
        <v>0</v>
      </c>
      <c r="L155" s="1">
        <v>0</v>
      </c>
      <c r="M155" s="1">
        <v>100</v>
      </c>
      <c r="N155" s="1">
        <v>0</v>
      </c>
      <c r="O155" s="1">
        <v>0</v>
      </c>
      <c r="P155" s="1">
        <v>0</v>
      </c>
      <c r="Q155" s="1">
        <f t="shared" si="0"/>
        <v>16</v>
      </c>
      <c r="R155" s="1">
        <f t="shared" si="1"/>
        <v>10425.669234152037</v>
      </c>
      <c r="S155" s="1">
        <f t="shared" si="2"/>
        <v>45.805999759999999</v>
      </c>
      <c r="T155" s="1">
        <f t="shared" si="3"/>
        <v>20</v>
      </c>
      <c r="U155" s="1">
        <v>100</v>
      </c>
      <c r="V155" s="1">
        <f t="shared" si="4"/>
        <v>54</v>
      </c>
      <c r="W155" s="1">
        <f t="shared" si="5"/>
        <v>46</v>
      </c>
    </row>
    <row r="156" spans="1:23" ht="12.5">
      <c r="A156" s="1" t="s">
        <v>249</v>
      </c>
      <c r="B156" s="1" t="s">
        <v>170</v>
      </c>
      <c r="C156" s="1">
        <v>20250.833979999999</v>
      </c>
      <c r="D156" s="1">
        <v>43.909004209999999</v>
      </c>
      <c r="E156" s="1">
        <v>82.547291029999997</v>
      </c>
      <c r="F156" s="1">
        <v>3.8547345270000002</v>
      </c>
      <c r="G156" s="1">
        <v>12.246971350000001</v>
      </c>
      <c r="H156" s="1">
        <v>1.3510030900000001</v>
      </c>
      <c r="I156" s="1">
        <v>72.080895209999994</v>
      </c>
      <c r="J156" s="1">
        <v>3.7824122299999998</v>
      </c>
      <c r="K156" s="1">
        <v>21.72810084</v>
      </c>
      <c r="L156" s="1">
        <v>2.4085917170000002</v>
      </c>
      <c r="M156" s="1">
        <v>95.917454750000005</v>
      </c>
      <c r="N156" s="1">
        <v>3.947121723</v>
      </c>
      <c r="O156" s="1">
        <v>0.13542353139999999</v>
      </c>
      <c r="P156" s="1">
        <v>0</v>
      </c>
      <c r="Q156" s="1">
        <f t="shared" si="0"/>
        <v>16</v>
      </c>
      <c r="R156" s="1">
        <f t="shared" si="1"/>
        <v>8891.9395448383093</v>
      </c>
      <c r="S156" s="1">
        <f t="shared" si="2"/>
        <v>56.090995790000001</v>
      </c>
      <c r="T156" s="1">
        <f t="shared" si="3"/>
        <v>21</v>
      </c>
      <c r="U156" s="1">
        <v>82.547291029999997</v>
      </c>
      <c r="V156" s="1">
        <f t="shared" si="4"/>
        <v>44</v>
      </c>
      <c r="W156" s="1">
        <f t="shared" si="5"/>
        <v>56</v>
      </c>
    </row>
    <row r="157" spans="1:23" ht="12.5">
      <c r="A157" s="1" t="s">
        <v>252</v>
      </c>
      <c r="B157" s="1" t="s">
        <v>170</v>
      </c>
      <c r="C157" s="1">
        <v>20903.277340000001</v>
      </c>
      <c r="D157" s="1">
        <v>30.60700035</v>
      </c>
      <c r="E157" s="1">
        <v>47.214854459999998</v>
      </c>
      <c r="F157" s="1">
        <v>31.2730034</v>
      </c>
      <c r="G157" s="1">
        <v>21.15863263</v>
      </c>
      <c r="H157" s="1">
        <v>0.35350950240000001</v>
      </c>
      <c r="I157" s="1">
        <v>32.718258900000002</v>
      </c>
      <c r="J157" s="1">
        <v>38.626902540000003</v>
      </c>
      <c r="K157" s="1">
        <v>28.3404457</v>
      </c>
      <c r="L157" s="1">
        <v>0.31439286259999999</v>
      </c>
      <c r="M157" s="1">
        <v>80.081918540000004</v>
      </c>
      <c r="N157" s="1">
        <v>14.60004919</v>
      </c>
      <c r="O157" s="1">
        <v>4.8758364869999999</v>
      </c>
      <c r="P157" s="1">
        <v>0.44219578050000002</v>
      </c>
      <c r="Q157" s="1">
        <f t="shared" si="0"/>
        <v>16</v>
      </c>
      <c r="R157" s="1">
        <f t="shared" si="1"/>
        <v>6397.8661686152709</v>
      </c>
      <c r="S157" s="1">
        <f t="shared" si="2"/>
        <v>69.392999650000007</v>
      </c>
      <c r="T157" s="1">
        <f t="shared" si="3"/>
        <v>21</v>
      </c>
      <c r="U157" s="1">
        <v>47.214854459999998</v>
      </c>
      <c r="V157" s="1">
        <f t="shared" si="4"/>
        <v>31</v>
      </c>
      <c r="W157" s="1">
        <f t="shared" si="5"/>
        <v>69</v>
      </c>
    </row>
    <row r="158" spans="1:23" ht="12.5">
      <c r="A158" s="1" t="s">
        <v>253</v>
      </c>
      <c r="B158" s="1" t="s">
        <v>107</v>
      </c>
      <c r="C158" s="1">
        <v>21413.25</v>
      </c>
      <c r="D158" s="1">
        <v>18.71299934</v>
      </c>
      <c r="E158" s="1">
        <v>92.227579370000001</v>
      </c>
      <c r="F158" s="1">
        <v>0.59545814949999998</v>
      </c>
      <c r="G158" s="1">
        <v>5.3489270639999997</v>
      </c>
      <c r="H158" s="1">
        <v>1.82803542</v>
      </c>
      <c r="I158" s="1">
        <v>90.537435700000003</v>
      </c>
      <c r="J158" s="1">
        <v>0.70320990380000004</v>
      </c>
      <c r="K158" s="1">
        <v>6.5104886119999996</v>
      </c>
      <c r="L158" s="1">
        <v>2.2488657820000002</v>
      </c>
      <c r="M158" s="1">
        <v>99.569380190000004</v>
      </c>
      <c r="N158" s="1">
        <v>0.12739779009999999</v>
      </c>
      <c r="O158" s="1">
        <v>0.3032220202</v>
      </c>
      <c r="P158" s="1">
        <v>0</v>
      </c>
      <c r="Q158" s="1">
        <f t="shared" si="0"/>
        <v>16</v>
      </c>
      <c r="R158" s="1">
        <f t="shared" si="1"/>
        <v>4007.0613311725501</v>
      </c>
      <c r="S158" s="1">
        <f t="shared" si="2"/>
        <v>81.287000660000004</v>
      </c>
      <c r="T158" s="1">
        <f t="shared" si="3"/>
        <v>22</v>
      </c>
      <c r="U158" s="1">
        <v>92.227579370000001</v>
      </c>
      <c r="V158" s="1">
        <f t="shared" si="4"/>
        <v>19</v>
      </c>
      <c r="W158" s="1">
        <f t="shared" si="5"/>
        <v>81</v>
      </c>
    </row>
    <row r="159" spans="1:23" ht="12.5">
      <c r="A159" s="1" t="s">
        <v>254</v>
      </c>
      <c r="B159" s="1" t="s">
        <v>170</v>
      </c>
      <c r="C159" s="1">
        <v>24206.636719999999</v>
      </c>
      <c r="D159" s="1">
        <v>16.625999449999998</v>
      </c>
      <c r="E159" s="1">
        <v>46.911797470000003</v>
      </c>
      <c r="F159" s="1">
        <v>21.653898699999999</v>
      </c>
      <c r="G159" s="1">
        <v>27.027512439999999</v>
      </c>
      <c r="H159" s="1">
        <v>4.4067913919999997</v>
      </c>
      <c r="I159" s="1">
        <v>39.154159319999998</v>
      </c>
      <c r="J159" s="1">
        <v>23.987740389999999</v>
      </c>
      <c r="K159" s="1">
        <v>31.991506480000002</v>
      </c>
      <c r="L159" s="1">
        <v>4.8665938129999997</v>
      </c>
      <c r="M159" s="1">
        <v>85.813839759999993</v>
      </c>
      <c r="N159" s="1">
        <v>9.9504408289999997</v>
      </c>
      <c r="O159" s="1">
        <v>2.1346877800000001</v>
      </c>
      <c r="P159" s="1">
        <v>2.1010316339999999</v>
      </c>
      <c r="Q159" s="1">
        <f t="shared" si="0"/>
        <v>16</v>
      </c>
      <c r="R159" s="1">
        <f t="shared" si="1"/>
        <v>4024.5952879306974</v>
      </c>
      <c r="S159" s="1">
        <f t="shared" si="2"/>
        <v>83.374000550000005</v>
      </c>
      <c r="T159" s="1">
        <f t="shared" si="3"/>
        <v>25</v>
      </c>
      <c r="U159" s="1">
        <v>46.911797470000003</v>
      </c>
      <c r="V159" s="1">
        <f t="shared" si="4"/>
        <v>17</v>
      </c>
      <c r="W159" s="1">
        <f t="shared" si="5"/>
        <v>83</v>
      </c>
    </row>
    <row r="160" spans="1:23" ht="12.5">
      <c r="A160" s="1" t="s">
        <v>126</v>
      </c>
      <c r="B160" s="1" t="s">
        <v>69</v>
      </c>
      <c r="C160" s="1">
        <v>25499.880860000001</v>
      </c>
      <c r="D160" s="1">
        <v>86.240997309999997</v>
      </c>
      <c r="E160" s="1">
        <v>99.969811820000004</v>
      </c>
      <c r="F160" s="1">
        <v>0</v>
      </c>
      <c r="G160" s="1">
        <v>3.0188178730000001E-2</v>
      </c>
      <c r="H160" s="1">
        <v>0</v>
      </c>
      <c r="I160" s="1">
        <v>100</v>
      </c>
      <c r="J160" s="1">
        <v>0</v>
      </c>
      <c r="K160" s="1">
        <v>0</v>
      </c>
      <c r="L160" s="1">
        <v>0</v>
      </c>
      <c r="M160" s="1">
        <v>99.965000000000003</v>
      </c>
      <c r="N160" s="1">
        <v>0</v>
      </c>
      <c r="O160" s="1">
        <v>3.5000000000000003E-2</v>
      </c>
      <c r="P160" s="1">
        <v>0</v>
      </c>
      <c r="Q160" s="1">
        <f t="shared" si="0"/>
        <v>16</v>
      </c>
      <c r="R160" s="1">
        <f t="shared" si="1"/>
        <v>21991.351566525806</v>
      </c>
      <c r="S160" s="1">
        <f t="shared" si="2"/>
        <v>13.759002690000003</v>
      </c>
      <c r="T160" s="1">
        <f t="shared" si="3"/>
        <v>26</v>
      </c>
      <c r="U160" s="1">
        <v>99.969811820000004</v>
      </c>
      <c r="V160" s="1">
        <f t="shared" si="4"/>
        <v>86</v>
      </c>
      <c r="W160" s="1">
        <f t="shared" si="5"/>
        <v>14</v>
      </c>
    </row>
    <row r="161" spans="1:23" ht="12.5">
      <c r="A161" s="1" t="s">
        <v>210</v>
      </c>
      <c r="B161" s="1" t="s">
        <v>170</v>
      </c>
      <c r="C161" s="1">
        <v>25778.814450000002</v>
      </c>
      <c r="D161" s="1">
        <v>62.381000520000001</v>
      </c>
      <c r="E161" s="1">
        <v>93.843843030000002</v>
      </c>
      <c r="F161" s="1">
        <v>0.68313118719999999</v>
      </c>
      <c r="G161" s="1">
        <v>5.2096927800000001</v>
      </c>
      <c r="H161" s="1">
        <v>0.26333300580000002</v>
      </c>
      <c r="I161" s="1">
        <v>88.753624880000004</v>
      </c>
      <c r="J161" s="1">
        <v>0.3564402606</v>
      </c>
      <c r="K161" s="1">
        <v>10.189934859999999</v>
      </c>
      <c r="L161" s="1">
        <v>0.7</v>
      </c>
      <c r="M161" s="1">
        <v>96.913510439999996</v>
      </c>
      <c r="N161" s="1">
        <v>0.88014287989999995</v>
      </c>
      <c r="O161" s="1">
        <v>2.206346677</v>
      </c>
      <c r="P161" s="1">
        <v>0</v>
      </c>
      <c r="Q161" s="1">
        <f t="shared" si="0"/>
        <v>16</v>
      </c>
      <c r="R161" s="1">
        <f t="shared" si="1"/>
        <v>16081.082376104336</v>
      </c>
      <c r="S161" s="1">
        <f t="shared" si="2"/>
        <v>37.618999479999999</v>
      </c>
      <c r="T161" s="1">
        <f t="shared" si="3"/>
        <v>26</v>
      </c>
      <c r="U161" s="1">
        <v>93.843843030000002</v>
      </c>
      <c r="V161" s="1">
        <f t="shared" si="4"/>
        <v>62</v>
      </c>
      <c r="W161" s="1">
        <f t="shared" si="5"/>
        <v>38</v>
      </c>
    </row>
    <row r="162" spans="1:23" ht="12.5">
      <c r="A162" s="1" t="s">
        <v>233</v>
      </c>
      <c r="B162" s="1" t="s">
        <v>107</v>
      </c>
      <c r="C162" s="1">
        <v>26378.275389999999</v>
      </c>
      <c r="D162" s="1">
        <v>51.70599747</v>
      </c>
      <c r="E162" s="1">
        <v>70.909070389999997</v>
      </c>
      <c r="F162" s="1">
        <v>8.9354217019999993</v>
      </c>
      <c r="G162" s="1">
        <v>14.192441609999999</v>
      </c>
      <c r="H162" s="1">
        <v>5.9630662929999998</v>
      </c>
      <c r="I162" s="1">
        <v>55.722446859999998</v>
      </c>
      <c r="J162" s="1">
        <v>13.343168289999999</v>
      </c>
      <c r="K162" s="1">
        <v>23.17527956</v>
      </c>
      <c r="L162" s="1">
        <v>7.7591052889999998</v>
      </c>
      <c r="M162" s="1">
        <v>85.093553290000003</v>
      </c>
      <c r="N162" s="1">
        <v>4.8185351560000003</v>
      </c>
      <c r="O162" s="1">
        <v>5.8023665600000003</v>
      </c>
      <c r="P162" s="1">
        <v>4.2855449940000003</v>
      </c>
      <c r="Q162" s="1">
        <f t="shared" si="0"/>
        <v>16</v>
      </c>
      <c r="R162" s="1">
        <f t="shared" si="1"/>
        <v>13639.150405783032</v>
      </c>
      <c r="S162" s="1">
        <f t="shared" si="2"/>
        <v>48.29400253</v>
      </c>
      <c r="T162" s="1">
        <f t="shared" si="3"/>
        <v>27</v>
      </c>
      <c r="U162" s="1">
        <v>70.909070389999997</v>
      </c>
      <c r="V162" s="1">
        <f t="shared" si="4"/>
        <v>52</v>
      </c>
      <c r="W162" s="1">
        <f t="shared" si="5"/>
        <v>48</v>
      </c>
    </row>
    <row r="163" spans="1:23" ht="12.5">
      <c r="A163" s="1" t="s">
        <v>221</v>
      </c>
      <c r="B163" s="1" t="s">
        <v>107</v>
      </c>
      <c r="C163" s="1">
        <v>26545.863280000001</v>
      </c>
      <c r="D163" s="1">
        <v>57.560005189999998</v>
      </c>
      <c r="E163" s="1">
        <v>65.720418179999996</v>
      </c>
      <c r="F163" s="1">
        <v>12.874748629999999</v>
      </c>
      <c r="G163" s="1">
        <v>15.00100626</v>
      </c>
      <c r="H163" s="1">
        <v>6.4038269269999999</v>
      </c>
      <c r="I163" s="1">
        <v>43.527581120000001</v>
      </c>
      <c r="J163" s="1">
        <v>12.67259943</v>
      </c>
      <c r="K163" s="1">
        <v>30.12380645</v>
      </c>
      <c r="L163" s="1">
        <v>13.676012999999999</v>
      </c>
      <c r="M163" s="1">
        <v>82.083584860000002</v>
      </c>
      <c r="N163" s="1">
        <v>13.023796770000001</v>
      </c>
      <c r="O163" s="1">
        <v>3.8507013510000001</v>
      </c>
      <c r="P163" s="1">
        <v>1.041917019</v>
      </c>
      <c r="Q163" s="1">
        <f t="shared" si="0"/>
        <v>16</v>
      </c>
      <c r="R163" s="1">
        <f t="shared" si="1"/>
        <v>15279.800281698304</v>
      </c>
      <c r="S163" s="1">
        <f t="shared" si="2"/>
        <v>42.439994810000002</v>
      </c>
      <c r="T163" s="1">
        <f t="shared" si="3"/>
        <v>27</v>
      </c>
      <c r="U163" s="1">
        <v>65.720418179999996</v>
      </c>
      <c r="V163" s="1">
        <f t="shared" si="4"/>
        <v>58</v>
      </c>
      <c r="W163" s="1">
        <f t="shared" si="5"/>
        <v>42</v>
      </c>
    </row>
    <row r="164" spans="1:23" ht="12.5">
      <c r="A164" s="1" t="s">
        <v>257</v>
      </c>
      <c r="B164" s="1" t="s">
        <v>170</v>
      </c>
      <c r="C164" s="1">
        <v>27691.019530000001</v>
      </c>
      <c r="D164" s="1">
        <v>38.534000399999996</v>
      </c>
      <c r="E164" s="1">
        <v>53.385884910000001</v>
      </c>
      <c r="F164" s="1">
        <v>2.7179729799999999</v>
      </c>
      <c r="G164" s="1">
        <v>32.311459669999998</v>
      </c>
      <c r="H164" s="1">
        <v>11.58468244</v>
      </c>
      <c r="I164" s="1">
        <v>36.406420279999999</v>
      </c>
      <c r="J164" s="1">
        <v>1.601776163</v>
      </c>
      <c r="K164" s="1">
        <v>43.953893450000002</v>
      </c>
      <c r="L164" s="1">
        <v>18.037910109999999</v>
      </c>
      <c r="M164" s="1">
        <v>80.470006940000005</v>
      </c>
      <c r="N164" s="1">
        <v>4.4984302979999997</v>
      </c>
      <c r="O164" s="1">
        <v>13.74049434</v>
      </c>
      <c r="P164" s="1">
        <v>1.291068417</v>
      </c>
      <c r="Q164" s="1">
        <f t="shared" si="0"/>
        <v>16</v>
      </c>
      <c r="R164" s="1">
        <f t="shared" si="1"/>
        <v>10670.457576454277</v>
      </c>
      <c r="S164" s="1">
        <f t="shared" si="2"/>
        <v>61.465999600000004</v>
      </c>
      <c r="T164" s="1">
        <f t="shared" si="3"/>
        <v>28</v>
      </c>
      <c r="U164" s="1">
        <v>53.385884910000001</v>
      </c>
      <c r="V164" s="1">
        <f t="shared" si="4"/>
        <v>39</v>
      </c>
      <c r="W164" s="1">
        <f t="shared" si="5"/>
        <v>61</v>
      </c>
    </row>
    <row r="165" spans="1:23" ht="12.5">
      <c r="A165" s="1" t="s">
        <v>113</v>
      </c>
      <c r="B165" s="1" t="s">
        <v>29</v>
      </c>
      <c r="C165" s="1">
        <v>28435.943360000001</v>
      </c>
      <c r="D165" s="1">
        <v>88.278999330000005</v>
      </c>
      <c r="E165" s="1">
        <v>93.685800709999995</v>
      </c>
      <c r="F165" s="1">
        <v>0.4707829181</v>
      </c>
      <c r="G165" s="1">
        <v>5.8434163730000002</v>
      </c>
      <c r="H165" s="1" t="s">
        <v>29</v>
      </c>
      <c r="I165" s="1" t="s">
        <v>29</v>
      </c>
      <c r="J165" s="1" t="s">
        <v>29</v>
      </c>
      <c r="K165" s="1" t="s">
        <v>29</v>
      </c>
      <c r="L165" s="1" t="s">
        <v>29</v>
      </c>
      <c r="M165" s="1" t="s">
        <v>29</v>
      </c>
      <c r="N165" s="1" t="s">
        <v>29</v>
      </c>
      <c r="O165" s="1" t="s">
        <v>29</v>
      </c>
      <c r="P165" s="1" t="s">
        <v>29</v>
      </c>
      <c r="Q165" s="1">
        <f t="shared" si="0"/>
        <v>16</v>
      </c>
      <c r="R165" s="1">
        <f t="shared" si="1"/>
        <v>25102.966248253582</v>
      </c>
      <c r="S165" s="1">
        <f t="shared" si="2"/>
        <v>11.721000669999995</v>
      </c>
      <c r="T165" s="1">
        <f t="shared" si="3"/>
        <v>29</v>
      </c>
      <c r="U165" s="1">
        <v>93.685800709999995</v>
      </c>
      <c r="V165" s="1">
        <f t="shared" si="4"/>
        <v>88</v>
      </c>
      <c r="W165" s="1">
        <f t="shared" si="5"/>
        <v>12</v>
      </c>
    </row>
    <row r="166" spans="1:23" ht="12.5">
      <c r="A166" s="1" t="s">
        <v>259</v>
      </c>
      <c r="B166" s="1" t="s">
        <v>107</v>
      </c>
      <c r="C166" s="1">
        <v>29136.808590000001</v>
      </c>
      <c r="D166" s="1">
        <v>20.57600021</v>
      </c>
      <c r="E166" s="1">
        <v>90.074541789999998</v>
      </c>
      <c r="F166" s="1">
        <v>3.979825725</v>
      </c>
      <c r="G166" s="1">
        <v>4.699081176</v>
      </c>
      <c r="H166" s="1">
        <v>1.246551314</v>
      </c>
      <c r="I166" s="1">
        <v>90.203271650000005</v>
      </c>
      <c r="J166" s="1">
        <v>4.2073482459999996</v>
      </c>
      <c r="K166" s="1">
        <v>4.2690239510000003</v>
      </c>
      <c r="L166" s="1">
        <v>1.320356149</v>
      </c>
      <c r="M166" s="1">
        <v>89.577633160000005</v>
      </c>
      <c r="N166" s="1">
        <v>3.1015814110000002</v>
      </c>
      <c r="O166" s="1">
        <v>6.359123168</v>
      </c>
      <c r="P166" s="1">
        <v>0.96166225849999998</v>
      </c>
      <c r="Q166" s="1">
        <f t="shared" si="0"/>
        <v>16</v>
      </c>
      <c r="R166" s="1">
        <f t="shared" si="1"/>
        <v>5995.1897966656979</v>
      </c>
      <c r="S166" s="1">
        <f t="shared" si="2"/>
        <v>79.423999789999996</v>
      </c>
      <c r="T166" s="1">
        <f t="shared" si="3"/>
        <v>30</v>
      </c>
      <c r="U166" s="1">
        <v>90.074541789999998</v>
      </c>
      <c r="V166" s="1">
        <f t="shared" si="4"/>
        <v>21</v>
      </c>
      <c r="W166" s="1">
        <f t="shared" si="5"/>
        <v>79</v>
      </c>
    </row>
    <row r="167" spans="1:23" ht="12.5">
      <c r="A167" s="1" t="s">
        <v>258</v>
      </c>
      <c r="B167" s="1" t="s">
        <v>170</v>
      </c>
      <c r="C167" s="1">
        <v>29825.96875</v>
      </c>
      <c r="D167" s="1">
        <v>37.907997129999998</v>
      </c>
      <c r="E167" s="1">
        <v>60.663569840000001</v>
      </c>
      <c r="F167" s="1">
        <v>28.9627418</v>
      </c>
      <c r="G167" s="1">
        <v>7.77785276</v>
      </c>
      <c r="H167" s="1">
        <v>2.595835594</v>
      </c>
      <c r="I167" s="1">
        <v>50.681334370000002</v>
      </c>
      <c r="J167" s="1">
        <v>33.53021373</v>
      </c>
      <c r="K167" s="1">
        <v>11.60782393</v>
      </c>
      <c r="L167" s="1">
        <v>4.1806279780000004</v>
      </c>
      <c r="M167" s="1">
        <v>77.014129339999997</v>
      </c>
      <c r="N167" s="1">
        <v>21.481379369999999</v>
      </c>
      <c r="O167" s="1">
        <v>1.5044912859999999</v>
      </c>
      <c r="P167" s="1">
        <v>0</v>
      </c>
      <c r="Q167" s="1">
        <f t="shared" si="0"/>
        <v>16</v>
      </c>
      <c r="R167" s="1">
        <f t="shared" si="1"/>
        <v>11306.427377744696</v>
      </c>
      <c r="S167" s="1">
        <f t="shared" si="2"/>
        <v>62.092002870000002</v>
      </c>
      <c r="T167" s="1">
        <f t="shared" si="3"/>
        <v>30</v>
      </c>
      <c r="U167" s="1">
        <v>60.663569840000001</v>
      </c>
      <c r="V167" s="1">
        <f t="shared" si="4"/>
        <v>38</v>
      </c>
      <c r="W167" s="1">
        <f t="shared" si="5"/>
        <v>62</v>
      </c>
    </row>
    <row r="168" spans="1:23" ht="12.5">
      <c r="A168" s="1" t="s">
        <v>224</v>
      </c>
      <c r="B168" s="1" t="s">
        <v>107</v>
      </c>
      <c r="C168" s="1">
        <v>31072.945309999999</v>
      </c>
      <c r="D168" s="1">
        <v>57.348999020000001</v>
      </c>
      <c r="E168" s="1">
        <v>85.790996649999997</v>
      </c>
      <c r="F168" s="1">
        <v>6.5860621129999997</v>
      </c>
      <c r="G168" s="1">
        <v>2.8122161760000002</v>
      </c>
      <c r="H168" s="1">
        <v>4.8107250580000001</v>
      </c>
      <c r="I168" s="1">
        <v>71.892750050000004</v>
      </c>
      <c r="J168" s="1">
        <v>11.934548270000001</v>
      </c>
      <c r="K168" s="1">
        <v>4.9993564829999997</v>
      </c>
      <c r="L168" s="1">
        <v>11.173345189999999</v>
      </c>
      <c r="M168" s="1">
        <v>96.127259519999996</v>
      </c>
      <c r="N168" s="1">
        <v>2.6083424549999998</v>
      </c>
      <c r="O168" s="1">
        <v>1.1856138030000001</v>
      </c>
      <c r="P168" s="1">
        <v>7.8784218190000005E-2</v>
      </c>
      <c r="Q168" s="1">
        <f t="shared" si="0"/>
        <v>16</v>
      </c>
      <c r="R168" s="1">
        <f t="shared" si="1"/>
        <v>17820.023101317038</v>
      </c>
      <c r="S168" s="1">
        <f t="shared" si="2"/>
        <v>42.651000979999999</v>
      </c>
      <c r="T168" s="1">
        <f t="shared" si="3"/>
        <v>32</v>
      </c>
      <c r="U168" s="1">
        <v>85.790996649999997</v>
      </c>
      <c r="V168" s="1">
        <f t="shared" si="4"/>
        <v>57</v>
      </c>
      <c r="W168" s="1">
        <f t="shared" si="5"/>
        <v>43</v>
      </c>
    </row>
    <row r="169" spans="1:23" ht="12.5">
      <c r="A169" s="1" t="s">
        <v>261</v>
      </c>
      <c r="B169" s="1" t="s">
        <v>170</v>
      </c>
      <c r="C169" s="1">
        <v>31255.435549999998</v>
      </c>
      <c r="D169" s="1">
        <v>37.073997499999997</v>
      </c>
      <c r="E169" s="1">
        <v>63.369425630000002</v>
      </c>
      <c r="F169" s="1">
        <v>9.9757845070000002</v>
      </c>
      <c r="G169" s="1">
        <v>16.726145110000001</v>
      </c>
      <c r="H169" s="1">
        <v>9.9286447590000009</v>
      </c>
      <c r="I169" s="1">
        <v>48.8666865</v>
      </c>
      <c r="J169" s="1">
        <v>12.64088359</v>
      </c>
      <c r="K169" s="1">
        <v>23.686256400000001</v>
      </c>
      <c r="L169" s="1">
        <v>14.80617352</v>
      </c>
      <c r="M169" s="1">
        <v>87.98504792</v>
      </c>
      <c r="N169" s="1">
        <v>5.4522910270000002</v>
      </c>
      <c r="O169" s="1">
        <v>4.9126846439999996</v>
      </c>
      <c r="P169" s="1">
        <v>1.649976404</v>
      </c>
      <c r="Q169" s="1">
        <f t="shared" si="0"/>
        <v>16</v>
      </c>
      <c r="R169" s="1">
        <f t="shared" si="1"/>
        <v>11587.63939442111</v>
      </c>
      <c r="S169" s="1">
        <f t="shared" si="2"/>
        <v>62.926002500000003</v>
      </c>
      <c r="T169" s="1">
        <f t="shared" si="3"/>
        <v>32</v>
      </c>
      <c r="U169" s="1">
        <v>63.369425630000002</v>
      </c>
      <c r="V169" s="1">
        <f t="shared" si="4"/>
        <v>37</v>
      </c>
      <c r="W169" s="1">
        <f t="shared" si="5"/>
        <v>63</v>
      </c>
    </row>
    <row r="170" spans="1:23" ht="12.5">
      <c r="A170" s="1" t="s">
        <v>159</v>
      </c>
      <c r="B170" s="1" t="s">
        <v>74</v>
      </c>
      <c r="C170" s="1">
        <v>32365.998049999998</v>
      </c>
      <c r="D170" s="1">
        <v>77.159996030000002</v>
      </c>
      <c r="E170" s="1">
        <v>97.09990707</v>
      </c>
      <c r="F170" s="1">
        <v>0.35453968650000001</v>
      </c>
      <c r="G170" s="1">
        <v>2.5455532409999999</v>
      </c>
      <c r="H170" s="1" t="s">
        <v>29</v>
      </c>
      <c r="I170" s="1">
        <v>90.197448120000004</v>
      </c>
      <c r="J170" s="1">
        <v>0.54445139710000001</v>
      </c>
      <c r="K170" s="1">
        <v>9.2581004779999994</v>
      </c>
      <c r="L170" s="1" t="s">
        <v>29</v>
      </c>
      <c r="M170" s="1">
        <v>99.14309591</v>
      </c>
      <c r="N170" s="1">
        <v>0.29832426049999999</v>
      </c>
      <c r="O170" s="1">
        <v>0.46857983190000002</v>
      </c>
      <c r="P170" s="1">
        <v>0.09</v>
      </c>
      <c r="Q170" s="1">
        <f t="shared" si="0"/>
        <v>16</v>
      </c>
      <c r="R170" s="1">
        <f t="shared" si="1"/>
        <v>24973.602810449876</v>
      </c>
      <c r="S170" s="1">
        <f t="shared" si="2"/>
        <v>22.840003969999998</v>
      </c>
      <c r="T170" s="1">
        <f t="shared" si="3"/>
        <v>33</v>
      </c>
      <c r="U170" s="1">
        <v>97.09990707</v>
      </c>
      <c r="V170" s="1">
        <f t="shared" si="4"/>
        <v>77</v>
      </c>
      <c r="W170" s="1">
        <f t="shared" si="5"/>
        <v>23</v>
      </c>
    </row>
    <row r="171" spans="1:23" ht="12.5">
      <c r="A171" s="1" t="s">
        <v>199</v>
      </c>
      <c r="B171" s="1" t="s">
        <v>107</v>
      </c>
      <c r="C171" s="1">
        <v>32866.269529999998</v>
      </c>
      <c r="D171" s="1">
        <v>66.824996949999999</v>
      </c>
      <c r="E171" s="1">
        <v>57.167737619999997</v>
      </c>
      <c r="F171" s="1">
        <v>9.2873499190000004</v>
      </c>
      <c r="G171" s="1">
        <v>19.450825340000002</v>
      </c>
      <c r="H171" s="1">
        <v>14.094087119999999</v>
      </c>
      <c r="I171" s="1">
        <v>27.808226609999998</v>
      </c>
      <c r="J171" s="1">
        <v>8.7404883889999994</v>
      </c>
      <c r="K171" s="1">
        <v>22.933152580000002</v>
      </c>
      <c r="L171" s="1">
        <v>40.518132420000001</v>
      </c>
      <c r="M171" s="1">
        <v>71.743148619999999</v>
      </c>
      <c r="N171" s="1">
        <v>9.5588374890000001</v>
      </c>
      <c r="O171" s="1">
        <v>17.722034730000001</v>
      </c>
      <c r="P171" s="1">
        <v>0.97597916289999997</v>
      </c>
      <c r="Q171" s="1">
        <f t="shared" si="0"/>
        <v>16</v>
      </c>
      <c r="R171" s="1">
        <f t="shared" si="1"/>
        <v>21962.883611001278</v>
      </c>
      <c r="S171" s="1">
        <f t="shared" si="2"/>
        <v>33.175003050000001</v>
      </c>
      <c r="T171" s="1">
        <f t="shared" si="3"/>
        <v>33</v>
      </c>
      <c r="U171" s="1">
        <v>57.167737619999997</v>
      </c>
      <c r="V171" s="1">
        <f t="shared" si="4"/>
        <v>67</v>
      </c>
      <c r="W171" s="1">
        <f t="shared" si="5"/>
        <v>33</v>
      </c>
    </row>
    <row r="172" spans="1:23" ht="12.5">
      <c r="A172" s="1" t="s">
        <v>153</v>
      </c>
      <c r="B172" s="1" t="s">
        <v>74</v>
      </c>
      <c r="C172" s="1">
        <v>32971.847659999999</v>
      </c>
      <c r="D172" s="1">
        <v>78.297004700000002</v>
      </c>
      <c r="E172" s="1">
        <v>93.139366210000006</v>
      </c>
      <c r="F172" s="1">
        <v>0.84955935110000003</v>
      </c>
      <c r="G172" s="1">
        <v>4.1504683489999996</v>
      </c>
      <c r="H172" s="1">
        <v>1.8606060870000001</v>
      </c>
      <c r="I172" s="1">
        <v>80.79943849</v>
      </c>
      <c r="J172" s="1">
        <v>1.5969437710000001</v>
      </c>
      <c r="K172" s="1">
        <v>9.6126911629999992</v>
      </c>
      <c r="L172" s="1">
        <v>7.9909265779999998</v>
      </c>
      <c r="M172" s="1">
        <v>96.559844080000005</v>
      </c>
      <c r="N172" s="1">
        <v>0.64239323559999995</v>
      </c>
      <c r="O172" s="1">
        <v>2.6364086929999999</v>
      </c>
      <c r="P172" s="1">
        <v>0.1613539953</v>
      </c>
      <c r="Q172" s="1">
        <f t="shared" si="0"/>
        <v>16</v>
      </c>
      <c r="R172" s="1">
        <f t="shared" si="1"/>
        <v>25815.96911202704</v>
      </c>
      <c r="S172" s="1">
        <f t="shared" si="2"/>
        <v>21.702995299999998</v>
      </c>
      <c r="T172" s="1">
        <f t="shared" si="3"/>
        <v>33</v>
      </c>
      <c r="U172" s="1">
        <v>93.139366210000006</v>
      </c>
      <c r="V172" s="1">
        <f t="shared" si="4"/>
        <v>78</v>
      </c>
      <c r="W172" s="1">
        <f t="shared" si="5"/>
        <v>22</v>
      </c>
    </row>
    <row r="173" spans="1:23" ht="12.5">
      <c r="A173" s="1" t="s">
        <v>237</v>
      </c>
      <c r="B173" s="1" t="s">
        <v>107</v>
      </c>
      <c r="C173" s="1">
        <v>33469.199220000002</v>
      </c>
      <c r="D173" s="1">
        <v>50.415996550000003</v>
      </c>
      <c r="E173" s="1">
        <v>97.828784850000005</v>
      </c>
      <c r="F173" s="1">
        <v>0</v>
      </c>
      <c r="G173" s="1">
        <v>0.22384422000000001</v>
      </c>
      <c r="H173" s="1">
        <v>1.947370925</v>
      </c>
      <c r="I173" s="1">
        <v>96.072582359999998</v>
      </c>
      <c r="J173" s="1">
        <v>0</v>
      </c>
      <c r="K173" s="1">
        <v>0</v>
      </c>
      <c r="L173" s="1">
        <v>3.927417637</v>
      </c>
      <c r="M173" s="1">
        <v>99.556005560000003</v>
      </c>
      <c r="N173" s="1">
        <v>0</v>
      </c>
      <c r="O173" s="1">
        <v>0.44399444339999999</v>
      </c>
      <c r="P173" s="1">
        <v>0</v>
      </c>
      <c r="Q173" s="1">
        <f t="shared" si="0"/>
        <v>16</v>
      </c>
      <c r="R173" s="1">
        <f t="shared" si="1"/>
        <v>16873.830324067829</v>
      </c>
      <c r="S173" s="1">
        <f t="shared" si="2"/>
        <v>49.584003449999997</v>
      </c>
      <c r="T173" s="1">
        <f t="shared" si="3"/>
        <v>34</v>
      </c>
      <c r="U173" s="1">
        <v>97.828784850000005</v>
      </c>
      <c r="V173" s="1">
        <f t="shared" si="4"/>
        <v>50</v>
      </c>
      <c r="W173" s="1">
        <f t="shared" si="5"/>
        <v>50</v>
      </c>
    </row>
    <row r="174" spans="1:23" ht="12.5">
      <c r="A174" s="1" t="s">
        <v>127</v>
      </c>
      <c r="B174" s="1" t="s">
        <v>69</v>
      </c>
      <c r="C174" s="1">
        <v>34813.867189999997</v>
      </c>
      <c r="D174" s="1">
        <v>84.287002560000005</v>
      </c>
      <c r="E174" s="1">
        <v>100</v>
      </c>
      <c r="F174" s="1">
        <v>0</v>
      </c>
      <c r="G174" s="1">
        <v>0</v>
      </c>
      <c r="H174" s="1">
        <v>0</v>
      </c>
      <c r="I174" s="1" t="s">
        <v>29</v>
      </c>
      <c r="J174" s="1" t="s">
        <v>29</v>
      </c>
      <c r="K174" s="1" t="s">
        <v>29</v>
      </c>
      <c r="L174" s="1" t="s">
        <v>29</v>
      </c>
      <c r="M174" s="1" t="s">
        <v>29</v>
      </c>
      <c r="N174" s="1" t="s">
        <v>29</v>
      </c>
      <c r="O174" s="1" t="s">
        <v>29</v>
      </c>
      <c r="P174" s="1" t="s">
        <v>29</v>
      </c>
      <c r="Q174" s="1">
        <f t="shared" si="0"/>
        <v>16</v>
      </c>
      <c r="R174" s="1">
        <f t="shared" si="1"/>
        <v>29343.5651296703</v>
      </c>
      <c r="S174" s="1">
        <f t="shared" si="2"/>
        <v>15.712997439999995</v>
      </c>
      <c r="T174" s="1">
        <f t="shared" si="3"/>
        <v>35</v>
      </c>
      <c r="U174" s="1">
        <v>100</v>
      </c>
      <c r="V174" s="1">
        <f t="shared" si="4"/>
        <v>84</v>
      </c>
      <c r="W174" s="1">
        <f t="shared" si="5"/>
        <v>16</v>
      </c>
    </row>
    <row r="175" spans="1:23" ht="12.5">
      <c r="A175" s="1" t="s">
        <v>207</v>
      </c>
      <c r="B175" s="1" t="s">
        <v>107</v>
      </c>
      <c r="C175" s="1">
        <v>36910.558590000001</v>
      </c>
      <c r="D175" s="1">
        <v>63.531997680000003</v>
      </c>
      <c r="E175" s="1">
        <v>90.402344679999999</v>
      </c>
      <c r="F175" s="1">
        <v>5.2635496010000002</v>
      </c>
      <c r="G175" s="1">
        <v>2.8776725000000001</v>
      </c>
      <c r="H175" s="1">
        <v>1.456433219</v>
      </c>
      <c r="I175" s="1">
        <v>77.346128960000001</v>
      </c>
      <c r="J175" s="1">
        <v>12.03707816</v>
      </c>
      <c r="K175" s="1">
        <v>6.6230633729999999</v>
      </c>
      <c r="L175" s="1">
        <v>3.9937295019999999</v>
      </c>
      <c r="M175" s="1">
        <v>97.896746010000001</v>
      </c>
      <c r="N175" s="1">
        <v>1.375477117</v>
      </c>
      <c r="O175" s="1">
        <v>0.72777687589999995</v>
      </c>
      <c r="P175" s="1">
        <v>0</v>
      </c>
      <c r="Q175" s="1">
        <f t="shared" si="0"/>
        <v>16</v>
      </c>
      <c r="R175" s="1">
        <f t="shared" si="1"/>
        <v>23450.015227073844</v>
      </c>
      <c r="S175" s="1">
        <f t="shared" si="2"/>
        <v>36.468002319999997</v>
      </c>
      <c r="T175" s="1">
        <f t="shared" si="3"/>
        <v>37</v>
      </c>
      <c r="U175" s="1">
        <v>90.402344679999999</v>
      </c>
      <c r="V175" s="1">
        <f t="shared" si="4"/>
        <v>64</v>
      </c>
      <c r="W175" s="1">
        <f t="shared" si="5"/>
        <v>36</v>
      </c>
    </row>
    <row r="176" spans="1:23" ht="12.5">
      <c r="A176" s="1" t="s">
        <v>134</v>
      </c>
      <c r="B176" s="1" t="s">
        <v>69</v>
      </c>
      <c r="C176" s="1">
        <v>37742.15625</v>
      </c>
      <c r="D176" s="1">
        <v>81.562004090000002</v>
      </c>
      <c r="E176" s="1">
        <v>99.221810660000003</v>
      </c>
      <c r="F176" s="1">
        <v>0</v>
      </c>
      <c r="G176" s="1">
        <v>0.77818933690000003</v>
      </c>
      <c r="H176" s="1">
        <v>0</v>
      </c>
      <c r="I176" s="1">
        <v>99.060495900000006</v>
      </c>
      <c r="J176" s="1">
        <v>0</v>
      </c>
      <c r="K176" s="1">
        <v>0.9395041006</v>
      </c>
      <c r="L176" s="1">
        <v>0</v>
      </c>
      <c r="M176" s="1">
        <v>99.258277660000005</v>
      </c>
      <c r="N176" s="1">
        <v>0</v>
      </c>
      <c r="O176" s="1">
        <v>0.74172233710000002</v>
      </c>
      <c r="P176" s="1">
        <v>0</v>
      </c>
      <c r="Q176" s="1">
        <f t="shared" si="0"/>
        <v>16</v>
      </c>
      <c r="R176" s="1">
        <f t="shared" si="1"/>
        <v>30783.259024279192</v>
      </c>
      <c r="S176" s="1">
        <f t="shared" si="2"/>
        <v>18.437995909999998</v>
      </c>
      <c r="T176" s="1">
        <f t="shared" si="3"/>
        <v>38</v>
      </c>
      <c r="U176" s="1">
        <v>99.221810660000003</v>
      </c>
      <c r="V176" s="1">
        <f t="shared" si="4"/>
        <v>82</v>
      </c>
      <c r="W176" s="1">
        <f t="shared" si="5"/>
        <v>18</v>
      </c>
    </row>
    <row r="177" spans="1:23" ht="12.5">
      <c r="A177" s="1" t="s">
        <v>213</v>
      </c>
      <c r="B177" s="1" t="s">
        <v>69</v>
      </c>
      <c r="C177" s="1">
        <v>37846.605470000002</v>
      </c>
      <c r="D177" s="1">
        <v>60.043003079999998</v>
      </c>
      <c r="E177" s="1">
        <v>99.966591550000004</v>
      </c>
      <c r="F177" s="1">
        <v>0</v>
      </c>
      <c r="G177" s="1">
        <v>3.3408445289999998E-2</v>
      </c>
      <c r="H177" s="1">
        <v>0</v>
      </c>
      <c r="I177" s="1">
        <v>100</v>
      </c>
      <c r="J177" s="1">
        <v>0</v>
      </c>
      <c r="K177" s="1">
        <v>0</v>
      </c>
      <c r="L177" s="1">
        <v>0</v>
      </c>
      <c r="M177" s="1">
        <v>99.944354840000003</v>
      </c>
      <c r="N177" s="1">
        <v>0</v>
      </c>
      <c r="O177" s="1">
        <v>5.5645161290000002E-2</v>
      </c>
      <c r="P177" s="1">
        <v>0</v>
      </c>
      <c r="Q177" s="1">
        <f t="shared" si="0"/>
        <v>16</v>
      </c>
      <c r="R177" s="1">
        <f t="shared" si="1"/>
        <v>22724.238488027549</v>
      </c>
      <c r="S177" s="1">
        <f t="shared" si="2"/>
        <v>39.956996920000002</v>
      </c>
      <c r="T177" s="1">
        <f t="shared" si="3"/>
        <v>38</v>
      </c>
      <c r="U177" s="1">
        <v>99.966591550000004</v>
      </c>
      <c r="V177" s="1">
        <f t="shared" si="4"/>
        <v>60</v>
      </c>
      <c r="W177" s="1">
        <f t="shared" si="5"/>
        <v>40</v>
      </c>
    </row>
    <row r="178" spans="1:23" ht="12.5">
      <c r="A178" s="1" t="s">
        <v>268</v>
      </c>
      <c r="B178" s="1" t="s">
        <v>170</v>
      </c>
      <c r="C178" s="1">
        <v>38928.339840000001</v>
      </c>
      <c r="D178" s="1">
        <v>26.025999070000001</v>
      </c>
      <c r="E178" s="1">
        <v>75.091413250000002</v>
      </c>
      <c r="F178" s="1">
        <v>1.447541688</v>
      </c>
      <c r="G178" s="1">
        <v>14.56026288</v>
      </c>
      <c r="H178" s="1">
        <v>8.9007821739999997</v>
      </c>
      <c r="I178" s="1">
        <v>66.32791521</v>
      </c>
      <c r="J178" s="1">
        <v>1.9568248509999999</v>
      </c>
      <c r="K178" s="1">
        <v>19.68294895</v>
      </c>
      <c r="L178" s="1">
        <v>12.03231098</v>
      </c>
      <c r="M178" s="1">
        <v>100</v>
      </c>
      <c r="N178" s="1">
        <v>0</v>
      </c>
      <c r="O178" s="1">
        <v>0</v>
      </c>
      <c r="P178" s="1">
        <v>0</v>
      </c>
      <c r="Q178" s="1">
        <f t="shared" si="0"/>
        <v>16</v>
      </c>
      <c r="R178" s="1">
        <f t="shared" si="1"/>
        <v>10131.489364724839</v>
      </c>
      <c r="S178" s="1">
        <f t="shared" si="2"/>
        <v>73.974000930000003</v>
      </c>
      <c r="T178" s="1">
        <f t="shared" si="3"/>
        <v>39</v>
      </c>
      <c r="U178" s="1">
        <v>75.091413250000002</v>
      </c>
      <c r="V178" s="1">
        <f t="shared" si="4"/>
        <v>26</v>
      </c>
      <c r="W178" s="1">
        <f t="shared" si="5"/>
        <v>74</v>
      </c>
    </row>
    <row r="179" spans="1:23" ht="12.5">
      <c r="A179" s="1" t="s">
        <v>182</v>
      </c>
      <c r="B179" s="1" t="s">
        <v>74</v>
      </c>
      <c r="C179" s="1">
        <v>40222.503909999999</v>
      </c>
      <c r="D179" s="1">
        <v>70.892997739999998</v>
      </c>
      <c r="E179" s="1">
        <v>98.359903250000002</v>
      </c>
      <c r="F179" s="1">
        <v>0.89216034950000001</v>
      </c>
      <c r="G179" s="1">
        <v>2.427900808E-6</v>
      </c>
      <c r="H179" s="1">
        <v>0.74793397129999994</v>
      </c>
      <c r="I179" s="1">
        <v>94.831146779999997</v>
      </c>
      <c r="J179" s="1">
        <v>2.5992513389999998</v>
      </c>
      <c r="K179" s="1">
        <v>0</v>
      </c>
      <c r="L179" s="1">
        <v>2.5696018770000002</v>
      </c>
      <c r="M179" s="1">
        <v>99.808731030000004</v>
      </c>
      <c r="N179" s="1">
        <v>0.19126897000000001</v>
      </c>
      <c r="O179" s="1">
        <v>0</v>
      </c>
      <c r="P179" s="1">
        <v>0</v>
      </c>
      <c r="Q179" s="1">
        <f t="shared" si="0"/>
        <v>16</v>
      </c>
      <c r="R179" s="1">
        <f t="shared" si="1"/>
        <v>28514.93878788771</v>
      </c>
      <c r="S179" s="1">
        <f t="shared" si="2"/>
        <v>29.107002260000002</v>
      </c>
      <c r="T179" s="1">
        <f t="shared" si="3"/>
        <v>41</v>
      </c>
      <c r="U179" s="1">
        <v>98.359903250000002</v>
      </c>
      <c r="V179" s="1">
        <f t="shared" si="4"/>
        <v>71</v>
      </c>
      <c r="W179" s="1">
        <f t="shared" si="5"/>
        <v>29</v>
      </c>
    </row>
    <row r="180" spans="1:23" ht="12.5">
      <c r="A180" s="1" t="s">
        <v>189</v>
      </c>
      <c r="B180" s="1" t="s">
        <v>107</v>
      </c>
      <c r="C180" s="1">
        <v>43733.757810000003</v>
      </c>
      <c r="D180" s="1">
        <v>69.608001709999996</v>
      </c>
      <c r="E180" s="1">
        <v>93.928281949999999</v>
      </c>
      <c r="F180" s="1">
        <v>5.671978717</v>
      </c>
      <c r="G180" s="1">
        <v>7.5904501289999995E-2</v>
      </c>
      <c r="H180" s="1">
        <v>0.32383483600000001</v>
      </c>
      <c r="I180" s="1">
        <v>100</v>
      </c>
      <c r="J180" s="1">
        <v>0</v>
      </c>
      <c r="K180" s="1">
        <v>0</v>
      </c>
      <c r="L180" s="1">
        <v>0</v>
      </c>
      <c r="M180" s="1">
        <v>91.277270110000003</v>
      </c>
      <c r="N180" s="1">
        <v>8.1484577900000001</v>
      </c>
      <c r="O180" s="1">
        <v>0.1090456533</v>
      </c>
      <c r="P180" s="1">
        <v>0.46522644460000001</v>
      </c>
      <c r="Q180" s="1">
        <f t="shared" si="0"/>
        <v>16</v>
      </c>
      <c r="R180" s="1">
        <f t="shared" si="1"/>
        <v>30442.19488423206</v>
      </c>
      <c r="S180" s="1">
        <f t="shared" si="2"/>
        <v>30.391998290000004</v>
      </c>
      <c r="T180" s="1">
        <f t="shared" si="3"/>
        <v>44</v>
      </c>
      <c r="U180" s="1">
        <v>93.928281949999999</v>
      </c>
      <c r="V180" s="1">
        <f t="shared" si="4"/>
        <v>70</v>
      </c>
      <c r="W180" s="1">
        <f t="shared" si="5"/>
        <v>30</v>
      </c>
    </row>
    <row r="181" spans="1:23" ht="12.5">
      <c r="A181" s="1" t="s">
        <v>264</v>
      </c>
      <c r="B181" s="1" t="s">
        <v>170</v>
      </c>
      <c r="C181" s="1">
        <v>43849.269529999998</v>
      </c>
      <c r="D181" s="1">
        <v>35.252998349999999</v>
      </c>
      <c r="E181" s="1">
        <v>60.448675600000001</v>
      </c>
      <c r="F181" s="1">
        <v>26.670019750000002</v>
      </c>
      <c r="G181" s="1">
        <v>3.6502178750000001</v>
      </c>
      <c r="H181" s="1">
        <v>9.2310867739999996</v>
      </c>
      <c r="I181" s="1">
        <v>53.19902707</v>
      </c>
      <c r="J181" s="1">
        <v>27.457644510000002</v>
      </c>
      <c r="K181" s="1">
        <v>5.6376600080000001</v>
      </c>
      <c r="L181" s="1">
        <v>13.70566842</v>
      </c>
      <c r="M181" s="1">
        <v>73.763659559999994</v>
      </c>
      <c r="N181" s="1">
        <v>25.223439859999999</v>
      </c>
      <c r="O181" s="1">
        <v>0</v>
      </c>
      <c r="P181" s="1">
        <v>1.012900581</v>
      </c>
      <c r="Q181" s="1">
        <f t="shared" si="0"/>
        <v>16</v>
      </c>
      <c r="R181" s="1">
        <f t="shared" si="1"/>
        <v>15458.18226389795</v>
      </c>
      <c r="S181" s="1">
        <f t="shared" si="2"/>
        <v>64.747001650000001</v>
      </c>
      <c r="T181" s="1">
        <f t="shared" si="3"/>
        <v>44</v>
      </c>
      <c r="U181" s="1">
        <v>60.448675600000001</v>
      </c>
      <c r="V181" s="1">
        <f t="shared" si="4"/>
        <v>35</v>
      </c>
      <c r="W181" s="1">
        <f t="shared" si="5"/>
        <v>65</v>
      </c>
    </row>
    <row r="182" spans="1:23" ht="12.5">
      <c r="A182" s="1" t="s">
        <v>175</v>
      </c>
      <c r="B182" s="1" t="s">
        <v>107</v>
      </c>
      <c r="C182" s="1">
        <v>43851.042970000002</v>
      </c>
      <c r="D182" s="1">
        <v>73.733001709999996</v>
      </c>
      <c r="E182" s="1">
        <v>94.43732996</v>
      </c>
      <c r="F182" s="1">
        <v>4.9858808420000003</v>
      </c>
      <c r="G182" s="1">
        <v>0.53183666380000005</v>
      </c>
      <c r="H182" s="1">
        <v>4.495253272E-2</v>
      </c>
      <c r="I182" s="1">
        <v>90.037537909999998</v>
      </c>
      <c r="J182" s="1">
        <v>8.79672214</v>
      </c>
      <c r="K182" s="1">
        <v>0.99460302810000001</v>
      </c>
      <c r="L182" s="1">
        <v>0.17113692580000001</v>
      </c>
      <c r="M182" s="1">
        <v>96.004735859999997</v>
      </c>
      <c r="N182" s="1">
        <v>3.628288591</v>
      </c>
      <c r="O182" s="1">
        <v>0.36697554780000002</v>
      </c>
      <c r="P182" s="1">
        <v>0</v>
      </c>
      <c r="Q182" s="1">
        <f t="shared" si="0"/>
        <v>16</v>
      </c>
      <c r="R182" s="1">
        <f t="shared" si="1"/>
        <v>32332.690262922937</v>
      </c>
      <c r="S182" s="1">
        <f t="shared" si="2"/>
        <v>26.266998290000004</v>
      </c>
      <c r="T182" s="1">
        <f t="shared" si="3"/>
        <v>44</v>
      </c>
      <c r="U182" s="1">
        <v>94.43732996</v>
      </c>
      <c r="V182" s="1">
        <f t="shared" si="4"/>
        <v>74</v>
      </c>
      <c r="W182" s="1">
        <f t="shared" si="5"/>
        <v>26</v>
      </c>
    </row>
    <row r="183" spans="1:23" ht="12.5">
      <c r="A183" s="1" t="s">
        <v>94</v>
      </c>
      <c r="B183" s="1" t="s">
        <v>74</v>
      </c>
      <c r="C183" s="1">
        <v>45195.777340000001</v>
      </c>
      <c r="D183" s="1">
        <v>92.111000059999995</v>
      </c>
      <c r="E183" s="1" t="s">
        <v>29</v>
      </c>
      <c r="F183" s="1" t="s">
        <v>29</v>
      </c>
      <c r="G183" s="1" t="s">
        <v>29</v>
      </c>
      <c r="H183" s="1" t="s">
        <v>29</v>
      </c>
      <c r="I183" s="1" t="s">
        <v>29</v>
      </c>
      <c r="J183" s="1" t="s">
        <v>29</v>
      </c>
      <c r="K183" s="1" t="s">
        <v>29</v>
      </c>
      <c r="L183" s="1" t="s">
        <v>29</v>
      </c>
      <c r="M183" s="1">
        <v>99.790420650000002</v>
      </c>
      <c r="N183" s="1">
        <v>0</v>
      </c>
      <c r="O183" s="1">
        <v>0.20957935010000001</v>
      </c>
      <c r="P183" s="1">
        <v>0</v>
      </c>
      <c r="Q183" s="1">
        <f t="shared" si="0"/>
        <v>16</v>
      </c>
      <c r="R183" s="1">
        <f t="shared" si="1"/>
        <v>41630.282492764862</v>
      </c>
      <c r="S183" s="1">
        <f t="shared" si="2"/>
        <v>7.888999940000005</v>
      </c>
      <c r="T183" s="1">
        <f t="shared" si="3"/>
        <v>46</v>
      </c>
      <c r="U183" s="1" t="s">
        <v>29</v>
      </c>
      <c r="V183" s="1">
        <f t="shared" si="4"/>
        <v>92</v>
      </c>
      <c r="W183" s="1">
        <f t="shared" si="5"/>
        <v>8</v>
      </c>
    </row>
    <row r="184" spans="1:23" ht="12.5">
      <c r="A184" s="1" t="s">
        <v>270</v>
      </c>
      <c r="B184" s="1" t="s">
        <v>170</v>
      </c>
      <c r="C184" s="1">
        <v>45741</v>
      </c>
      <c r="D184" s="1">
        <v>24.95400047</v>
      </c>
      <c r="E184" s="1">
        <v>55.855049209999997</v>
      </c>
      <c r="F184" s="1">
        <v>27.282859999999999</v>
      </c>
      <c r="G184" s="1">
        <v>12.16590654</v>
      </c>
      <c r="H184" s="1">
        <v>4.6961842520000001</v>
      </c>
      <c r="I184" s="1">
        <v>48.231189579999999</v>
      </c>
      <c r="J184" s="1">
        <v>31.784694259999998</v>
      </c>
      <c r="K184" s="1">
        <v>14.076160610000001</v>
      </c>
      <c r="L184" s="1">
        <v>5.9079555460000002</v>
      </c>
      <c r="M184" s="1">
        <v>78.782851800000003</v>
      </c>
      <c r="N184" s="1">
        <v>13.74416783</v>
      </c>
      <c r="O184" s="1">
        <v>6.4210441329999997</v>
      </c>
      <c r="P184" s="1">
        <v>1.0519362379999999</v>
      </c>
      <c r="Q184" s="1">
        <f t="shared" si="0"/>
        <v>16</v>
      </c>
      <c r="R184" s="1">
        <f t="shared" si="1"/>
        <v>11414.2093549827</v>
      </c>
      <c r="S184" s="1">
        <f t="shared" si="2"/>
        <v>75.045999530000003</v>
      </c>
      <c r="T184" s="1">
        <f t="shared" si="3"/>
        <v>46</v>
      </c>
      <c r="U184" s="1">
        <v>55.855049209999997</v>
      </c>
      <c r="V184" s="1">
        <f t="shared" si="4"/>
        <v>25</v>
      </c>
      <c r="W184" s="1">
        <f t="shared" si="5"/>
        <v>75</v>
      </c>
    </row>
    <row r="185" spans="1:23" ht="12.5">
      <c r="A185" s="1" t="s">
        <v>140</v>
      </c>
      <c r="B185" s="1" t="s">
        <v>69</v>
      </c>
      <c r="C185" s="1">
        <v>46754.78125</v>
      </c>
      <c r="D185" s="1">
        <v>80.809997559999999</v>
      </c>
      <c r="E185" s="1">
        <v>99.925612610000002</v>
      </c>
      <c r="F185" s="1">
        <v>0</v>
      </c>
      <c r="G185" s="1">
        <v>7.4387391420000004E-2</v>
      </c>
      <c r="H185" s="1">
        <v>0</v>
      </c>
      <c r="I185" s="1">
        <v>100</v>
      </c>
      <c r="J185" s="1">
        <v>0</v>
      </c>
      <c r="K185" s="1">
        <v>0</v>
      </c>
      <c r="L185" s="1">
        <v>0</v>
      </c>
      <c r="M185" s="1">
        <v>99.907945209999994</v>
      </c>
      <c r="N185" s="1">
        <v>0</v>
      </c>
      <c r="O185" s="1">
        <v>9.2054794519999997E-2</v>
      </c>
      <c r="P185" s="1">
        <v>0</v>
      </c>
      <c r="Q185" s="1">
        <f t="shared" si="0"/>
        <v>16</v>
      </c>
      <c r="R185" s="1">
        <f t="shared" si="1"/>
        <v>37782.537587308339</v>
      </c>
      <c r="S185" s="1">
        <f t="shared" si="2"/>
        <v>19.190002440000001</v>
      </c>
      <c r="T185" s="1">
        <f t="shared" si="3"/>
        <v>47</v>
      </c>
      <c r="U185" s="1">
        <v>99.925612610000002</v>
      </c>
      <c r="V185" s="1">
        <f t="shared" si="4"/>
        <v>81</v>
      </c>
      <c r="W185" s="1">
        <f t="shared" si="5"/>
        <v>19</v>
      </c>
    </row>
    <row r="186" spans="1:23" ht="12.5">
      <c r="A186" s="1" t="s">
        <v>141</v>
      </c>
      <c r="B186" s="1" t="s">
        <v>74</v>
      </c>
      <c r="C186" s="1">
        <v>50882.882810000003</v>
      </c>
      <c r="D186" s="1">
        <v>81.424995420000002</v>
      </c>
      <c r="E186" s="1">
        <v>97.491657110000006</v>
      </c>
      <c r="F186" s="1">
        <v>0.18615215909999999</v>
      </c>
      <c r="G186" s="1">
        <v>0.95361622280000002</v>
      </c>
      <c r="H186" s="1">
        <v>1.3685745119999999</v>
      </c>
      <c r="I186" s="1">
        <v>86.767072819999996</v>
      </c>
      <c r="J186" s="1">
        <v>0.73122820160000002</v>
      </c>
      <c r="K186" s="1">
        <v>5.13386897</v>
      </c>
      <c r="L186" s="1">
        <v>7.3678300050000001</v>
      </c>
      <c r="M186" s="1">
        <v>99.938192799999996</v>
      </c>
      <c r="N186" s="1">
        <v>6.18072E-2</v>
      </c>
      <c r="O186" s="1">
        <v>0</v>
      </c>
      <c r="P186" s="1">
        <v>0</v>
      </c>
      <c r="Q186" s="1">
        <f t="shared" si="0"/>
        <v>16</v>
      </c>
      <c r="R186" s="1">
        <f t="shared" si="1"/>
        <v>41431.384997606474</v>
      </c>
      <c r="S186" s="1">
        <f t="shared" si="2"/>
        <v>18.575004579999998</v>
      </c>
      <c r="T186" s="1">
        <f t="shared" si="3"/>
        <v>51</v>
      </c>
      <c r="U186" s="1">
        <v>97.491657110000006</v>
      </c>
      <c r="V186" s="1">
        <f t="shared" si="4"/>
        <v>81</v>
      </c>
      <c r="W186" s="1">
        <f t="shared" si="5"/>
        <v>19</v>
      </c>
    </row>
    <row r="187" spans="1:23" ht="12.5">
      <c r="A187" s="1" t="s">
        <v>143</v>
      </c>
      <c r="B187" s="1" t="s">
        <v>69</v>
      </c>
      <c r="C187" s="1">
        <v>51269.183590000001</v>
      </c>
      <c r="D187" s="1">
        <v>81.414001459999994</v>
      </c>
      <c r="E187" s="1">
        <v>99.931396649999996</v>
      </c>
      <c r="F187" s="1">
        <v>0</v>
      </c>
      <c r="G187" s="1">
        <v>6.8603352960000002E-2</v>
      </c>
      <c r="H187" s="1">
        <v>0</v>
      </c>
      <c r="I187" s="1" t="s">
        <v>29</v>
      </c>
      <c r="J187" s="1" t="s">
        <v>29</v>
      </c>
      <c r="K187" s="1" t="s">
        <v>29</v>
      </c>
      <c r="L187" s="1" t="s">
        <v>29</v>
      </c>
      <c r="M187" s="1" t="s">
        <v>29</v>
      </c>
      <c r="N187" s="1" t="s">
        <v>29</v>
      </c>
      <c r="O187" s="1" t="s">
        <v>29</v>
      </c>
      <c r="P187" s="1" t="s">
        <v>29</v>
      </c>
      <c r="Q187" s="1">
        <f t="shared" si="0"/>
        <v>16</v>
      </c>
      <c r="R187" s="1">
        <f t="shared" si="1"/>
        <v>41740.29387649268</v>
      </c>
      <c r="S187" s="1">
        <f t="shared" si="2"/>
        <v>18.585998540000006</v>
      </c>
      <c r="T187" s="1">
        <f t="shared" si="3"/>
        <v>52</v>
      </c>
      <c r="U187" s="1">
        <v>99.931396649999996</v>
      </c>
      <c r="V187" s="1">
        <f t="shared" si="4"/>
        <v>81</v>
      </c>
      <c r="W187" s="1">
        <f t="shared" si="5"/>
        <v>19</v>
      </c>
    </row>
    <row r="188" spans="1:23" ht="12.5">
      <c r="A188" s="1" t="s">
        <v>269</v>
      </c>
      <c r="B188" s="1" t="s">
        <v>107</v>
      </c>
      <c r="C188" s="1">
        <v>53771.300779999998</v>
      </c>
      <c r="D188" s="1">
        <v>27.994998930000001</v>
      </c>
      <c r="E188" s="1">
        <v>61.632891579999999</v>
      </c>
      <c r="F188" s="1">
        <v>9.54187005</v>
      </c>
      <c r="G188" s="1">
        <v>9.7800875240000007</v>
      </c>
      <c r="H188" s="1">
        <v>19.045150840000002</v>
      </c>
      <c r="I188" s="1">
        <v>51.779978929999999</v>
      </c>
      <c r="J188" s="1">
        <v>11.569004189999999</v>
      </c>
      <c r="K188" s="1">
        <v>12.519113219999999</v>
      </c>
      <c r="L188" s="1">
        <v>24.131903659999999</v>
      </c>
      <c r="M188" s="1">
        <v>86.975231449999995</v>
      </c>
      <c r="N188" s="1">
        <v>4.327944725</v>
      </c>
      <c r="O188" s="1">
        <v>2.7351426299999999</v>
      </c>
      <c r="P188" s="1">
        <v>5.9616811930000004</v>
      </c>
      <c r="Q188" s="1">
        <f t="shared" si="0"/>
        <v>16</v>
      </c>
      <c r="R188" s="1">
        <f t="shared" si="1"/>
        <v>15053.275078008082</v>
      </c>
      <c r="S188" s="1">
        <f t="shared" si="2"/>
        <v>72.005001069999992</v>
      </c>
      <c r="T188" s="1">
        <f t="shared" si="3"/>
        <v>54</v>
      </c>
      <c r="U188" s="1">
        <v>61.632891579999999</v>
      </c>
      <c r="V188" s="1">
        <f t="shared" si="4"/>
        <v>28</v>
      </c>
      <c r="W188" s="1">
        <f t="shared" si="5"/>
        <v>72</v>
      </c>
    </row>
    <row r="189" spans="1:23" ht="12.5">
      <c r="A189" s="1" t="s">
        <v>267</v>
      </c>
      <c r="B189" s="1" t="s">
        <v>107</v>
      </c>
      <c r="C189" s="1">
        <v>54409.792970000002</v>
      </c>
      <c r="D189" s="1">
        <v>31.14100075</v>
      </c>
      <c r="E189" s="1">
        <v>83.718191910000002</v>
      </c>
      <c r="F189" s="1">
        <v>1.595436949</v>
      </c>
      <c r="G189" s="1">
        <v>5.1094247800000003</v>
      </c>
      <c r="H189" s="1">
        <v>9.5769463619999993</v>
      </c>
      <c r="I189" s="1">
        <v>78.422564690000002</v>
      </c>
      <c r="J189" s="1">
        <v>2.3169621419999999</v>
      </c>
      <c r="K189" s="1">
        <v>6.5923936940000001</v>
      </c>
      <c r="L189" s="1">
        <v>12.66807947</v>
      </c>
      <c r="M189" s="1">
        <v>95.427886060000006</v>
      </c>
      <c r="N189" s="1">
        <v>0</v>
      </c>
      <c r="O189" s="1">
        <v>1.8302830059999999</v>
      </c>
      <c r="P189" s="1">
        <v>2.741830931</v>
      </c>
      <c r="Q189" s="1">
        <f t="shared" si="0"/>
        <v>16</v>
      </c>
      <c r="R189" s="1">
        <f t="shared" si="1"/>
        <v>16943.754036861148</v>
      </c>
      <c r="S189" s="1">
        <f t="shared" si="2"/>
        <v>68.858999249999997</v>
      </c>
      <c r="T189" s="1">
        <f t="shared" si="3"/>
        <v>55</v>
      </c>
      <c r="U189" s="1">
        <v>83.718191910000002</v>
      </c>
      <c r="V189" s="1">
        <f t="shared" si="4"/>
        <v>31</v>
      </c>
      <c r="W189" s="1">
        <f t="shared" si="5"/>
        <v>69</v>
      </c>
    </row>
    <row r="190" spans="1:23" ht="12.5">
      <c r="A190" s="1" t="s">
        <v>202</v>
      </c>
      <c r="B190" s="1" t="s">
        <v>74</v>
      </c>
      <c r="C190" s="1">
        <v>59308.691409999999</v>
      </c>
      <c r="D190" s="1">
        <v>67.354003910000003</v>
      </c>
      <c r="E190" s="1">
        <v>93.885057439999997</v>
      </c>
      <c r="F190" s="1">
        <v>2.7727361859999999</v>
      </c>
      <c r="G190" s="1">
        <v>1.410816657</v>
      </c>
      <c r="H190" s="1">
        <v>1.9313897120000001</v>
      </c>
      <c r="I190" s="1">
        <v>83.329481180000002</v>
      </c>
      <c r="J190" s="1">
        <v>6.9773593590000003</v>
      </c>
      <c r="K190" s="1">
        <v>3.7769992870000002</v>
      </c>
      <c r="L190" s="1">
        <v>5.9161601729999997</v>
      </c>
      <c r="M190" s="1">
        <v>99.001264840000005</v>
      </c>
      <c r="N190" s="1">
        <v>0.73478540299999995</v>
      </c>
      <c r="O190" s="1">
        <v>0.26394975469999998</v>
      </c>
      <c r="P190" s="1">
        <v>0</v>
      </c>
      <c r="Q190" s="1">
        <f t="shared" si="0"/>
        <v>16</v>
      </c>
      <c r="R190" s="1">
        <f t="shared" si="1"/>
        <v>39946.778331261237</v>
      </c>
      <c r="S190" s="1">
        <f t="shared" si="2"/>
        <v>32.645996089999997</v>
      </c>
      <c r="T190" s="1">
        <f t="shared" si="3"/>
        <v>60</v>
      </c>
      <c r="U190" s="1">
        <v>93.885057439999997</v>
      </c>
      <c r="V190" s="1">
        <f t="shared" si="4"/>
        <v>67</v>
      </c>
      <c r="W190" s="1">
        <f t="shared" si="5"/>
        <v>33</v>
      </c>
    </row>
    <row r="191" spans="1:23" ht="12.5">
      <c r="A191" s="1" t="s">
        <v>265</v>
      </c>
      <c r="B191" s="1" t="s">
        <v>107</v>
      </c>
      <c r="C191" s="1">
        <v>59734.214840000001</v>
      </c>
      <c r="D191" s="1">
        <v>35.227001190000003</v>
      </c>
      <c r="E191" s="1">
        <v>60.716797589999999</v>
      </c>
      <c r="F191" s="1">
        <v>11.29007067</v>
      </c>
      <c r="G191" s="1">
        <v>14.51775136</v>
      </c>
      <c r="H191" s="1">
        <v>13.475380380000001</v>
      </c>
      <c r="I191" s="1">
        <v>45.446965339999998</v>
      </c>
      <c r="J191" s="1">
        <v>13.98368881</v>
      </c>
      <c r="K191" s="1">
        <v>21.21996133</v>
      </c>
      <c r="L191" s="1">
        <v>19.349384520000001</v>
      </c>
      <c r="M191" s="1">
        <v>88.793924899999993</v>
      </c>
      <c r="N191" s="1">
        <v>6.3372311659999996</v>
      </c>
      <c r="O191" s="1">
        <v>2.1941787860000002</v>
      </c>
      <c r="P191" s="1">
        <v>2.6746651520000002</v>
      </c>
      <c r="Q191" s="1">
        <f t="shared" si="0"/>
        <v>16</v>
      </c>
      <c r="R191" s="1">
        <f t="shared" si="1"/>
        <v>21042.572572523957</v>
      </c>
      <c r="S191" s="1">
        <f t="shared" si="2"/>
        <v>64.77299880999999</v>
      </c>
      <c r="T191" s="1">
        <f t="shared" si="3"/>
        <v>60</v>
      </c>
      <c r="U191" s="1">
        <v>60.716797589999999</v>
      </c>
      <c r="V191" s="1">
        <f t="shared" si="4"/>
        <v>35</v>
      </c>
      <c r="W191" s="1">
        <f t="shared" si="5"/>
        <v>65</v>
      </c>
    </row>
    <row r="192" spans="1:23" ht="12.5">
      <c r="A192" s="1" t="s">
        <v>184</v>
      </c>
      <c r="B192" s="1" t="s">
        <v>69</v>
      </c>
      <c r="C192" s="1">
        <v>60461.828130000002</v>
      </c>
      <c r="D192" s="1">
        <v>71.038993840000003</v>
      </c>
      <c r="E192" s="1">
        <v>99.91703407</v>
      </c>
      <c r="F192" s="1">
        <v>0</v>
      </c>
      <c r="G192" s="1">
        <v>8.2965925910000002E-2</v>
      </c>
      <c r="H192" s="1">
        <v>0</v>
      </c>
      <c r="I192" s="1" t="s">
        <v>29</v>
      </c>
      <c r="J192" s="1" t="s">
        <v>29</v>
      </c>
      <c r="K192" s="1" t="s">
        <v>29</v>
      </c>
      <c r="L192" s="1" t="s">
        <v>29</v>
      </c>
      <c r="M192" s="1" t="s">
        <v>29</v>
      </c>
      <c r="N192" s="1" t="s">
        <v>29</v>
      </c>
      <c r="O192" s="1" t="s">
        <v>29</v>
      </c>
      <c r="P192" s="1" t="s">
        <v>29</v>
      </c>
      <c r="Q192" s="1">
        <f t="shared" si="0"/>
        <v>16</v>
      </c>
      <c r="R192" s="1">
        <f t="shared" si="1"/>
        <v>42951.474360822096</v>
      </c>
      <c r="S192" s="1">
        <f t="shared" si="2"/>
        <v>28.961006159999997</v>
      </c>
      <c r="T192" s="1">
        <f t="shared" si="3"/>
        <v>61</v>
      </c>
      <c r="U192" s="1">
        <v>99.91703407</v>
      </c>
      <c r="V192" s="1">
        <f t="shared" si="4"/>
        <v>71</v>
      </c>
      <c r="W192" s="1">
        <f t="shared" si="5"/>
        <v>29</v>
      </c>
    </row>
    <row r="193" spans="1:23" ht="12.5">
      <c r="A193" s="1" t="s">
        <v>144</v>
      </c>
      <c r="B193" s="1" t="s">
        <v>69</v>
      </c>
      <c r="C193" s="1">
        <v>65273.511720000002</v>
      </c>
      <c r="D193" s="1">
        <v>80.974998470000003</v>
      </c>
      <c r="E193" s="1">
        <v>99.999998500000004</v>
      </c>
      <c r="F193" s="1">
        <v>0</v>
      </c>
      <c r="G193" s="1">
        <v>1.49610841E-6</v>
      </c>
      <c r="H193" s="1">
        <v>0</v>
      </c>
      <c r="I193" s="1">
        <v>100</v>
      </c>
      <c r="J193" s="1">
        <v>0</v>
      </c>
      <c r="K193" s="1">
        <v>0</v>
      </c>
      <c r="L193" s="1">
        <v>0</v>
      </c>
      <c r="M193" s="1">
        <v>100</v>
      </c>
      <c r="N193" s="1">
        <v>0</v>
      </c>
      <c r="O193" s="1">
        <v>0</v>
      </c>
      <c r="P193" s="1">
        <v>0</v>
      </c>
      <c r="Q193" s="1">
        <f t="shared" si="0"/>
        <v>16</v>
      </c>
      <c r="R193" s="1">
        <f t="shared" si="1"/>
        <v>52855.225116585272</v>
      </c>
      <c r="S193" s="1">
        <f t="shared" si="2"/>
        <v>19.025001529999997</v>
      </c>
      <c r="T193" s="1">
        <f t="shared" si="3"/>
        <v>66</v>
      </c>
      <c r="U193" s="1">
        <v>99.999998500000004</v>
      </c>
      <c r="V193" s="1">
        <f t="shared" si="4"/>
        <v>81</v>
      </c>
      <c r="W193" s="1">
        <f t="shared" si="5"/>
        <v>19</v>
      </c>
    </row>
    <row r="194" spans="1:23" ht="12.5">
      <c r="A194" s="1" t="s">
        <v>128</v>
      </c>
      <c r="B194" s="1" t="s">
        <v>69</v>
      </c>
      <c r="C194" s="1">
        <v>67886.007809999996</v>
      </c>
      <c r="D194" s="1">
        <v>83.902999879999996</v>
      </c>
      <c r="E194" s="1">
        <v>99.999998559999995</v>
      </c>
      <c r="F194" s="1">
        <v>0</v>
      </c>
      <c r="G194" s="1">
        <v>1.4385328199999999E-6</v>
      </c>
      <c r="H194" s="1">
        <v>0</v>
      </c>
      <c r="I194" s="1">
        <v>100</v>
      </c>
      <c r="J194" s="1">
        <v>0</v>
      </c>
      <c r="K194" s="1">
        <v>0</v>
      </c>
      <c r="L194" s="1">
        <v>0</v>
      </c>
      <c r="M194" s="1">
        <v>100</v>
      </c>
      <c r="N194" s="1">
        <v>0</v>
      </c>
      <c r="O194" s="1">
        <v>0</v>
      </c>
      <c r="P194" s="1">
        <v>0</v>
      </c>
      <c r="Q194" s="1">
        <f t="shared" si="0"/>
        <v>16</v>
      </c>
      <c r="R194" s="1">
        <f t="shared" si="1"/>
        <v>56958.397051361084</v>
      </c>
      <c r="S194" s="1">
        <f t="shared" si="2"/>
        <v>16.097000120000004</v>
      </c>
      <c r="T194" s="1">
        <f t="shared" si="3"/>
        <v>68</v>
      </c>
      <c r="U194" s="1">
        <v>99.999998559999995</v>
      </c>
      <c r="V194" s="1">
        <f t="shared" si="4"/>
        <v>84</v>
      </c>
      <c r="W194" s="1">
        <f t="shared" si="5"/>
        <v>16</v>
      </c>
    </row>
    <row r="195" spans="1:23" ht="12.5">
      <c r="A195" s="1" t="s">
        <v>235</v>
      </c>
      <c r="B195" s="1" t="s">
        <v>74</v>
      </c>
      <c r="C195" s="1">
        <v>69799.976559999996</v>
      </c>
      <c r="D195" s="1">
        <v>51.430000309999997</v>
      </c>
      <c r="E195" s="1">
        <v>100</v>
      </c>
      <c r="F195" s="1">
        <v>0</v>
      </c>
      <c r="G195" s="1">
        <v>0</v>
      </c>
      <c r="H195" s="1">
        <v>0</v>
      </c>
      <c r="I195" s="1">
        <v>100</v>
      </c>
      <c r="J195" s="1">
        <v>0</v>
      </c>
      <c r="K195" s="1">
        <v>0</v>
      </c>
      <c r="L195" s="1">
        <v>0</v>
      </c>
      <c r="M195" s="1">
        <v>100</v>
      </c>
      <c r="N195" s="1">
        <v>0</v>
      </c>
      <c r="O195" s="1">
        <v>0</v>
      </c>
      <c r="P195" s="1">
        <v>0</v>
      </c>
      <c r="Q195" s="1">
        <f t="shared" si="0"/>
        <v>16</v>
      </c>
      <c r="R195" s="1">
        <f t="shared" si="1"/>
        <v>35898.128161187924</v>
      </c>
      <c r="S195" s="1">
        <f t="shared" si="2"/>
        <v>48.569999690000003</v>
      </c>
      <c r="T195" s="1">
        <f t="shared" si="3"/>
        <v>70</v>
      </c>
      <c r="U195" s="1">
        <v>100</v>
      </c>
      <c r="V195" s="1">
        <f t="shared" si="4"/>
        <v>51</v>
      </c>
      <c r="W195" s="1">
        <f t="shared" si="5"/>
        <v>49</v>
      </c>
    </row>
    <row r="196" spans="1:23" ht="12.5">
      <c r="A196" s="1" t="s">
        <v>161</v>
      </c>
      <c r="B196" s="1" t="s">
        <v>69</v>
      </c>
      <c r="C196" s="1">
        <v>83783.945309999996</v>
      </c>
      <c r="D196" s="1">
        <v>77.453002929999997</v>
      </c>
      <c r="E196" s="1">
        <v>100.00000230000001</v>
      </c>
      <c r="F196" s="1">
        <v>0</v>
      </c>
      <c r="G196" s="1">
        <v>0</v>
      </c>
      <c r="H196" s="1">
        <v>0</v>
      </c>
      <c r="I196" s="1">
        <v>100</v>
      </c>
      <c r="J196" s="1">
        <v>0</v>
      </c>
      <c r="K196" s="1">
        <v>0</v>
      </c>
      <c r="L196" s="1">
        <v>0</v>
      </c>
      <c r="M196" s="1">
        <v>100</v>
      </c>
      <c r="N196" s="1">
        <v>0</v>
      </c>
      <c r="O196" s="1">
        <v>0</v>
      </c>
      <c r="P196" s="1">
        <v>0</v>
      </c>
      <c r="Q196" s="1">
        <f t="shared" si="0"/>
        <v>16</v>
      </c>
      <c r="R196" s="1">
        <f t="shared" si="1"/>
        <v>64893.181615823887</v>
      </c>
      <c r="S196" s="1">
        <f t="shared" si="2"/>
        <v>22.546997070000003</v>
      </c>
      <c r="T196" s="1">
        <f t="shared" si="3"/>
        <v>84</v>
      </c>
      <c r="U196" s="1">
        <v>100</v>
      </c>
      <c r="V196" s="1">
        <f t="shared" si="4"/>
        <v>77</v>
      </c>
      <c r="W196" s="1">
        <f t="shared" si="5"/>
        <v>23</v>
      </c>
    </row>
    <row r="197" spans="1:23" ht="12.5">
      <c r="A197" s="1" t="s">
        <v>164</v>
      </c>
      <c r="B197" s="1" t="s">
        <v>107</v>
      </c>
      <c r="C197" s="1">
        <v>83992.953129999994</v>
      </c>
      <c r="D197" s="1">
        <v>75.874000550000005</v>
      </c>
      <c r="E197" s="1">
        <v>97.482636330000005</v>
      </c>
      <c r="F197" s="1">
        <v>1.938311229</v>
      </c>
      <c r="G197" s="1">
        <v>0.51379736310000002</v>
      </c>
      <c r="H197" s="1">
        <v>6.5255081849999994E-2</v>
      </c>
      <c r="I197" s="1">
        <v>93.828735379999998</v>
      </c>
      <c r="J197" s="1">
        <v>4.2979487650000001</v>
      </c>
      <c r="K197" s="1">
        <v>1.602839669</v>
      </c>
      <c r="L197" s="1">
        <v>0.27047619049999999</v>
      </c>
      <c r="M197" s="1">
        <v>98.644486720000003</v>
      </c>
      <c r="N197" s="1">
        <v>1.1880066709999999</v>
      </c>
      <c r="O197" s="1">
        <v>0.1675066077</v>
      </c>
      <c r="P197" s="1">
        <v>0</v>
      </c>
      <c r="Q197" s="1">
        <f t="shared" si="0"/>
        <v>16</v>
      </c>
      <c r="R197" s="1">
        <f t="shared" si="1"/>
        <v>63728.813719817445</v>
      </c>
      <c r="S197" s="1">
        <f t="shared" si="2"/>
        <v>24.125999449999995</v>
      </c>
      <c r="T197" s="1">
        <f t="shared" si="3"/>
        <v>84</v>
      </c>
      <c r="U197" s="1">
        <v>97.482636330000005</v>
      </c>
      <c r="V197" s="1">
        <f t="shared" si="4"/>
        <v>76</v>
      </c>
      <c r="W197" s="1">
        <f t="shared" si="5"/>
        <v>24</v>
      </c>
    </row>
    <row r="198" spans="1:23" ht="12.5">
      <c r="A198" s="1" t="s">
        <v>166</v>
      </c>
      <c r="B198" s="1" t="s">
        <v>74</v>
      </c>
      <c r="C198" s="1">
        <v>84339.070309999996</v>
      </c>
      <c r="D198" s="1">
        <v>76.105003359999998</v>
      </c>
      <c r="E198" s="1">
        <v>97.014269159999998</v>
      </c>
      <c r="F198" s="1">
        <v>2.0230780749999999</v>
      </c>
      <c r="G198" s="1">
        <v>0.73767495449999998</v>
      </c>
      <c r="H198" s="1">
        <v>0.2249778093</v>
      </c>
      <c r="I198" s="1">
        <v>96.025169770000005</v>
      </c>
      <c r="J198" s="1">
        <v>2.684574639</v>
      </c>
      <c r="K198" s="1">
        <v>0.78825559109999999</v>
      </c>
      <c r="L198" s="1">
        <v>0.502</v>
      </c>
      <c r="M198" s="1">
        <v>97.324817830000001</v>
      </c>
      <c r="N198" s="1">
        <v>1.8153852029999999</v>
      </c>
      <c r="O198" s="1">
        <v>0.72179696339999999</v>
      </c>
      <c r="P198" s="1">
        <v>0.13800000000000001</v>
      </c>
      <c r="Q198" s="1">
        <f t="shared" si="0"/>
        <v>16</v>
      </c>
      <c r="R198" s="1">
        <f t="shared" si="1"/>
        <v>64186.252293218262</v>
      </c>
      <c r="S198" s="1">
        <f t="shared" si="2"/>
        <v>23.894996640000002</v>
      </c>
      <c r="T198" s="1">
        <f t="shared" si="3"/>
        <v>85</v>
      </c>
      <c r="U198" s="1">
        <v>97.014269159999998</v>
      </c>
      <c r="V198" s="1">
        <f t="shared" si="4"/>
        <v>76</v>
      </c>
      <c r="W198" s="1">
        <f t="shared" si="5"/>
        <v>24</v>
      </c>
    </row>
    <row r="199" spans="1:23" ht="12.5">
      <c r="A199" s="1" t="s">
        <v>247</v>
      </c>
      <c r="B199" s="1" t="s">
        <v>107</v>
      </c>
      <c r="C199" s="1">
        <v>89561.40625</v>
      </c>
      <c r="D199" s="1">
        <v>45.638000490000003</v>
      </c>
      <c r="E199" s="1">
        <v>45.952126960000001</v>
      </c>
      <c r="F199" s="1">
        <v>13.44122447</v>
      </c>
      <c r="G199" s="1">
        <v>32.542316069999998</v>
      </c>
      <c r="H199" s="1">
        <v>8.0643324950000004</v>
      </c>
      <c r="I199" s="1">
        <v>21.98279234</v>
      </c>
      <c r="J199" s="1">
        <v>12.68294146</v>
      </c>
      <c r="K199" s="1">
        <v>51.215981669999998</v>
      </c>
      <c r="L199" s="1">
        <v>14.11828453</v>
      </c>
      <c r="M199" s="1">
        <v>74.503354779999995</v>
      </c>
      <c r="N199" s="1">
        <v>14.34445818</v>
      </c>
      <c r="O199" s="1">
        <v>10.29905862</v>
      </c>
      <c r="P199" s="1">
        <v>0.85312841309999998</v>
      </c>
      <c r="Q199" s="1">
        <f t="shared" si="0"/>
        <v>16</v>
      </c>
      <c r="R199" s="1">
        <f t="shared" si="1"/>
        <v>40874.035023225893</v>
      </c>
      <c r="S199" s="1">
        <f t="shared" si="2"/>
        <v>54.361999509999997</v>
      </c>
      <c r="T199" s="1">
        <f t="shared" si="3"/>
        <v>90</v>
      </c>
      <c r="U199" s="1">
        <v>45.952126960000001</v>
      </c>
      <c r="V199" s="1">
        <f t="shared" si="4"/>
        <v>46</v>
      </c>
      <c r="W199" s="1">
        <f t="shared" si="5"/>
        <v>54</v>
      </c>
    </row>
    <row r="200" spans="1:23" ht="12.5">
      <c r="A200" s="1" t="s">
        <v>262</v>
      </c>
      <c r="B200" s="1" t="s">
        <v>107</v>
      </c>
      <c r="C200" s="1">
        <v>97338.585940000004</v>
      </c>
      <c r="D200" s="1">
        <v>37.340000150000002</v>
      </c>
      <c r="E200" s="1">
        <v>96.884356870000005</v>
      </c>
      <c r="F200" s="1">
        <v>0</v>
      </c>
      <c r="G200" s="1">
        <v>3.1156431260000002</v>
      </c>
      <c r="H200" s="1">
        <v>0</v>
      </c>
      <c r="I200" s="1">
        <v>95.514538439999995</v>
      </c>
      <c r="J200" s="1">
        <v>0</v>
      </c>
      <c r="K200" s="1">
        <v>4.4854615600000001</v>
      </c>
      <c r="L200" s="1">
        <v>0</v>
      </c>
      <c r="M200" s="1">
        <v>99.183040009999999</v>
      </c>
      <c r="N200" s="1">
        <v>0</v>
      </c>
      <c r="O200" s="1">
        <v>0.81695998700000005</v>
      </c>
      <c r="P200" s="1">
        <v>0</v>
      </c>
      <c r="Q200" s="1">
        <f t="shared" si="0"/>
        <v>16</v>
      </c>
      <c r="R200" s="1">
        <f t="shared" si="1"/>
        <v>36346.228136003883</v>
      </c>
      <c r="S200" s="1">
        <f t="shared" si="2"/>
        <v>62.659999849999998</v>
      </c>
      <c r="T200" s="1">
        <f t="shared" si="3"/>
        <v>98</v>
      </c>
      <c r="U200" s="1">
        <v>96.884356870000005</v>
      </c>
      <c r="V200" s="1">
        <f t="shared" si="4"/>
        <v>37</v>
      </c>
      <c r="W200" s="1">
        <f t="shared" si="5"/>
        <v>63</v>
      </c>
    </row>
    <row r="201" spans="1:23" ht="12.5">
      <c r="A201" s="1" t="s">
        <v>251</v>
      </c>
      <c r="B201" s="1" t="s">
        <v>107</v>
      </c>
      <c r="C201" s="1">
        <v>102334.4063</v>
      </c>
      <c r="D201" s="1">
        <v>42.783000950000002</v>
      </c>
      <c r="E201" s="1">
        <v>99.440175960000005</v>
      </c>
      <c r="F201" s="1">
        <v>0.23760910860000001</v>
      </c>
      <c r="G201" s="1">
        <v>0.3222149265</v>
      </c>
      <c r="H201" s="1">
        <v>0</v>
      </c>
      <c r="I201" s="1">
        <v>99.332835149999994</v>
      </c>
      <c r="J201" s="1">
        <v>0.33594182239999998</v>
      </c>
      <c r="K201" s="1">
        <v>0.33122303190000002</v>
      </c>
      <c r="L201" s="1">
        <v>0</v>
      </c>
      <c r="M201" s="1">
        <v>99.583731099999994</v>
      </c>
      <c r="N201" s="1">
        <v>0.10610120670000001</v>
      </c>
      <c r="O201" s="1">
        <v>0.31016769430000002</v>
      </c>
      <c r="P201" s="1">
        <v>0</v>
      </c>
      <c r="Q201" s="1">
        <f t="shared" si="0"/>
        <v>16</v>
      </c>
      <c r="R201" s="1">
        <f t="shared" si="1"/>
        <v>43781.730019505863</v>
      </c>
      <c r="S201" s="1">
        <f t="shared" si="2"/>
        <v>57.216999049999998</v>
      </c>
      <c r="T201" s="1">
        <f t="shared" si="3"/>
        <v>103</v>
      </c>
      <c r="U201" s="1">
        <v>99.440175960000005</v>
      </c>
      <c r="V201" s="1">
        <f t="shared" si="4"/>
        <v>43</v>
      </c>
      <c r="W201" s="1">
        <f t="shared" si="5"/>
        <v>57</v>
      </c>
    </row>
    <row r="202" spans="1:23" ht="12.5">
      <c r="A202" s="1" t="s">
        <v>245</v>
      </c>
      <c r="B202" s="1" t="s">
        <v>107</v>
      </c>
      <c r="C202" s="1">
        <v>109581.08590000001</v>
      </c>
      <c r="D202" s="1">
        <v>47.407997129999998</v>
      </c>
      <c r="E202" s="1">
        <v>94.109034559999998</v>
      </c>
      <c r="F202" s="1">
        <v>2.8564861370000001</v>
      </c>
      <c r="G202" s="1">
        <v>3.0344793069999998</v>
      </c>
      <c r="H202" s="1">
        <v>0</v>
      </c>
      <c r="I202" s="1">
        <v>91.06193322</v>
      </c>
      <c r="J202" s="1">
        <v>3.9595204279999998</v>
      </c>
      <c r="K202" s="1">
        <v>4.978546347</v>
      </c>
      <c r="L202" s="1">
        <v>0</v>
      </c>
      <c r="M202" s="1">
        <v>97.489332500000003</v>
      </c>
      <c r="N202" s="1">
        <v>1.632836465</v>
      </c>
      <c r="O202" s="1">
        <v>0.87783103600000001</v>
      </c>
      <c r="P202" s="1">
        <v>0</v>
      </c>
      <c r="Q202" s="1">
        <f t="shared" si="0"/>
        <v>16</v>
      </c>
      <c r="R202" s="1">
        <f t="shared" si="1"/>
        <v>51950.198058494832</v>
      </c>
      <c r="S202" s="1">
        <f t="shared" si="2"/>
        <v>52.592002870000002</v>
      </c>
      <c r="T202" s="1">
        <f t="shared" si="3"/>
        <v>110</v>
      </c>
      <c r="U202" s="1">
        <v>94.109034559999998</v>
      </c>
      <c r="V202" s="1">
        <f t="shared" si="4"/>
        <v>47</v>
      </c>
      <c r="W202" s="1">
        <f t="shared" si="5"/>
        <v>53</v>
      </c>
    </row>
    <row r="203" spans="1:23" ht="12.5">
      <c r="A203" s="1" t="s">
        <v>276</v>
      </c>
      <c r="B203" s="1" t="s">
        <v>170</v>
      </c>
      <c r="C203" s="1">
        <v>114963.58590000001</v>
      </c>
      <c r="D203" s="1">
        <v>21.69499969</v>
      </c>
      <c r="E203" s="1">
        <v>49.615572739999998</v>
      </c>
      <c r="F203" s="1">
        <v>26.740719639999998</v>
      </c>
      <c r="G203" s="1">
        <v>18.635060129999999</v>
      </c>
      <c r="H203" s="1">
        <v>5.0086474860000001</v>
      </c>
      <c r="I203" s="1">
        <v>40.03013919</v>
      </c>
      <c r="J203" s="1">
        <v>30.186683339999998</v>
      </c>
      <c r="K203" s="1">
        <v>23.49561327</v>
      </c>
      <c r="L203" s="1">
        <v>6.2875642029999996</v>
      </c>
      <c r="M203" s="1">
        <v>84.212828160000001</v>
      </c>
      <c r="N203" s="1">
        <v>14.30300858</v>
      </c>
      <c r="O203" s="1">
        <v>1.0915823549999999</v>
      </c>
      <c r="P203" s="1">
        <v>0.39258089600000001</v>
      </c>
      <c r="Q203" s="1">
        <f t="shared" si="0"/>
        <v>16</v>
      </c>
      <c r="R203" s="1">
        <f t="shared" si="1"/>
        <v>24941.349604617884</v>
      </c>
      <c r="S203" s="1">
        <f t="shared" si="2"/>
        <v>78.305000309999997</v>
      </c>
      <c r="T203" s="1">
        <f t="shared" si="3"/>
        <v>115</v>
      </c>
      <c r="U203" s="1">
        <v>49.615572739999998</v>
      </c>
      <c r="V203" s="1">
        <f t="shared" si="4"/>
        <v>22</v>
      </c>
      <c r="W203" s="1">
        <f t="shared" si="5"/>
        <v>78</v>
      </c>
    </row>
    <row r="204" spans="1:23" ht="12.5">
      <c r="A204" s="1" t="s">
        <v>95</v>
      </c>
      <c r="B204" s="1" t="s">
        <v>69</v>
      </c>
      <c r="C204" s="1">
        <v>126476.46090000001</v>
      </c>
      <c r="D204" s="1">
        <v>91.781997680000003</v>
      </c>
      <c r="E204" s="1">
        <v>99.078912450000004</v>
      </c>
      <c r="F204" s="1">
        <v>0</v>
      </c>
      <c r="G204" s="1">
        <v>0.92108754670000004</v>
      </c>
      <c r="H204" s="1">
        <v>0</v>
      </c>
      <c r="I204" s="1" t="s">
        <v>29</v>
      </c>
      <c r="J204" s="1" t="s">
        <v>29</v>
      </c>
      <c r="K204" s="1" t="s">
        <v>29</v>
      </c>
      <c r="L204" s="1" t="s">
        <v>29</v>
      </c>
      <c r="M204" s="1" t="s">
        <v>29</v>
      </c>
      <c r="N204" s="1" t="s">
        <v>29</v>
      </c>
      <c r="O204" s="1" t="s">
        <v>29</v>
      </c>
      <c r="P204" s="1" t="s">
        <v>29</v>
      </c>
      <c r="Q204" s="1">
        <f t="shared" si="0"/>
        <v>16</v>
      </c>
      <c r="R204" s="1">
        <f t="shared" si="1"/>
        <v>116082.62240898411</v>
      </c>
      <c r="S204" s="1">
        <f t="shared" si="2"/>
        <v>8.2180023199999965</v>
      </c>
      <c r="T204" s="1">
        <f t="shared" si="3"/>
        <v>127</v>
      </c>
      <c r="U204" s="1">
        <v>99.078912450000004</v>
      </c>
      <c r="V204" s="1">
        <f t="shared" si="4"/>
        <v>92</v>
      </c>
      <c r="W204" s="1">
        <f t="shared" si="5"/>
        <v>8</v>
      </c>
    </row>
    <row r="205" spans="1:23" ht="12.5">
      <c r="A205" s="1" t="s">
        <v>145</v>
      </c>
      <c r="B205" s="1" t="s">
        <v>74</v>
      </c>
      <c r="C205" s="1">
        <v>128932.75</v>
      </c>
      <c r="D205" s="1">
        <v>80.730995179999994</v>
      </c>
      <c r="E205" s="1">
        <v>99.679568279999998</v>
      </c>
      <c r="F205" s="1">
        <v>0</v>
      </c>
      <c r="G205" s="1">
        <v>0.3204317169</v>
      </c>
      <c r="H205" s="1">
        <v>0</v>
      </c>
      <c r="I205" s="1">
        <v>98.337068930000001</v>
      </c>
      <c r="J205" s="1">
        <v>0</v>
      </c>
      <c r="K205" s="1">
        <v>1.6629310669999999</v>
      </c>
      <c r="L205" s="1">
        <v>0</v>
      </c>
      <c r="M205" s="1">
        <v>100</v>
      </c>
      <c r="N205" s="1">
        <v>0</v>
      </c>
      <c r="O205" s="1">
        <v>0</v>
      </c>
      <c r="P205" s="1">
        <v>0</v>
      </c>
      <c r="Q205" s="1">
        <f t="shared" si="0"/>
        <v>16</v>
      </c>
      <c r="R205" s="1">
        <f t="shared" si="1"/>
        <v>104088.69218794144</v>
      </c>
      <c r="S205" s="1">
        <f t="shared" si="2"/>
        <v>19.269004820000006</v>
      </c>
      <c r="T205" s="1">
        <f t="shared" si="3"/>
        <v>129</v>
      </c>
      <c r="U205" s="1">
        <v>99.679568279999998</v>
      </c>
      <c r="V205" s="1">
        <f t="shared" si="4"/>
        <v>81</v>
      </c>
      <c r="W205" s="1">
        <f t="shared" si="5"/>
        <v>19</v>
      </c>
    </row>
    <row r="206" spans="1:23" ht="12.5">
      <c r="A206" s="1" t="s">
        <v>168</v>
      </c>
      <c r="B206" s="1" t="s">
        <v>74</v>
      </c>
      <c r="C206" s="1">
        <v>145934.45310000001</v>
      </c>
      <c r="D206" s="1">
        <v>74.754005430000007</v>
      </c>
      <c r="E206" s="1">
        <v>96.992548069999998</v>
      </c>
      <c r="F206" s="1">
        <v>0.62199637659999996</v>
      </c>
      <c r="G206" s="1">
        <v>2.3854555500000001</v>
      </c>
      <c r="H206" s="1" t="s">
        <v>29</v>
      </c>
      <c r="I206" s="1">
        <v>91.544101960000006</v>
      </c>
      <c r="J206" s="1">
        <v>1.5831635129999999</v>
      </c>
      <c r="K206" s="1">
        <v>6.8727345309999999</v>
      </c>
      <c r="L206" s="1" t="s">
        <v>29</v>
      </c>
      <c r="M206" s="1">
        <v>98.832599610000003</v>
      </c>
      <c r="N206" s="1">
        <v>0.29738996870000001</v>
      </c>
      <c r="O206" s="1">
        <v>0.67001042359999996</v>
      </c>
      <c r="P206" s="1">
        <v>0.2</v>
      </c>
      <c r="Q206" s="1">
        <f t="shared" si="0"/>
        <v>16</v>
      </c>
      <c r="R206" s="1">
        <f t="shared" si="1"/>
        <v>109091.84899461482</v>
      </c>
      <c r="S206" s="1">
        <f t="shared" si="2"/>
        <v>25.245994569999993</v>
      </c>
      <c r="T206" s="1">
        <f t="shared" si="3"/>
        <v>146</v>
      </c>
      <c r="U206" s="1">
        <v>96.992548069999998</v>
      </c>
      <c r="V206" s="1">
        <f t="shared" si="4"/>
        <v>75</v>
      </c>
      <c r="W206" s="1">
        <f t="shared" si="5"/>
        <v>25</v>
      </c>
    </row>
    <row r="207" spans="1:23" ht="12.5">
      <c r="A207" s="1" t="s">
        <v>260</v>
      </c>
      <c r="B207" s="1" t="s">
        <v>107</v>
      </c>
      <c r="C207" s="1">
        <v>164689.39060000001</v>
      </c>
      <c r="D207" s="1">
        <v>38.177001949999998</v>
      </c>
      <c r="E207" s="1">
        <v>97.697960249999994</v>
      </c>
      <c r="F207" s="1">
        <v>1.1564258780000001</v>
      </c>
      <c r="G207" s="1">
        <v>0.46265570020000002</v>
      </c>
      <c r="H207" s="1">
        <v>0.68295817349999999</v>
      </c>
      <c r="I207" s="1">
        <v>97.88023776</v>
      </c>
      <c r="J207" s="1">
        <v>0.85810498040000005</v>
      </c>
      <c r="K207" s="1">
        <v>0.31648024139999997</v>
      </c>
      <c r="L207" s="1">
        <v>0.94517701509999996</v>
      </c>
      <c r="M207" s="1">
        <v>97.402777970000002</v>
      </c>
      <c r="N207" s="1">
        <v>1.6395201210000001</v>
      </c>
      <c r="O207" s="1">
        <v>0.69937521469999997</v>
      </c>
      <c r="P207" s="1">
        <v>0.25832669339999997</v>
      </c>
      <c r="Q207" s="1">
        <f t="shared" si="0"/>
        <v>16</v>
      </c>
      <c r="R207" s="1">
        <f t="shared" si="1"/>
        <v>62873.471860805119</v>
      </c>
      <c r="S207" s="1">
        <f t="shared" si="2"/>
        <v>61.822998050000002</v>
      </c>
      <c r="T207" s="1">
        <f t="shared" si="3"/>
        <v>165</v>
      </c>
      <c r="U207" s="1">
        <v>97.697960249999994</v>
      </c>
      <c r="V207" s="1">
        <f t="shared" si="4"/>
        <v>38</v>
      </c>
      <c r="W207" s="1">
        <f t="shared" si="5"/>
        <v>62</v>
      </c>
    </row>
    <row r="208" spans="1:23" ht="12.5">
      <c r="A208" s="1" t="s">
        <v>234</v>
      </c>
      <c r="B208" s="1" t="s">
        <v>107</v>
      </c>
      <c r="C208" s="1">
        <v>206139.5938</v>
      </c>
      <c r="D208" s="1">
        <v>51.958000179999999</v>
      </c>
      <c r="E208" s="1">
        <v>77.609053380000006</v>
      </c>
      <c r="F208" s="1">
        <v>4.9793993429999999</v>
      </c>
      <c r="G208" s="1">
        <v>11.79691148</v>
      </c>
      <c r="H208" s="1">
        <v>5.6146357939999998</v>
      </c>
      <c r="I208" s="1">
        <v>61.658210029999999</v>
      </c>
      <c r="J208" s="1">
        <v>7.1289245829999999</v>
      </c>
      <c r="K208" s="1">
        <v>20.924875350000001</v>
      </c>
      <c r="L208" s="1">
        <v>10.28799004</v>
      </c>
      <c r="M208" s="1">
        <v>92.357705190000004</v>
      </c>
      <c r="N208" s="1">
        <v>2.9918806500000001</v>
      </c>
      <c r="O208" s="1">
        <v>3.356908786</v>
      </c>
      <c r="P208" s="1">
        <v>1.2935053700000001</v>
      </c>
      <c r="Q208" s="1">
        <f t="shared" si="0"/>
        <v>16</v>
      </c>
      <c r="R208" s="1">
        <f t="shared" si="1"/>
        <v>107106.01051765526</v>
      </c>
      <c r="S208" s="1">
        <f t="shared" si="2"/>
        <v>48.041999820000001</v>
      </c>
      <c r="T208" s="1">
        <f t="shared" si="3"/>
        <v>207</v>
      </c>
      <c r="U208" s="1">
        <v>77.609053380000006</v>
      </c>
      <c r="V208" s="1">
        <f t="shared" si="4"/>
        <v>52</v>
      </c>
      <c r="W208" s="1">
        <f t="shared" si="5"/>
        <v>48</v>
      </c>
    </row>
    <row r="209" spans="1:37" ht="12.5">
      <c r="A209" s="1" t="s">
        <v>119</v>
      </c>
      <c r="B209" s="1" t="s">
        <v>74</v>
      </c>
      <c r="C209" s="1">
        <v>212559.4063</v>
      </c>
      <c r="D209" s="1">
        <v>87.072998049999995</v>
      </c>
      <c r="E209" s="1">
        <v>99.320852990000006</v>
      </c>
      <c r="F209" s="1">
        <v>0.12654900390000001</v>
      </c>
      <c r="G209" s="1">
        <v>0.55259800989999996</v>
      </c>
      <c r="H209" s="1" t="s">
        <v>29</v>
      </c>
      <c r="I209" s="1">
        <v>95.945259530000001</v>
      </c>
      <c r="J209" s="1">
        <v>0.97895091540000001</v>
      </c>
      <c r="K209" s="1">
        <v>3.0757895510000002</v>
      </c>
      <c r="L209" s="1" t="s">
        <v>29</v>
      </c>
      <c r="M209" s="1">
        <v>99.822001310000005</v>
      </c>
      <c r="N209" s="1">
        <v>0</v>
      </c>
      <c r="O209" s="1">
        <v>0.1779986949</v>
      </c>
      <c r="P209" s="1">
        <v>0</v>
      </c>
      <c r="Q209" s="1">
        <f t="shared" si="0"/>
        <v>16</v>
      </c>
      <c r="R209" s="1">
        <f t="shared" si="1"/>
        <v>185081.84770269057</v>
      </c>
      <c r="S209" s="1">
        <f t="shared" si="2"/>
        <v>12.927001950000005</v>
      </c>
      <c r="T209" s="1">
        <f t="shared" si="3"/>
        <v>213</v>
      </c>
      <c r="U209" s="1">
        <v>99.320852990000006</v>
      </c>
      <c r="V209" s="1">
        <f t="shared" si="4"/>
        <v>87</v>
      </c>
      <c r="W209" s="1">
        <f t="shared" si="5"/>
        <v>13</v>
      </c>
    </row>
    <row r="210" spans="1:37" ht="12.5">
      <c r="A210" s="1" t="s">
        <v>263</v>
      </c>
      <c r="B210" s="1" t="s">
        <v>107</v>
      </c>
      <c r="C210" s="1">
        <v>220892.32810000001</v>
      </c>
      <c r="D210" s="1">
        <v>37.165000919999997</v>
      </c>
      <c r="E210" s="1">
        <v>90.148965079999996</v>
      </c>
      <c r="F210" s="1">
        <v>3.8222795249999999</v>
      </c>
      <c r="G210" s="1">
        <v>4.4133075740000001</v>
      </c>
      <c r="H210" s="1">
        <v>1.61544782</v>
      </c>
      <c r="I210" s="1">
        <v>88.599860759999999</v>
      </c>
      <c r="J210" s="1">
        <v>3.852278117</v>
      </c>
      <c r="K210" s="1">
        <v>5.1745965089999997</v>
      </c>
      <c r="L210" s="1">
        <v>2.3732646169999998</v>
      </c>
      <c r="M210" s="1">
        <v>92.768049849999997</v>
      </c>
      <c r="N210" s="1">
        <v>3.7715611619999998</v>
      </c>
      <c r="O210" s="1">
        <v>3.126184571</v>
      </c>
      <c r="P210" s="1">
        <v>0.33420442230000003</v>
      </c>
      <c r="Q210" s="1">
        <f t="shared" si="0"/>
        <v>16</v>
      </c>
      <c r="R210" s="1">
        <f t="shared" si="1"/>
        <v>82094.635770574416</v>
      </c>
      <c r="S210" s="1">
        <f t="shared" si="2"/>
        <v>62.834999080000003</v>
      </c>
      <c r="T210" s="1">
        <f t="shared" si="3"/>
        <v>221</v>
      </c>
      <c r="U210" s="1">
        <v>90.148965079999996</v>
      </c>
      <c r="V210" s="1">
        <f t="shared" si="4"/>
        <v>37</v>
      </c>
      <c r="W210" s="1">
        <f t="shared" si="5"/>
        <v>63</v>
      </c>
    </row>
    <row r="211" spans="1:37" ht="12.5">
      <c r="A211" s="1" t="s">
        <v>226</v>
      </c>
      <c r="B211" s="1" t="s">
        <v>107</v>
      </c>
      <c r="C211" s="1">
        <v>273523.625</v>
      </c>
      <c r="D211" s="1">
        <v>56.640998840000002</v>
      </c>
      <c r="E211" s="1">
        <v>92.415349610000007</v>
      </c>
      <c r="F211" s="1">
        <v>0.85547463349999997</v>
      </c>
      <c r="G211" s="1">
        <v>5.553871666</v>
      </c>
      <c r="H211" s="1">
        <v>1.175304087</v>
      </c>
      <c r="I211" s="1">
        <v>85.667962380000006</v>
      </c>
      <c r="J211" s="1">
        <v>1.1780912299999999</v>
      </c>
      <c r="K211" s="1">
        <v>10.61491462</v>
      </c>
      <c r="L211" s="1">
        <v>2.539031772</v>
      </c>
      <c r="M211" s="1">
        <v>97.580512069999997</v>
      </c>
      <c r="N211" s="1">
        <v>0.60850983449999996</v>
      </c>
      <c r="O211" s="1">
        <v>1.679615139</v>
      </c>
      <c r="P211" s="1">
        <v>0.13136295880000001</v>
      </c>
      <c r="Q211" s="1">
        <f t="shared" si="0"/>
        <v>16</v>
      </c>
      <c r="R211" s="1">
        <f t="shared" si="1"/>
        <v>154926.51326337596</v>
      </c>
      <c r="S211" s="1">
        <f t="shared" si="2"/>
        <v>43.359001159999998</v>
      </c>
      <c r="T211" s="1">
        <f t="shared" si="3"/>
        <v>274</v>
      </c>
      <c r="U211" s="1">
        <v>92.415349610000007</v>
      </c>
      <c r="V211" s="1">
        <f t="shared" si="4"/>
        <v>57</v>
      </c>
      <c r="W211" s="1">
        <f t="shared" si="5"/>
        <v>43</v>
      </c>
    </row>
    <row r="212" spans="1:37" ht="12.5">
      <c r="A212" s="1" t="s">
        <v>132</v>
      </c>
      <c r="B212" s="1" t="s">
        <v>69</v>
      </c>
      <c r="C212" s="1">
        <v>331002.65629999997</v>
      </c>
      <c r="D212" s="1">
        <v>82.664001459999994</v>
      </c>
      <c r="E212" s="1">
        <v>99.883526680000003</v>
      </c>
      <c r="F212" s="1">
        <v>0</v>
      </c>
      <c r="G212" s="1">
        <v>0.1164733182</v>
      </c>
      <c r="H212" s="1">
        <v>0</v>
      </c>
      <c r="I212" s="1">
        <v>99.670787340000004</v>
      </c>
      <c r="J212" s="1">
        <v>0</v>
      </c>
      <c r="K212" s="1">
        <v>0.3292126628</v>
      </c>
      <c r="L212" s="1">
        <v>0</v>
      </c>
      <c r="M212" s="1">
        <v>99.928144470000007</v>
      </c>
      <c r="N212" s="1">
        <v>0</v>
      </c>
      <c r="O212" s="1">
        <v>7.1855529599999995E-2</v>
      </c>
      <c r="P212" s="1">
        <v>0</v>
      </c>
      <c r="Q212" s="1">
        <f t="shared" si="0"/>
        <v>16</v>
      </c>
      <c r="R212" s="1">
        <f t="shared" si="1"/>
        <v>273620.04063647072</v>
      </c>
      <c r="S212" s="1">
        <f t="shared" si="2"/>
        <v>17.335998540000006</v>
      </c>
      <c r="T212" s="1">
        <f t="shared" si="3"/>
        <v>332</v>
      </c>
      <c r="U212" s="1">
        <v>99.883526680000003</v>
      </c>
      <c r="V212" s="1">
        <f t="shared" si="4"/>
        <v>83</v>
      </c>
      <c r="W212" s="1">
        <f t="shared" si="5"/>
        <v>17</v>
      </c>
    </row>
    <row r="213" spans="1:37" ht="12.5">
      <c r="A213" s="1" t="s">
        <v>266</v>
      </c>
      <c r="B213" s="1" t="s">
        <v>107</v>
      </c>
      <c r="C213" s="1">
        <v>1380004.375</v>
      </c>
      <c r="D213" s="1">
        <v>34.926002500000003</v>
      </c>
      <c r="E213" s="1">
        <v>90.489525029999996</v>
      </c>
      <c r="F213" s="1">
        <v>4.9836025619999997</v>
      </c>
      <c r="G213" s="1">
        <v>3.9631539450000002</v>
      </c>
      <c r="H213" s="1">
        <v>0.56371846260000003</v>
      </c>
      <c r="I213" s="1">
        <v>88.782503129999995</v>
      </c>
      <c r="J213" s="1">
        <v>5.9022100540000002</v>
      </c>
      <c r="K213" s="1">
        <v>4.5763757299999996</v>
      </c>
      <c r="L213" s="1">
        <v>0.73891108559999996</v>
      </c>
      <c r="M213" s="1">
        <v>93.670036300000007</v>
      </c>
      <c r="N213" s="1">
        <v>3.2720560270000001</v>
      </c>
      <c r="O213" s="1">
        <v>2.8206075230000001</v>
      </c>
      <c r="P213" s="1">
        <v>0.2373001538</v>
      </c>
      <c r="Q213" s="1">
        <f t="shared" si="0"/>
        <v>16</v>
      </c>
      <c r="R213" s="1">
        <f t="shared" si="1"/>
        <v>481980.3625126094</v>
      </c>
      <c r="S213" s="1">
        <f t="shared" si="2"/>
        <v>65.07399749999999</v>
      </c>
      <c r="T213" s="1">
        <f t="shared" si="3"/>
        <v>1381</v>
      </c>
      <c r="U213" s="1">
        <v>90.489525029999996</v>
      </c>
      <c r="V213" s="1">
        <f t="shared" si="4"/>
        <v>35</v>
      </c>
      <c r="W213" s="1">
        <f t="shared" si="5"/>
        <v>65</v>
      </c>
    </row>
    <row r="214" spans="1:37" ht="12.5">
      <c r="A214" s="1" t="s">
        <v>212</v>
      </c>
      <c r="B214" s="1" t="s">
        <v>74</v>
      </c>
      <c r="C214" s="1">
        <v>1463140.5</v>
      </c>
      <c r="D214" s="1">
        <v>61.713088990000003</v>
      </c>
      <c r="E214" s="1">
        <v>94.261110590000001</v>
      </c>
      <c r="F214" s="1">
        <v>0.8147213297</v>
      </c>
      <c r="G214" s="1">
        <v>4.725451938</v>
      </c>
      <c r="H214" s="1">
        <v>0.19871614409999999</v>
      </c>
      <c r="I214" s="1">
        <v>89.661233510000002</v>
      </c>
      <c r="J214" s="1">
        <v>1.832679086</v>
      </c>
      <c r="K214" s="1">
        <v>8.5060874089999992</v>
      </c>
      <c r="L214" s="1">
        <v>0</v>
      </c>
      <c r="M214" s="1">
        <v>97.11488267</v>
      </c>
      <c r="N214" s="1">
        <v>0.1831784927</v>
      </c>
      <c r="O214" s="1">
        <v>2.3799388399999999</v>
      </c>
      <c r="P214" s="1">
        <v>0.32200000000000001</v>
      </c>
      <c r="Q214" s="1">
        <f t="shared" si="0"/>
        <v>16</v>
      </c>
      <c r="R214" s="1">
        <f t="shared" si="1"/>
        <v>902949.19881373097</v>
      </c>
      <c r="S214" s="1">
        <f t="shared" si="2"/>
        <v>38.286911009999997</v>
      </c>
      <c r="T214" s="1">
        <f t="shared" si="3"/>
        <v>1464</v>
      </c>
      <c r="U214" s="1">
        <v>94.261110590000001</v>
      </c>
      <c r="V214" s="1">
        <f t="shared" si="4"/>
        <v>62</v>
      </c>
      <c r="W214" s="1">
        <f t="shared" si="5"/>
        <v>38</v>
      </c>
    </row>
    <row r="215" spans="1:37" ht="12.5">
      <c r="A215" s="1" t="s">
        <v>275</v>
      </c>
      <c r="C215" s="1">
        <f>SUM(C2:C214)</f>
        <v>7786695.1077512307</v>
      </c>
      <c r="E215">
        <f>AVERAGE(E2:E214)</f>
        <v>89.864782531469217</v>
      </c>
      <c r="F215">
        <f t="shared" ref="F215:P215" si="6">AVERAGE(F2:F214)</f>
        <v>3.8652653448826966</v>
      </c>
      <c r="G215">
        <f t="shared" si="6"/>
        <v>4.4180106537201356</v>
      </c>
      <c r="H215">
        <f t="shared" si="6"/>
        <v>1.9154885837974702</v>
      </c>
      <c r="I215">
        <f t="shared" si="6"/>
        <v>81.335918026097559</v>
      </c>
      <c r="J215">
        <f t="shared" si="6"/>
        <v>5.8365625479550118</v>
      </c>
      <c r="K215">
        <f t="shared" si="6"/>
        <v>8.7322614844439066</v>
      </c>
      <c r="L215">
        <f t="shared" si="6"/>
        <v>4.2240396376764142</v>
      </c>
      <c r="M215">
        <f t="shared" si="6"/>
        <v>94.689839747999997</v>
      </c>
      <c r="N215">
        <f t="shared" si="6"/>
        <v>3.281838653755258</v>
      </c>
      <c r="O215">
        <f t="shared" si="6"/>
        <v>1.7187852095175633</v>
      </c>
      <c r="P215">
        <f t="shared" si="6"/>
        <v>0.31311484427656072</v>
      </c>
      <c r="R215" s="1">
        <f>SUM(R2:R214)</f>
        <v>4375308.4625498885</v>
      </c>
      <c r="Z215" s="1" t="s">
        <v>52</v>
      </c>
      <c r="AA215" s="1" t="s">
        <v>53</v>
      </c>
      <c r="AB215" s="1" t="s">
        <v>55</v>
      </c>
      <c r="AC215" s="1" t="s">
        <v>56</v>
      </c>
      <c r="AD215" s="1" t="s">
        <v>52</v>
      </c>
      <c r="AE215" s="1" t="s">
        <v>53</v>
      </c>
      <c r="AF215" s="1" t="s">
        <v>55</v>
      </c>
      <c r="AG215" s="1" t="s">
        <v>56</v>
      </c>
      <c r="AH215" s="1" t="s">
        <v>52</v>
      </c>
      <c r="AI215" s="1" t="s">
        <v>53</v>
      </c>
      <c r="AJ215" s="1" t="s">
        <v>55</v>
      </c>
      <c r="AK215" s="1" t="s">
        <v>56</v>
      </c>
    </row>
    <row r="216" spans="1:37" ht="12.5">
      <c r="D216" s="8"/>
      <c r="E216" s="8"/>
      <c r="F216" s="8"/>
      <c r="G216" s="8"/>
      <c r="H216" s="8"/>
      <c r="I216" s="8"/>
      <c r="J216" s="8"/>
      <c r="L216" s="8"/>
      <c r="M216" s="8"/>
      <c r="Y216" s="1" t="s">
        <v>57</v>
      </c>
      <c r="Z216" s="1">
        <f>MAX(U2:U214)</f>
        <v>100</v>
      </c>
      <c r="AA216" s="1">
        <f t="shared" ref="AA216:AK216" si="7">MAX(F2:F214)</f>
        <v>37.426962869999997</v>
      </c>
      <c r="AB216" s="1">
        <f t="shared" si="7"/>
        <v>33.53911377</v>
      </c>
      <c r="AC216" s="1">
        <f t="shared" si="7"/>
        <v>30.369793080000001</v>
      </c>
      <c r="AD216" s="1">
        <f t="shared" si="7"/>
        <v>100</v>
      </c>
      <c r="AE216" s="1">
        <f t="shared" si="7"/>
        <v>42.164380680000001</v>
      </c>
      <c r="AF216" s="1">
        <f t="shared" si="7"/>
        <v>51.215981669999998</v>
      </c>
      <c r="AG216" s="1">
        <f t="shared" si="7"/>
        <v>40.518132420000001</v>
      </c>
      <c r="AH216" s="1">
        <f t="shared" si="7"/>
        <v>100</v>
      </c>
      <c r="AI216" s="1">
        <f t="shared" si="7"/>
        <v>34.279780090000003</v>
      </c>
      <c r="AJ216" s="1">
        <f t="shared" si="7"/>
        <v>19.835806810000001</v>
      </c>
      <c r="AK216" s="1">
        <f t="shared" si="7"/>
        <v>6.3621605319999999</v>
      </c>
    </row>
    <row r="217" spans="1:37" ht="12.5">
      <c r="Y217" s="1" t="s">
        <v>59</v>
      </c>
      <c r="Z217" s="1">
        <f>MIN(U2:U214)</f>
        <v>37.202402050000003</v>
      </c>
      <c r="AA217" s="1">
        <f t="shared" ref="AA217:AK217" si="8">MIN(F2:F214)</f>
        <v>0</v>
      </c>
      <c r="AB217" s="1">
        <f t="shared" si="8"/>
        <v>0</v>
      </c>
      <c r="AC217" s="1">
        <f t="shared" si="8"/>
        <v>0</v>
      </c>
      <c r="AD217" s="1">
        <f t="shared" si="8"/>
        <v>21.98279234</v>
      </c>
      <c r="AE217" s="1">
        <f t="shared" si="8"/>
        <v>0</v>
      </c>
      <c r="AF217" s="1">
        <f t="shared" si="8"/>
        <v>0</v>
      </c>
      <c r="AG217" s="1">
        <f t="shared" si="8"/>
        <v>0</v>
      </c>
      <c r="AH217" s="1">
        <f t="shared" si="8"/>
        <v>49.661664950000002</v>
      </c>
      <c r="AI217" s="1">
        <f t="shared" si="8"/>
        <v>0</v>
      </c>
      <c r="AJ217" s="1">
        <f t="shared" si="8"/>
        <v>0</v>
      </c>
      <c r="AK217" s="1">
        <f t="shared" si="8"/>
        <v>0</v>
      </c>
    </row>
    <row r="218" spans="1:37" ht="12.5">
      <c r="Y218" s="1" t="s">
        <v>61</v>
      </c>
      <c r="Z218" s="1">
        <f>AVERAGEA(U2:U214)</f>
        <v>89.02098166779345</v>
      </c>
      <c r="AA218" s="1">
        <f t="shared" ref="AA218:AK218" si="9">AVERAGEA(F2:F214)</f>
        <v>3.8289717735692439</v>
      </c>
      <c r="AB218" s="1">
        <f t="shared" si="9"/>
        <v>4.376526985610087</v>
      </c>
      <c r="AC218" s="1">
        <f t="shared" si="9"/>
        <v>1.8345524464539151</v>
      </c>
      <c r="AD218" s="1">
        <f t="shared" si="9"/>
        <v>62.624838292394365</v>
      </c>
      <c r="AE218" s="1">
        <f t="shared" si="9"/>
        <v>4.4938791449043283</v>
      </c>
      <c r="AF218" s="1">
        <f t="shared" si="9"/>
        <v>6.7234313776938999</v>
      </c>
      <c r="AG218" s="1">
        <f t="shared" si="9"/>
        <v>3.1531563492514079</v>
      </c>
      <c r="AH218" s="1">
        <f t="shared" si="9"/>
        <v>77.7968166943662</v>
      </c>
      <c r="AI218" s="1">
        <f t="shared" si="9"/>
        <v>2.6963463117707516</v>
      </c>
      <c r="AJ218" s="1">
        <f t="shared" si="9"/>
        <v>1.4121474726083267</v>
      </c>
      <c r="AK218" s="1">
        <f t="shared" si="9"/>
        <v>0.2543139345532629</v>
      </c>
    </row>
    <row r="219" spans="1:37" ht="12.5">
      <c r="Y219" s="1" t="s">
        <v>62</v>
      </c>
      <c r="Z219" s="1">
        <f>MEDIAN(U2:U214)</f>
        <v>97.348139700000004</v>
      </c>
      <c r="AA219" s="1">
        <f t="shared" ref="AA219:AK219" si="10">MEDIAN(F2:F214)</f>
        <v>0.4707829181</v>
      </c>
      <c r="AB219" s="1">
        <f t="shared" si="10"/>
        <v>0.8536474704</v>
      </c>
      <c r="AC219" s="1">
        <f t="shared" si="10"/>
        <v>0</v>
      </c>
      <c r="AD219" s="1">
        <f t="shared" si="10"/>
        <v>90.731616825000003</v>
      </c>
      <c r="AE219" s="1">
        <f t="shared" si="10"/>
        <v>1.8123308345</v>
      </c>
      <c r="AF219" s="1">
        <f t="shared" si="10"/>
        <v>3.2297497130000004</v>
      </c>
      <c r="AG219" s="1">
        <f t="shared" si="10"/>
        <v>0.21968973750000001</v>
      </c>
      <c r="AH219" s="1">
        <f t="shared" si="10"/>
        <v>98.106628490000006</v>
      </c>
      <c r="AI219" s="1">
        <f t="shared" si="10"/>
        <v>0.5</v>
      </c>
      <c r="AJ219" s="1">
        <f t="shared" si="10"/>
        <v>0.34987400289999998</v>
      </c>
      <c r="AK219" s="1">
        <f t="shared" si="10"/>
        <v>0</v>
      </c>
    </row>
    <row r="220" spans="1:37" ht="12.5">
      <c r="Y220" s="1" t="s">
        <v>63</v>
      </c>
      <c r="Z220" s="1">
        <f>MODE(U2:U214)</f>
        <v>100</v>
      </c>
      <c r="AA220" s="1">
        <f t="shared" ref="AA220:AK220" si="11">MODE(F2:F214)</f>
        <v>0</v>
      </c>
      <c r="AB220" s="1">
        <f t="shared" si="11"/>
        <v>0</v>
      </c>
      <c r="AC220" s="1">
        <f t="shared" si="11"/>
        <v>0</v>
      </c>
      <c r="AD220" s="1">
        <f t="shared" si="11"/>
        <v>100</v>
      </c>
      <c r="AE220" s="1">
        <f t="shared" si="11"/>
        <v>0</v>
      </c>
      <c r="AF220" s="1">
        <f t="shared" si="11"/>
        <v>0</v>
      </c>
      <c r="AG220" s="1">
        <f t="shared" si="11"/>
        <v>0</v>
      </c>
      <c r="AH220" s="1">
        <f t="shared" si="11"/>
        <v>100</v>
      </c>
      <c r="AI220" s="1">
        <f t="shared" si="11"/>
        <v>0</v>
      </c>
      <c r="AJ220" s="1">
        <f t="shared" si="11"/>
        <v>0</v>
      </c>
      <c r="AK220" s="1">
        <f t="shared" si="11"/>
        <v>0</v>
      </c>
    </row>
    <row r="221" spans="1:37" ht="12.5">
      <c r="Y221" s="1" t="s">
        <v>65</v>
      </c>
      <c r="Z221" s="1">
        <f>QUARTILE((U2:U214),1)</f>
        <v>85.643310960000008</v>
      </c>
      <c r="AA221" s="1">
        <f t="shared" ref="AA221:AK221" si="12">QUARTILE((F2:F214),1)</f>
        <v>0</v>
      </c>
      <c r="AB221" s="1">
        <f t="shared" si="12"/>
        <v>3.3906222644999998E-2</v>
      </c>
      <c r="AC221" s="1">
        <f t="shared" si="12"/>
        <v>0</v>
      </c>
      <c r="AD221" s="1">
        <f t="shared" si="12"/>
        <v>64.825421094999996</v>
      </c>
      <c r="AE221" s="1">
        <f t="shared" si="12"/>
        <v>0</v>
      </c>
      <c r="AF221" s="1">
        <f t="shared" si="12"/>
        <v>0.15841091692500001</v>
      </c>
      <c r="AG221" s="1">
        <f t="shared" si="12"/>
        <v>0</v>
      </c>
      <c r="AH221" s="1">
        <f t="shared" si="12"/>
        <v>92.562877520000001</v>
      </c>
      <c r="AI221" s="1">
        <f t="shared" si="12"/>
        <v>0</v>
      </c>
      <c r="AJ221" s="1">
        <f t="shared" si="12"/>
        <v>0</v>
      </c>
      <c r="AK221" s="1">
        <f t="shared" si="12"/>
        <v>0</v>
      </c>
    </row>
    <row r="222" spans="1:37" ht="12.5">
      <c r="Y222" s="1" t="s">
        <v>66</v>
      </c>
      <c r="Z222" s="15">
        <f>QUARTILE((U2:U214),3)</f>
        <v>99.887525240000002</v>
      </c>
      <c r="AA222" s="15">
        <f t="shared" ref="AA222:AK222" si="13">QUARTILE((F2:F214),3)</f>
        <v>4.8512191565</v>
      </c>
      <c r="AB222" s="15">
        <f t="shared" si="13"/>
        <v>5.2793099219999995</v>
      </c>
      <c r="AC222" s="15">
        <f t="shared" si="13"/>
        <v>1.87830199325</v>
      </c>
      <c r="AD222" s="15">
        <f t="shared" si="13"/>
        <v>99.119242487500003</v>
      </c>
      <c r="AE222" s="15">
        <f t="shared" si="13"/>
        <v>8.5531751254999993</v>
      </c>
      <c r="AF222" s="15">
        <f t="shared" si="13"/>
        <v>13.2663392975</v>
      </c>
      <c r="AG222" s="15">
        <f t="shared" si="13"/>
        <v>6.157471481</v>
      </c>
      <c r="AH222" s="15">
        <f t="shared" si="13"/>
        <v>99.949418030000004</v>
      </c>
      <c r="AI222" s="15">
        <f t="shared" si="13"/>
        <v>3.9663471834999999</v>
      </c>
      <c r="AJ222" s="15">
        <f t="shared" si="13"/>
        <v>2.0590013014999999</v>
      </c>
      <c r="AK222" s="15">
        <f t="shared" si="13"/>
        <v>0.15970568490000001</v>
      </c>
    </row>
    <row r="223" spans="1:37" ht="12.5">
      <c r="Y223" s="1" t="s">
        <v>67</v>
      </c>
      <c r="Z223" s="1">
        <f t="shared" ref="Z223:AK223" si="14">Z222-Z221</f>
        <v>14.244214279999994</v>
      </c>
      <c r="AA223" s="1">
        <f t="shared" si="14"/>
        <v>4.8512191565</v>
      </c>
      <c r="AB223" s="1">
        <f t="shared" si="14"/>
        <v>5.2454036993549993</v>
      </c>
      <c r="AC223" s="1">
        <f t="shared" si="14"/>
        <v>1.87830199325</v>
      </c>
      <c r="AD223" s="1">
        <f t="shared" si="14"/>
        <v>34.293821392500007</v>
      </c>
      <c r="AE223" s="1">
        <f t="shared" si="14"/>
        <v>8.5531751254999993</v>
      </c>
      <c r="AF223" s="1">
        <f t="shared" si="14"/>
        <v>13.107928380575</v>
      </c>
      <c r="AG223" s="1">
        <f t="shared" si="14"/>
        <v>6.157471481</v>
      </c>
      <c r="AH223" s="1">
        <f t="shared" si="14"/>
        <v>7.3865405100000032</v>
      </c>
      <c r="AI223" s="1">
        <f t="shared" si="14"/>
        <v>3.9663471834999999</v>
      </c>
      <c r="AJ223" s="1">
        <f t="shared" si="14"/>
        <v>2.0590013014999999</v>
      </c>
      <c r="AK223" s="1">
        <f t="shared" si="14"/>
        <v>0.15970568490000001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00"/>
  <sheetViews>
    <sheetView tabSelected="1" topLeftCell="A7" workbookViewId="0">
      <selection activeCell="D18" sqref="D18"/>
    </sheetView>
  </sheetViews>
  <sheetFormatPr defaultColWidth="12.6328125" defaultRowHeight="15.75" customHeight="1"/>
  <cols>
    <col min="1" max="1" width="38.90625" customWidth="1"/>
    <col min="2" max="2" width="15.36328125" customWidth="1"/>
    <col min="3" max="3" width="14" customWidth="1"/>
    <col min="4" max="4" width="33.6328125" customWidth="1"/>
    <col min="5" max="5" width="14.453125" customWidth="1"/>
    <col min="6" max="6" width="22.26953125" customWidth="1"/>
  </cols>
  <sheetData>
    <row r="1" spans="1:13" ht="15.75" customHeight="1">
      <c r="A1" s="2"/>
      <c r="B1" s="2" t="s">
        <v>10</v>
      </c>
      <c r="C1" s="1" t="s">
        <v>15</v>
      </c>
      <c r="E1" s="1"/>
      <c r="F1" s="3"/>
    </row>
    <row r="2" spans="1:13" ht="15.75" customHeight="1">
      <c r="A2" s="2" t="s">
        <v>24</v>
      </c>
      <c r="B2" s="4">
        <v>7786695108</v>
      </c>
      <c r="C2" s="5">
        <v>7821000000</v>
      </c>
    </row>
    <row r="3" spans="1:13" ht="15.75" customHeight="1">
      <c r="A3" s="2" t="s">
        <v>30</v>
      </c>
      <c r="B3" s="6">
        <f t="shared" ref="B3:C3" si="0">((55/100)*B2)</f>
        <v>4282682309.4000006</v>
      </c>
      <c r="C3" s="5">
        <f t="shared" si="0"/>
        <v>4301550000</v>
      </c>
      <c r="D3" s="1" t="s">
        <v>31</v>
      </c>
      <c r="E3" s="7">
        <v>0.55000000000000004</v>
      </c>
    </row>
    <row r="4" spans="1:13" ht="15.75" customHeight="1">
      <c r="A4" s="2" t="s">
        <v>32</v>
      </c>
      <c r="B4" s="4">
        <v>4375308463</v>
      </c>
      <c r="D4" s="1" t="s">
        <v>33</v>
      </c>
      <c r="E4" s="3">
        <f>((B4/B2)*100)</f>
        <v>56.189543860589033</v>
      </c>
      <c r="F4" s="1" t="s">
        <v>34</v>
      </c>
    </row>
    <row r="5" spans="1:13" ht="15.75" customHeight="1">
      <c r="A5" s="2"/>
    </row>
    <row r="6" spans="1:13" ht="15.75" customHeight="1">
      <c r="A6" s="2"/>
      <c r="B6" s="3"/>
    </row>
    <row r="7" spans="1:13" ht="15.75" customHeight="1">
      <c r="B7" s="1" t="s">
        <v>35</v>
      </c>
    </row>
    <row r="8" spans="1:13" ht="15.75" customHeight="1">
      <c r="A8" s="2" t="s">
        <v>36</v>
      </c>
      <c r="B8" s="1">
        <f>(ABS((B2-C2)/((B2+C2)/2))*100)</f>
        <v>0.43958946868992105</v>
      </c>
      <c r="C8" s="1" t="s">
        <v>34</v>
      </c>
    </row>
    <row r="9" spans="1:13" ht="15.75" customHeight="1">
      <c r="A9" s="2" t="s">
        <v>39</v>
      </c>
      <c r="B9" s="3">
        <f>(ABS((B4-B3)/((B4+B3)/2))*100)</f>
        <v>2.1396685682612109</v>
      </c>
      <c r="C9" s="1" t="s">
        <v>34</v>
      </c>
    </row>
    <row r="10" spans="1:13" ht="15.75" customHeight="1">
      <c r="A10" s="2" t="s">
        <v>42</v>
      </c>
      <c r="B10" s="3">
        <f>(ABS((B4-C3)/((B4+C3)/2))*100)</f>
        <v>1.7001190768415095</v>
      </c>
      <c r="C10" s="1" t="s">
        <v>34</v>
      </c>
    </row>
    <row r="11" spans="1:13" ht="15.75" customHeight="1">
      <c r="A11" s="2" t="s">
        <v>44</v>
      </c>
      <c r="B11" s="3">
        <f>(ABS((C3-B3)/((C3+B3)/2))*100)</f>
        <v>0.43958946868990767</v>
      </c>
      <c r="C11" s="1" t="s">
        <v>34</v>
      </c>
    </row>
    <row r="12" spans="1:13" ht="15.75" customHeight="1">
      <c r="A12" s="2"/>
      <c r="B12" s="16" t="s">
        <v>48</v>
      </c>
      <c r="C12" s="17"/>
      <c r="D12" s="17"/>
      <c r="E12" s="17"/>
      <c r="F12" s="18" t="s">
        <v>50</v>
      </c>
      <c r="G12" s="17"/>
      <c r="H12" s="17"/>
      <c r="I12" s="17"/>
      <c r="J12" s="18" t="s">
        <v>51</v>
      </c>
      <c r="K12" s="17"/>
      <c r="L12" s="17"/>
      <c r="M12" s="17"/>
    </row>
    <row r="13" spans="1:13" ht="15.75" customHeight="1">
      <c r="A13" s="2"/>
      <c r="B13" s="3" t="s">
        <v>52</v>
      </c>
      <c r="C13" s="1" t="s">
        <v>53</v>
      </c>
      <c r="D13" s="1" t="s">
        <v>55</v>
      </c>
      <c r="E13" s="1" t="s">
        <v>56</v>
      </c>
      <c r="F13" s="1" t="s">
        <v>52</v>
      </c>
      <c r="G13" s="1" t="s">
        <v>53</v>
      </c>
      <c r="H13" s="1" t="s">
        <v>55</v>
      </c>
      <c r="I13" s="1" t="s">
        <v>56</v>
      </c>
      <c r="J13" s="1" t="s">
        <v>52</v>
      </c>
      <c r="K13" s="1" t="s">
        <v>53</v>
      </c>
      <c r="L13" s="1" t="s">
        <v>55</v>
      </c>
      <c r="M13" s="1" t="s">
        <v>56</v>
      </c>
    </row>
    <row r="14" spans="1:13" ht="15.75" customHeight="1">
      <c r="A14" s="2" t="s">
        <v>57</v>
      </c>
      <c r="B14" s="3">
        <v>100</v>
      </c>
      <c r="C14" s="1">
        <v>37.426962869999997</v>
      </c>
      <c r="D14" s="1">
        <v>33.53911377</v>
      </c>
      <c r="E14" s="1">
        <v>30.369793080000001</v>
      </c>
      <c r="F14" s="1">
        <v>100</v>
      </c>
      <c r="G14" s="1">
        <v>42.164380680000001</v>
      </c>
      <c r="H14" s="1">
        <v>51.215981669999998</v>
      </c>
      <c r="I14" s="1">
        <v>40.518132420000001</v>
      </c>
      <c r="J14" s="1">
        <v>100</v>
      </c>
      <c r="K14" s="1">
        <v>34.279780090000003</v>
      </c>
      <c r="L14" s="1">
        <v>19.835806810000001</v>
      </c>
      <c r="M14" s="1">
        <v>6.3621605319999999</v>
      </c>
    </row>
    <row r="15" spans="1:13" ht="15.75" customHeight="1">
      <c r="A15" s="2" t="s">
        <v>59</v>
      </c>
      <c r="B15" s="3">
        <v>37.202402050000003</v>
      </c>
      <c r="C15" s="1">
        <v>0</v>
      </c>
      <c r="D15" s="1">
        <v>0</v>
      </c>
      <c r="E15" s="1">
        <v>0</v>
      </c>
      <c r="F15" s="1">
        <v>21.98279234</v>
      </c>
      <c r="G15" s="1">
        <v>0</v>
      </c>
      <c r="H15" s="1">
        <v>0</v>
      </c>
      <c r="I15" s="1">
        <v>0</v>
      </c>
      <c r="J15" s="1">
        <v>49.661664950000002</v>
      </c>
      <c r="K15" s="1">
        <v>0</v>
      </c>
      <c r="L15" s="1">
        <v>0</v>
      </c>
      <c r="M15" s="1">
        <v>0</v>
      </c>
    </row>
    <row r="16" spans="1:13" ht="15.75" customHeight="1">
      <c r="A16" s="2" t="s">
        <v>61</v>
      </c>
      <c r="B16" s="3">
        <v>89.864782531469217</v>
      </c>
      <c r="C16" s="1">
        <v>3.8652653448826966</v>
      </c>
      <c r="D16" s="1">
        <v>4.4180106537201356</v>
      </c>
      <c r="E16" s="1">
        <v>1.9154885837974702</v>
      </c>
      <c r="F16" s="1">
        <v>81.335918026097559</v>
      </c>
      <c r="G16" s="1">
        <v>5.8365625479550118</v>
      </c>
      <c r="H16" s="1">
        <v>8.7322614844439066</v>
      </c>
      <c r="I16" s="1">
        <v>4.2240396376764142</v>
      </c>
      <c r="J16" s="1">
        <v>94.689839747999997</v>
      </c>
      <c r="K16" s="1">
        <v>3.281838653755258</v>
      </c>
      <c r="L16" s="1">
        <v>1.7187852095175633</v>
      </c>
      <c r="M16" s="1">
        <v>0.31311484427656072</v>
      </c>
    </row>
    <row r="17" spans="1:13" ht="15.75" customHeight="1">
      <c r="A17" s="2" t="s">
        <v>62</v>
      </c>
      <c r="B17" s="3">
        <v>97.348139700000004</v>
      </c>
      <c r="C17" s="1">
        <v>0.4707829181</v>
      </c>
      <c r="D17" s="1">
        <v>0.8536474704</v>
      </c>
      <c r="E17" s="1">
        <v>0</v>
      </c>
      <c r="F17" s="1">
        <v>90.731616825000003</v>
      </c>
      <c r="G17" s="1">
        <v>1.8123308345</v>
      </c>
      <c r="H17" s="1">
        <v>3.2297497130000004</v>
      </c>
      <c r="I17" s="1">
        <v>0.21968973750000001</v>
      </c>
      <c r="J17" s="1">
        <v>98.106628490000006</v>
      </c>
      <c r="K17" s="1">
        <v>0.5</v>
      </c>
      <c r="L17" s="1">
        <v>0.34987400289999998</v>
      </c>
      <c r="M17" s="1">
        <v>0</v>
      </c>
    </row>
    <row r="18" spans="1:13" ht="15.75" customHeight="1">
      <c r="A18" s="2" t="s">
        <v>63</v>
      </c>
      <c r="B18" s="3">
        <v>100</v>
      </c>
      <c r="C18" s="1">
        <v>0</v>
      </c>
      <c r="D18" s="1">
        <v>0</v>
      </c>
      <c r="E18" s="1">
        <v>0</v>
      </c>
      <c r="F18" s="1">
        <v>100</v>
      </c>
      <c r="G18" s="1">
        <v>0</v>
      </c>
      <c r="H18" s="1">
        <v>0</v>
      </c>
      <c r="I18" s="1">
        <v>0</v>
      </c>
      <c r="J18" s="1">
        <v>100</v>
      </c>
      <c r="K18" s="1">
        <v>0</v>
      </c>
      <c r="L18" s="1">
        <v>0</v>
      </c>
      <c r="M18" s="1">
        <v>0</v>
      </c>
    </row>
    <row r="19" spans="1:13" ht="15.75" customHeight="1">
      <c r="A19" s="2" t="s">
        <v>65</v>
      </c>
      <c r="B19" s="3">
        <v>85.643310960000008</v>
      </c>
      <c r="C19" s="1">
        <v>0</v>
      </c>
      <c r="D19" s="1">
        <v>3.3906222644999998E-2</v>
      </c>
      <c r="E19" s="1">
        <v>0</v>
      </c>
      <c r="F19" s="1">
        <v>64.825421094999996</v>
      </c>
      <c r="G19" s="1">
        <v>0</v>
      </c>
      <c r="H19" s="1">
        <v>0.15841091692500001</v>
      </c>
      <c r="I19" s="1">
        <v>0</v>
      </c>
      <c r="J19" s="1">
        <v>92.562877520000001</v>
      </c>
      <c r="K19" s="1">
        <v>0</v>
      </c>
      <c r="L19" s="1">
        <v>0</v>
      </c>
      <c r="M19" s="1">
        <v>0</v>
      </c>
    </row>
    <row r="20" spans="1:13" ht="12.5">
      <c r="A20" s="2" t="s">
        <v>66</v>
      </c>
      <c r="B20" s="3">
        <v>99.887525240000002</v>
      </c>
      <c r="C20" s="1">
        <v>4.8512191565</v>
      </c>
      <c r="D20" s="1">
        <v>5.2793099219999995</v>
      </c>
      <c r="E20" s="1">
        <v>1.87830199325</v>
      </c>
      <c r="F20" s="1">
        <v>99.119242487500003</v>
      </c>
      <c r="G20" s="1">
        <v>8.5531751254999993</v>
      </c>
      <c r="H20" s="1">
        <v>13.2663392975</v>
      </c>
      <c r="I20" s="1">
        <v>6.157471481</v>
      </c>
      <c r="J20" s="1">
        <v>99.949418030000004</v>
      </c>
      <c r="K20" s="1">
        <v>3.9663471834999999</v>
      </c>
      <c r="L20" s="1">
        <v>2.0590013014999999</v>
      </c>
      <c r="M20" s="1">
        <v>0.15970568490000001</v>
      </c>
    </row>
    <row r="21" spans="1:13" ht="12.5">
      <c r="A21" s="2" t="s">
        <v>67</v>
      </c>
      <c r="B21" s="3">
        <v>14.244214279999994</v>
      </c>
      <c r="C21" s="1">
        <v>4.8512191565</v>
      </c>
      <c r="D21" s="1">
        <v>5.2454036993549993</v>
      </c>
      <c r="E21" s="1">
        <v>1.87830199325</v>
      </c>
      <c r="F21" s="1">
        <v>34.293821392500007</v>
      </c>
      <c r="G21" s="1">
        <v>8.5531751254999993</v>
      </c>
      <c r="H21" s="1">
        <v>13.107928380575</v>
      </c>
      <c r="I21" s="1">
        <v>6.157471481</v>
      </c>
      <c r="J21" s="1">
        <v>7.3865405100000032</v>
      </c>
      <c r="K21" s="1">
        <v>3.9663471834999999</v>
      </c>
      <c r="L21" s="1">
        <v>2.0590013014999999</v>
      </c>
      <c r="M21" s="1">
        <v>0.15970568490000001</v>
      </c>
    </row>
    <row r="22" spans="1:13" ht="12.5">
      <c r="A22" s="2"/>
      <c r="B22" s="3"/>
    </row>
    <row r="23" spans="1:13" ht="12.5">
      <c r="A23" s="2"/>
      <c r="B23" s="3"/>
    </row>
    <row r="24" spans="1:13" ht="12.5">
      <c r="A24" s="2"/>
      <c r="B24" s="3"/>
    </row>
    <row r="25" spans="1:13" ht="12.5">
      <c r="A25" s="2"/>
      <c r="B25" s="3"/>
    </row>
    <row r="26" spans="1:13" ht="12.5">
      <c r="A26" s="2"/>
      <c r="B26" s="3"/>
    </row>
    <row r="27" spans="1:13" ht="12.5">
      <c r="A27" s="2"/>
      <c r="B27" s="3"/>
    </row>
    <row r="28" spans="1:13" ht="12.5">
      <c r="A28" s="2"/>
      <c r="B28" s="3"/>
    </row>
    <row r="29" spans="1:13" ht="12.5">
      <c r="A29" s="2"/>
      <c r="B29" s="3"/>
    </row>
    <row r="30" spans="1:13" ht="12.5">
      <c r="A30" s="2"/>
      <c r="B30" s="3"/>
    </row>
    <row r="31" spans="1:13" ht="12.5">
      <c r="A31" s="2"/>
      <c r="B31" s="3"/>
    </row>
    <row r="32" spans="1:13" ht="12.5">
      <c r="A32" s="2"/>
      <c r="B32" s="3"/>
    </row>
    <row r="33" spans="1:2" ht="12.5">
      <c r="A33" s="2"/>
      <c r="B33" s="3"/>
    </row>
    <row r="34" spans="1:2" ht="12.5">
      <c r="A34" s="2"/>
      <c r="B34" s="3"/>
    </row>
    <row r="35" spans="1:2" ht="12.5">
      <c r="A35" s="2"/>
      <c r="B35" s="3"/>
    </row>
    <row r="36" spans="1:2" ht="12.5">
      <c r="A36" s="2"/>
      <c r="B36" s="3"/>
    </row>
    <row r="37" spans="1:2" ht="12.5">
      <c r="A37" s="2"/>
      <c r="B37" s="3"/>
    </row>
    <row r="38" spans="1:2" ht="12.5">
      <c r="A38" s="2"/>
      <c r="B38" s="3"/>
    </row>
    <row r="39" spans="1:2" ht="12.5">
      <c r="A39" s="2"/>
      <c r="B39" s="3"/>
    </row>
    <row r="40" spans="1:2" ht="12.5">
      <c r="A40" s="2"/>
      <c r="B40" s="3"/>
    </row>
    <row r="41" spans="1:2" ht="12.5">
      <c r="A41" s="2"/>
      <c r="B41" s="3"/>
    </row>
    <row r="42" spans="1:2" ht="12.5">
      <c r="A42" s="2"/>
      <c r="B42" s="3"/>
    </row>
    <row r="43" spans="1:2" ht="12.5">
      <c r="A43" s="2"/>
      <c r="B43" s="3"/>
    </row>
    <row r="44" spans="1:2" ht="12.5">
      <c r="A44" s="2"/>
      <c r="B44" s="3"/>
    </row>
    <row r="45" spans="1:2" ht="12.5">
      <c r="A45" s="2"/>
      <c r="B45" s="3"/>
    </row>
    <row r="46" spans="1:2" ht="12.5">
      <c r="A46" s="2"/>
      <c r="B46" s="3"/>
    </row>
    <row r="47" spans="1:2" ht="12.5">
      <c r="A47" s="2"/>
      <c r="B47" s="3"/>
    </row>
    <row r="48" spans="1:2" ht="12.5">
      <c r="A48" s="2"/>
      <c r="B48" s="3"/>
    </row>
    <row r="49" spans="1:2" ht="12.5">
      <c r="A49" s="2"/>
      <c r="B49" s="3"/>
    </row>
    <row r="50" spans="1:2" ht="12.5">
      <c r="A50" s="2"/>
      <c r="B50" s="3"/>
    </row>
    <row r="51" spans="1:2" ht="12.5">
      <c r="A51" s="2"/>
      <c r="B51" s="3"/>
    </row>
    <row r="52" spans="1:2" ht="12.5">
      <c r="A52" s="2"/>
      <c r="B52" s="3"/>
    </row>
    <row r="53" spans="1:2" ht="12.5">
      <c r="A53" s="2"/>
      <c r="B53" s="3"/>
    </row>
    <row r="54" spans="1:2" ht="12.5">
      <c r="A54" s="2"/>
      <c r="B54" s="3"/>
    </row>
    <row r="55" spans="1:2" ht="12.5">
      <c r="A55" s="2"/>
      <c r="B55" s="3"/>
    </row>
    <row r="56" spans="1:2" ht="12.5">
      <c r="A56" s="2"/>
      <c r="B56" s="3"/>
    </row>
    <row r="57" spans="1:2" ht="12.5">
      <c r="A57" s="2"/>
      <c r="B57" s="3"/>
    </row>
    <row r="58" spans="1:2" ht="12.5">
      <c r="A58" s="2"/>
      <c r="B58" s="3"/>
    </row>
    <row r="59" spans="1:2" ht="12.5">
      <c r="A59" s="2"/>
      <c r="B59" s="3"/>
    </row>
    <row r="60" spans="1:2" ht="12.5">
      <c r="A60" s="2"/>
      <c r="B60" s="3"/>
    </row>
    <row r="61" spans="1:2" ht="12.5">
      <c r="A61" s="2"/>
      <c r="B61" s="3"/>
    </row>
    <row r="62" spans="1:2" ht="12.5">
      <c r="A62" s="2"/>
      <c r="B62" s="3"/>
    </row>
    <row r="63" spans="1:2" ht="12.5">
      <c r="A63" s="2"/>
      <c r="B63" s="3"/>
    </row>
    <row r="64" spans="1:2" ht="12.5">
      <c r="A64" s="2"/>
      <c r="B64" s="3"/>
    </row>
    <row r="65" spans="1:2" ht="12.5">
      <c r="A65" s="2"/>
      <c r="B65" s="3"/>
    </row>
    <row r="66" spans="1:2" ht="12.5">
      <c r="A66" s="2"/>
      <c r="B66" s="3"/>
    </row>
    <row r="67" spans="1:2" ht="12.5">
      <c r="A67" s="2"/>
      <c r="B67" s="3"/>
    </row>
    <row r="68" spans="1:2" ht="12.5">
      <c r="A68" s="2"/>
      <c r="B68" s="3"/>
    </row>
    <row r="69" spans="1:2" ht="12.5">
      <c r="A69" s="2"/>
      <c r="B69" s="3"/>
    </row>
    <row r="70" spans="1:2" ht="12.5">
      <c r="A70" s="2"/>
      <c r="B70" s="3"/>
    </row>
    <row r="71" spans="1:2" ht="12.5">
      <c r="A71" s="2"/>
      <c r="B71" s="3"/>
    </row>
    <row r="72" spans="1:2" ht="12.5">
      <c r="A72" s="2"/>
      <c r="B72" s="3"/>
    </row>
    <row r="73" spans="1:2" ht="12.5">
      <c r="A73" s="2"/>
      <c r="B73" s="3"/>
    </row>
    <row r="74" spans="1:2" ht="12.5">
      <c r="A74" s="2"/>
      <c r="B74" s="3"/>
    </row>
    <row r="75" spans="1:2" ht="12.5">
      <c r="A75" s="2"/>
      <c r="B75" s="3"/>
    </row>
    <row r="76" spans="1:2" ht="12.5">
      <c r="A76" s="2"/>
      <c r="B76" s="3"/>
    </row>
    <row r="77" spans="1:2" ht="12.5">
      <c r="A77" s="2"/>
      <c r="B77" s="3"/>
    </row>
    <row r="78" spans="1:2" ht="12.5">
      <c r="A78" s="2"/>
      <c r="B78" s="3"/>
    </row>
    <row r="79" spans="1:2" ht="12.5">
      <c r="A79" s="2"/>
      <c r="B79" s="3"/>
    </row>
    <row r="80" spans="1:2" ht="12.5">
      <c r="A80" s="2"/>
      <c r="B80" s="3"/>
    </row>
    <row r="81" spans="1:2" ht="12.5">
      <c r="A81" s="2"/>
      <c r="B81" s="3"/>
    </row>
    <row r="82" spans="1:2" ht="12.5">
      <c r="A82" s="2"/>
      <c r="B82" s="3"/>
    </row>
    <row r="83" spans="1:2" ht="12.5">
      <c r="A83" s="2"/>
      <c r="B83" s="3"/>
    </row>
    <row r="84" spans="1:2" ht="12.5">
      <c r="A84" s="2"/>
      <c r="B84" s="3"/>
    </row>
    <row r="85" spans="1:2" ht="12.5">
      <c r="A85" s="2"/>
      <c r="B85" s="3"/>
    </row>
    <row r="86" spans="1:2" ht="12.5">
      <c r="A86" s="2"/>
      <c r="B86" s="3"/>
    </row>
    <row r="87" spans="1:2" ht="12.5">
      <c r="A87" s="2"/>
      <c r="B87" s="3"/>
    </row>
    <row r="88" spans="1:2" ht="12.5">
      <c r="A88" s="2"/>
      <c r="B88" s="3"/>
    </row>
    <row r="89" spans="1:2" ht="12.5">
      <c r="A89" s="2"/>
      <c r="B89" s="3"/>
    </row>
    <row r="90" spans="1:2" ht="12.5">
      <c r="A90" s="2"/>
      <c r="B90" s="3"/>
    </row>
    <row r="91" spans="1:2" ht="12.5">
      <c r="A91" s="2"/>
      <c r="B91" s="3"/>
    </row>
    <row r="92" spans="1:2" ht="12.5">
      <c r="A92" s="2"/>
      <c r="B92" s="3"/>
    </row>
    <row r="93" spans="1:2" ht="12.5">
      <c r="A93" s="2"/>
      <c r="B93" s="3"/>
    </row>
    <row r="94" spans="1:2" ht="12.5">
      <c r="A94" s="2"/>
      <c r="B94" s="3"/>
    </row>
    <row r="95" spans="1:2" ht="12.5">
      <c r="A95" s="2"/>
      <c r="B95" s="3"/>
    </row>
    <row r="96" spans="1:2" ht="12.5">
      <c r="A96" s="2"/>
      <c r="B96" s="3"/>
    </row>
    <row r="97" spans="1:2" ht="12.5">
      <c r="A97" s="2"/>
      <c r="B97" s="3"/>
    </row>
    <row r="98" spans="1:2" ht="12.5">
      <c r="A98" s="2"/>
      <c r="B98" s="3"/>
    </row>
    <row r="99" spans="1:2" ht="12.5">
      <c r="A99" s="2"/>
      <c r="B99" s="3"/>
    </row>
    <row r="100" spans="1:2" ht="12.5">
      <c r="A100" s="2"/>
      <c r="B100" s="3"/>
    </row>
    <row r="101" spans="1:2" ht="12.5">
      <c r="A101" s="2"/>
      <c r="B101" s="3"/>
    </row>
    <row r="102" spans="1:2" ht="12.5">
      <c r="A102" s="2"/>
      <c r="B102" s="3"/>
    </row>
    <row r="103" spans="1:2" ht="12.5">
      <c r="A103" s="2"/>
      <c r="B103" s="3"/>
    </row>
    <row r="104" spans="1:2" ht="12.5">
      <c r="A104" s="2"/>
      <c r="B104" s="3"/>
    </row>
    <row r="105" spans="1:2" ht="12.5">
      <c r="A105" s="2"/>
      <c r="B105" s="3"/>
    </row>
    <row r="106" spans="1:2" ht="12.5">
      <c r="A106" s="2"/>
      <c r="B106" s="3"/>
    </row>
    <row r="107" spans="1:2" ht="12.5">
      <c r="A107" s="2"/>
      <c r="B107" s="3"/>
    </row>
    <row r="108" spans="1:2" ht="12.5">
      <c r="A108" s="2"/>
      <c r="B108" s="3"/>
    </row>
    <row r="109" spans="1:2" ht="12.5">
      <c r="A109" s="2"/>
      <c r="B109" s="3"/>
    </row>
    <row r="110" spans="1:2" ht="12.5">
      <c r="A110" s="2"/>
      <c r="B110" s="3"/>
    </row>
    <row r="111" spans="1:2" ht="12.5">
      <c r="A111" s="2"/>
      <c r="B111" s="3"/>
    </row>
    <row r="112" spans="1:2" ht="12.5">
      <c r="A112" s="2"/>
      <c r="B112" s="3"/>
    </row>
    <row r="113" spans="1:2" ht="12.5">
      <c r="A113" s="2"/>
      <c r="B113" s="3"/>
    </row>
    <row r="114" spans="1:2" ht="12.5">
      <c r="A114" s="2"/>
      <c r="B114" s="3"/>
    </row>
    <row r="115" spans="1:2" ht="12.5">
      <c r="A115" s="2"/>
      <c r="B115" s="3"/>
    </row>
    <row r="116" spans="1:2" ht="12.5">
      <c r="A116" s="2"/>
      <c r="B116" s="3"/>
    </row>
    <row r="117" spans="1:2" ht="12.5">
      <c r="A117" s="2"/>
      <c r="B117" s="3"/>
    </row>
    <row r="118" spans="1:2" ht="12.5">
      <c r="A118" s="2"/>
      <c r="B118" s="3"/>
    </row>
    <row r="119" spans="1:2" ht="12.5">
      <c r="A119" s="2"/>
      <c r="B119" s="3"/>
    </row>
    <row r="120" spans="1:2" ht="12.5">
      <c r="A120" s="2"/>
      <c r="B120" s="3"/>
    </row>
    <row r="121" spans="1:2" ht="12.5">
      <c r="A121" s="2"/>
      <c r="B121" s="3"/>
    </row>
    <row r="122" spans="1:2" ht="12.5">
      <c r="A122" s="2"/>
      <c r="B122" s="3"/>
    </row>
    <row r="123" spans="1:2" ht="12.5">
      <c r="A123" s="2"/>
      <c r="B123" s="3"/>
    </row>
    <row r="124" spans="1:2" ht="12.5">
      <c r="A124" s="2"/>
      <c r="B124" s="3"/>
    </row>
    <row r="125" spans="1:2" ht="12.5">
      <c r="A125" s="2"/>
      <c r="B125" s="3"/>
    </row>
    <row r="126" spans="1:2" ht="12.5">
      <c r="A126" s="2"/>
      <c r="B126" s="3"/>
    </row>
    <row r="127" spans="1:2" ht="12.5">
      <c r="A127" s="2"/>
      <c r="B127" s="3"/>
    </row>
    <row r="128" spans="1:2" ht="12.5">
      <c r="A128" s="2"/>
      <c r="B128" s="3"/>
    </row>
    <row r="129" spans="1:2" ht="12.5">
      <c r="A129" s="2"/>
      <c r="B129" s="3"/>
    </row>
    <row r="130" spans="1:2" ht="12.5">
      <c r="A130" s="2"/>
      <c r="B130" s="3"/>
    </row>
    <row r="131" spans="1:2" ht="12.5">
      <c r="A131" s="2"/>
      <c r="B131" s="3"/>
    </row>
    <row r="132" spans="1:2" ht="12.5">
      <c r="A132" s="2"/>
      <c r="B132" s="3"/>
    </row>
    <row r="133" spans="1:2" ht="12.5">
      <c r="A133" s="2"/>
      <c r="B133" s="3"/>
    </row>
    <row r="134" spans="1:2" ht="12.5">
      <c r="A134" s="2"/>
      <c r="B134" s="3"/>
    </row>
    <row r="135" spans="1:2" ht="12.5">
      <c r="A135" s="2"/>
      <c r="B135" s="3"/>
    </row>
    <row r="136" spans="1:2" ht="12.5">
      <c r="A136" s="2"/>
      <c r="B136" s="3"/>
    </row>
    <row r="137" spans="1:2" ht="12.5">
      <c r="A137" s="2"/>
      <c r="B137" s="3"/>
    </row>
    <row r="138" spans="1:2" ht="12.5">
      <c r="A138" s="2"/>
      <c r="B138" s="3"/>
    </row>
    <row r="139" spans="1:2" ht="12.5">
      <c r="A139" s="2"/>
      <c r="B139" s="3"/>
    </row>
    <row r="140" spans="1:2" ht="12.5">
      <c r="A140" s="2"/>
      <c r="B140" s="3"/>
    </row>
    <row r="141" spans="1:2" ht="12.5">
      <c r="A141" s="2"/>
      <c r="B141" s="3"/>
    </row>
    <row r="142" spans="1:2" ht="12.5">
      <c r="A142" s="2"/>
      <c r="B142" s="3"/>
    </row>
    <row r="143" spans="1:2" ht="12.5">
      <c r="A143" s="2"/>
      <c r="B143" s="3"/>
    </row>
    <row r="144" spans="1:2" ht="12.5">
      <c r="A144" s="2"/>
      <c r="B144" s="3"/>
    </row>
    <row r="145" spans="1:2" ht="12.5">
      <c r="A145" s="2"/>
      <c r="B145" s="3"/>
    </row>
    <row r="146" spans="1:2" ht="12.5">
      <c r="A146" s="2"/>
      <c r="B146" s="3"/>
    </row>
    <row r="147" spans="1:2" ht="12.5">
      <c r="A147" s="2"/>
      <c r="B147" s="3"/>
    </row>
    <row r="148" spans="1:2" ht="12.5">
      <c r="A148" s="2"/>
      <c r="B148" s="3"/>
    </row>
    <row r="149" spans="1:2" ht="12.5">
      <c r="A149" s="2"/>
      <c r="B149" s="3"/>
    </row>
    <row r="150" spans="1:2" ht="12.5">
      <c r="A150" s="2"/>
      <c r="B150" s="3"/>
    </row>
    <row r="151" spans="1:2" ht="12.5">
      <c r="A151" s="2"/>
      <c r="B151" s="3"/>
    </row>
    <row r="152" spans="1:2" ht="12.5">
      <c r="A152" s="2"/>
      <c r="B152" s="3"/>
    </row>
    <row r="153" spans="1:2" ht="12.5">
      <c r="A153" s="2"/>
      <c r="B153" s="3"/>
    </row>
    <row r="154" spans="1:2" ht="12.5">
      <c r="A154" s="2"/>
      <c r="B154" s="3"/>
    </row>
    <row r="155" spans="1:2" ht="12.5">
      <c r="A155" s="2"/>
      <c r="B155" s="3"/>
    </row>
    <row r="156" spans="1:2" ht="12.5">
      <c r="A156" s="2"/>
      <c r="B156" s="3"/>
    </row>
    <row r="157" spans="1:2" ht="12.5">
      <c r="A157" s="2"/>
      <c r="B157" s="3"/>
    </row>
    <row r="158" spans="1:2" ht="12.5">
      <c r="A158" s="2"/>
      <c r="B158" s="3"/>
    </row>
    <row r="159" spans="1:2" ht="12.5">
      <c r="A159" s="2"/>
      <c r="B159" s="3"/>
    </row>
    <row r="160" spans="1:2" ht="12.5">
      <c r="A160" s="2"/>
      <c r="B160" s="3"/>
    </row>
    <row r="161" spans="1:2" ht="12.5">
      <c r="A161" s="2"/>
      <c r="B161" s="3"/>
    </row>
    <row r="162" spans="1:2" ht="12.5">
      <c r="A162" s="2"/>
      <c r="B162" s="3"/>
    </row>
    <row r="163" spans="1:2" ht="12.5">
      <c r="A163" s="2"/>
      <c r="B163" s="3"/>
    </row>
    <row r="164" spans="1:2" ht="12.5">
      <c r="A164" s="2"/>
      <c r="B164" s="3"/>
    </row>
    <row r="165" spans="1:2" ht="12.5">
      <c r="A165" s="2"/>
      <c r="B165" s="3"/>
    </row>
    <row r="166" spans="1:2" ht="12.5">
      <c r="A166" s="2"/>
      <c r="B166" s="3"/>
    </row>
    <row r="167" spans="1:2" ht="12.5">
      <c r="A167" s="2"/>
      <c r="B167" s="3"/>
    </row>
    <row r="168" spans="1:2" ht="12.5">
      <c r="A168" s="2"/>
      <c r="B168" s="3"/>
    </row>
    <row r="169" spans="1:2" ht="12.5">
      <c r="A169" s="2"/>
      <c r="B169" s="3"/>
    </row>
    <row r="170" spans="1:2" ht="12.5">
      <c r="A170" s="2"/>
      <c r="B170" s="3"/>
    </row>
    <row r="171" spans="1:2" ht="12.5">
      <c r="A171" s="2"/>
      <c r="B171" s="3"/>
    </row>
    <row r="172" spans="1:2" ht="12.5">
      <c r="A172" s="2"/>
      <c r="B172" s="3"/>
    </row>
    <row r="173" spans="1:2" ht="12.5">
      <c r="A173" s="2"/>
      <c r="B173" s="3"/>
    </row>
    <row r="174" spans="1:2" ht="12.5">
      <c r="A174" s="2"/>
      <c r="B174" s="3"/>
    </row>
    <row r="175" spans="1:2" ht="12.5">
      <c r="A175" s="2"/>
      <c r="B175" s="3"/>
    </row>
    <row r="176" spans="1:2" ht="12.5">
      <c r="A176" s="2"/>
      <c r="B176" s="3"/>
    </row>
    <row r="177" spans="1:2" ht="12.5">
      <c r="A177" s="2"/>
      <c r="B177" s="3"/>
    </row>
    <row r="178" spans="1:2" ht="12.5">
      <c r="A178" s="2"/>
      <c r="B178" s="3"/>
    </row>
    <row r="179" spans="1:2" ht="12.5">
      <c r="A179" s="2"/>
      <c r="B179" s="3"/>
    </row>
    <row r="180" spans="1:2" ht="12.5">
      <c r="A180" s="2"/>
      <c r="B180" s="3"/>
    </row>
    <row r="181" spans="1:2" ht="12.5">
      <c r="A181" s="2"/>
      <c r="B181" s="3"/>
    </row>
    <row r="182" spans="1:2" ht="12.5">
      <c r="A182" s="2"/>
      <c r="B182" s="3"/>
    </row>
    <row r="183" spans="1:2" ht="12.5">
      <c r="A183" s="2"/>
      <c r="B183" s="3"/>
    </row>
    <row r="184" spans="1:2" ht="12.5">
      <c r="A184" s="2"/>
      <c r="B184" s="3"/>
    </row>
    <row r="185" spans="1:2" ht="12.5">
      <c r="A185" s="2"/>
      <c r="B185" s="3"/>
    </row>
    <row r="186" spans="1:2" ht="12.5">
      <c r="A186" s="2"/>
      <c r="B186" s="3"/>
    </row>
    <row r="187" spans="1:2" ht="12.5">
      <c r="A187" s="2"/>
      <c r="B187" s="3"/>
    </row>
    <row r="188" spans="1:2" ht="12.5">
      <c r="A188" s="2"/>
      <c r="B188" s="3"/>
    </row>
    <row r="189" spans="1:2" ht="12.5">
      <c r="A189" s="2"/>
      <c r="B189" s="3"/>
    </row>
    <row r="190" spans="1:2" ht="12.5">
      <c r="A190" s="2"/>
      <c r="B190" s="3"/>
    </row>
    <row r="191" spans="1:2" ht="12.5">
      <c r="A191" s="2"/>
      <c r="B191" s="3"/>
    </row>
    <row r="192" spans="1:2" ht="12.5">
      <c r="A192" s="2"/>
      <c r="B192" s="3"/>
    </row>
    <row r="193" spans="1:2" ht="12.5">
      <c r="A193" s="2"/>
      <c r="B193" s="3"/>
    </row>
    <row r="194" spans="1:2" ht="12.5">
      <c r="A194" s="2"/>
      <c r="B194" s="3"/>
    </row>
    <row r="195" spans="1:2" ht="12.5">
      <c r="A195" s="2"/>
      <c r="B195" s="3"/>
    </row>
    <row r="196" spans="1:2" ht="12.5">
      <c r="A196" s="2"/>
      <c r="B196" s="3"/>
    </row>
    <row r="197" spans="1:2" ht="12.5">
      <c r="A197" s="2"/>
      <c r="B197" s="3"/>
    </row>
    <row r="198" spans="1:2" ht="12.5">
      <c r="A198" s="2"/>
      <c r="B198" s="3"/>
    </row>
    <row r="199" spans="1:2" ht="12.5">
      <c r="A199" s="2"/>
      <c r="B199" s="3"/>
    </row>
    <row r="200" spans="1:2" ht="12.5">
      <c r="A200" s="2"/>
      <c r="B200" s="3"/>
    </row>
    <row r="201" spans="1:2" ht="12.5">
      <c r="A201" s="2"/>
      <c r="B201" s="3"/>
    </row>
    <row r="202" spans="1:2" ht="12.5">
      <c r="A202" s="2"/>
      <c r="B202" s="3"/>
    </row>
    <row r="203" spans="1:2" ht="12.5">
      <c r="A203" s="2"/>
      <c r="B203" s="3"/>
    </row>
    <row r="204" spans="1:2" ht="12.5">
      <c r="A204" s="2"/>
      <c r="B204" s="3"/>
    </row>
    <row r="205" spans="1:2" ht="12.5">
      <c r="A205" s="2"/>
      <c r="B205" s="3"/>
    </row>
    <row r="206" spans="1:2" ht="12.5">
      <c r="A206" s="2"/>
      <c r="B206" s="3"/>
    </row>
    <row r="207" spans="1:2" ht="12.5">
      <c r="A207" s="2"/>
      <c r="B207" s="3"/>
    </row>
    <row r="208" spans="1:2" ht="12.5">
      <c r="A208" s="2"/>
      <c r="B208" s="3"/>
    </row>
    <row r="209" spans="1:3" ht="12.5">
      <c r="A209" s="2"/>
      <c r="B209" s="3"/>
    </row>
    <row r="210" spans="1:3" ht="12.5">
      <c r="A210" s="2"/>
      <c r="B210" s="3"/>
    </row>
    <row r="211" spans="1:3" ht="12.5">
      <c r="A211" s="2"/>
      <c r="B211" s="3"/>
    </row>
    <row r="212" spans="1:3" ht="12.5">
      <c r="A212" s="2"/>
      <c r="B212" s="3"/>
    </row>
    <row r="213" spans="1:3" ht="12.5">
      <c r="A213" s="2"/>
      <c r="B213" s="3"/>
    </row>
    <row r="214" spans="1:3" ht="12.5">
      <c r="A214" s="2"/>
      <c r="B214" s="3"/>
    </row>
    <row r="215" spans="1:3" ht="12.5">
      <c r="A215" s="2"/>
      <c r="B215" s="3"/>
      <c r="C215" s="1"/>
    </row>
    <row r="218" spans="1:3" ht="12.5">
      <c r="A218" s="2"/>
      <c r="B218" s="2"/>
    </row>
    <row r="219" spans="1:3" ht="12.5">
      <c r="A219" s="2"/>
      <c r="B219" s="2"/>
    </row>
    <row r="220" spans="1:3" ht="12.5">
      <c r="A220" s="2"/>
      <c r="B220" s="2"/>
    </row>
    <row r="221" spans="1:3" ht="12.5">
      <c r="A221" s="2"/>
      <c r="B221" s="2"/>
    </row>
    <row r="222" spans="1:3" ht="12.5">
      <c r="A222" s="2"/>
      <c r="B222" s="2"/>
    </row>
    <row r="223" spans="1:3" ht="12.5">
      <c r="A223" s="2"/>
      <c r="B223" s="2"/>
    </row>
    <row r="224" spans="1:3" ht="12.5">
      <c r="A224" s="2"/>
      <c r="B224" s="2"/>
    </row>
    <row r="225" spans="1:2" ht="12.5">
      <c r="A225" s="2"/>
      <c r="B225" s="2"/>
    </row>
    <row r="226" spans="1:2" ht="12.5">
      <c r="A226" s="2"/>
      <c r="B226" s="2"/>
    </row>
    <row r="227" spans="1:2" ht="12.5">
      <c r="A227" s="2"/>
      <c r="B227" s="2"/>
    </row>
    <row r="228" spans="1:2" ht="12.5">
      <c r="A228" s="2"/>
      <c r="B228" s="2"/>
    </row>
    <row r="229" spans="1:2" ht="12.5">
      <c r="A229" s="2"/>
      <c r="B229" s="2"/>
    </row>
    <row r="230" spans="1:2" ht="12.5">
      <c r="A230" s="2"/>
      <c r="B230" s="2"/>
    </row>
    <row r="231" spans="1:2" ht="12.5">
      <c r="A231" s="2"/>
      <c r="B231" s="2"/>
    </row>
    <row r="232" spans="1:2" ht="12.5">
      <c r="A232" s="2"/>
      <c r="B232" s="2"/>
    </row>
    <row r="233" spans="1:2" ht="12.5">
      <c r="A233" s="2"/>
      <c r="B233" s="2"/>
    </row>
    <row r="234" spans="1:2" ht="12.5">
      <c r="A234" s="2"/>
      <c r="B234" s="2"/>
    </row>
    <row r="235" spans="1:2" ht="12.5">
      <c r="A235" s="2"/>
      <c r="B235" s="2"/>
    </row>
    <row r="236" spans="1:2" ht="12.5">
      <c r="A236" s="2"/>
      <c r="B236" s="2"/>
    </row>
    <row r="237" spans="1:2" ht="12.5">
      <c r="A237" s="2"/>
      <c r="B237" s="2"/>
    </row>
    <row r="238" spans="1:2" ht="12.5">
      <c r="A238" s="2"/>
      <c r="B238" s="2"/>
    </row>
    <row r="239" spans="1:2" ht="12.5">
      <c r="A239" s="2"/>
      <c r="B239" s="2"/>
    </row>
    <row r="240" spans="1:2" ht="12.5">
      <c r="A240" s="2"/>
      <c r="B240" s="2"/>
    </row>
    <row r="241" spans="1:2" ht="12.5">
      <c r="A241" s="2"/>
      <c r="B241" s="2"/>
    </row>
    <row r="242" spans="1:2" ht="12.5">
      <c r="A242" s="2"/>
      <c r="B242" s="2"/>
    </row>
    <row r="243" spans="1:2" ht="12.5">
      <c r="A243" s="2"/>
      <c r="B243" s="2"/>
    </row>
    <row r="244" spans="1:2" ht="12.5">
      <c r="A244" s="2"/>
      <c r="B244" s="2"/>
    </row>
    <row r="245" spans="1:2" ht="12.5">
      <c r="A245" s="2"/>
      <c r="B245" s="2"/>
    </row>
    <row r="246" spans="1:2" ht="12.5">
      <c r="A246" s="2"/>
      <c r="B246" s="2"/>
    </row>
    <row r="247" spans="1:2" ht="12.5">
      <c r="A247" s="2"/>
      <c r="B247" s="2"/>
    </row>
    <row r="248" spans="1:2" ht="12.5">
      <c r="A248" s="2"/>
      <c r="B248" s="2"/>
    </row>
    <row r="249" spans="1:2" ht="12.5">
      <c r="A249" s="2"/>
      <c r="B249" s="2"/>
    </row>
    <row r="250" spans="1:2" ht="12.5">
      <c r="A250" s="2"/>
      <c r="B250" s="2"/>
    </row>
    <row r="251" spans="1:2" ht="12.5">
      <c r="A251" s="2"/>
      <c r="B251" s="2"/>
    </row>
    <row r="252" spans="1:2" ht="12.5">
      <c r="A252" s="2"/>
      <c r="B252" s="2"/>
    </row>
    <row r="253" spans="1:2" ht="12.5">
      <c r="A253" s="2"/>
      <c r="B253" s="2"/>
    </row>
    <row r="254" spans="1:2" ht="12.5">
      <c r="A254" s="2"/>
      <c r="B254" s="2"/>
    </row>
    <row r="255" spans="1:2" ht="12.5">
      <c r="A255" s="2"/>
      <c r="B255" s="2"/>
    </row>
    <row r="256" spans="1:2" ht="12.5">
      <c r="A256" s="2"/>
      <c r="B256" s="2"/>
    </row>
    <row r="257" spans="1:2" ht="12.5">
      <c r="A257" s="2"/>
      <c r="B257" s="2"/>
    </row>
    <row r="258" spans="1:2" ht="12.5">
      <c r="A258" s="2"/>
      <c r="B258" s="2"/>
    </row>
    <row r="259" spans="1:2" ht="12.5">
      <c r="A259" s="2"/>
      <c r="B259" s="2"/>
    </row>
    <row r="260" spans="1:2" ht="12.5">
      <c r="A260" s="2"/>
      <c r="B260" s="2"/>
    </row>
    <row r="261" spans="1:2" ht="12.5">
      <c r="A261" s="2"/>
      <c r="B261" s="2"/>
    </row>
    <row r="262" spans="1:2" ht="12.5">
      <c r="A262" s="2"/>
      <c r="B262" s="2"/>
    </row>
    <row r="263" spans="1:2" ht="12.5">
      <c r="A263" s="2"/>
      <c r="B263" s="2"/>
    </row>
    <row r="264" spans="1:2" ht="12.5">
      <c r="A264" s="2"/>
      <c r="B264" s="2"/>
    </row>
    <row r="265" spans="1:2" ht="12.5">
      <c r="A265" s="2"/>
      <c r="B265" s="2"/>
    </row>
    <row r="266" spans="1:2" ht="12.5">
      <c r="A266" s="2"/>
      <c r="B266" s="2"/>
    </row>
    <row r="267" spans="1:2" ht="12.5">
      <c r="A267" s="2"/>
      <c r="B267" s="2"/>
    </row>
    <row r="268" spans="1:2" ht="12.5">
      <c r="A268" s="2"/>
      <c r="B268" s="2"/>
    </row>
    <row r="269" spans="1:2" ht="12.5">
      <c r="A269" s="2"/>
      <c r="B269" s="2"/>
    </row>
    <row r="270" spans="1:2" ht="12.5">
      <c r="A270" s="2"/>
      <c r="B270" s="2"/>
    </row>
    <row r="271" spans="1:2" ht="12.5">
      <c r="A271" s="2"/>
      <c r="B271" s="2"/>
    </row>
    <row r="272" spans="1:2" ht="12.5">
      <c r="A272" s="2"/>
      <c r="B272" s="2"/>
    </row>
    <row r="273" spans="1:2" ht="12.5">
      <c r="A273" s="2"/>
      <c r="B273" s="2"/>
    </row>
    <row r="274" spans="1:2" ht="12.5">
      <c r="A274" s="2"/>
      <c r="B274" s="2"/>
    </row>
    <row r="275" spans="1:2" ht="12.5">
      <c r="A275" s="2"/>
      <c r="B275" s="2"/>
    </row>
    <row r="276" spans="1:2" ht="12.5">
      <c r="A276" s="2"/>
      <c r="B276" s="2"/>
    </row>
    <row r="277" spans="1:2" ht="12.5">
      <c r="A277" s="2"/>
      <c r="B277" s="2"/>
    </row>
    <row r="278" spans="1:2" ht="12.5">
      <c r="A278" s="2"/>
      <c r="B278" s="2"/>
    </row>
    <row r="279" spans="1:2" ht="12.5">
      <c r="A279" s="2"/>
      <c r="B279" s="2"/>
    </row>
    <row r="280" spans="1:2" ht="12.5">
      <c r="A280" s="2"/>
      <c r="B280" s="2"/>
    </row>
    <row r="281" spans="1:2" ht="12.5">
      <c r="A281" s="2"/>
      <c r="B281" s="2"/>
    </row>
    <row r="282" spans="1:2" ht="12.5">
      <c r="A282" s="2"/>
      <c r="B282" s="2"/>
    </row>
    <row r="283" spans="1:2" ht="12.5">
      <c r="A283" s="2"/>
      <c r="B283" s="2"/>
    </row>
    <row r="284" spans="1:2" ht="12.5">
      <c r="A284" s="2"/>
      <c r="B284" s="2"/>
    </row>
    <row r="285" spans="1:2" ht="12.5">
      <c r="A285" s="2"/>
      <c r="B285" s="2"/>
    </row>
    <row r="286" spans="1:2" ht="12.5">
      <c r="A286" s="2"/>
      <c r="B286" s="2"/>
    </row>
    <row r="287" spans="1:2" ht="12.5">
      <c r="A287" s="2"/>
      <c r="B287" s="2"/>
    </row>
    <row r="288" spans="1:2" ht="12.5">
      <c r="A288" s="2"/>
      <c r="B288" s="2"/>
    </row>
    <row r="289" spans="1:2" ht="12.5">
      <c r="A289" s="2"/>
      <c r="B289" s="2"/>
    </row>
    <row r="290" spans="1:2" ht="12.5">
      <c r="A290" s="2"/>
      <c r="B290" s="2"/>
    </row>
    <row r="291" spans="1:2" ht="12.5">
      <c r="A291" s="2"/>
      <c r="B291" s="2"/>
    </row>
    <row r="292" spans="1:2" ht="12.5">
      <c r="A292" s="2"/>
      <c r="B292" s="2"/>
    </row>
    <row r="293" spans="1:2" ht="12.5">
      <c r="A293" s="2"/>
      <c r="B293" s="2"/>
    </row>
    <row r="294" spans="1:2" ht="12.5">
      <c r="A294" s="2"/>
      <c r="B294" s="2"/>
    </row>
    <row r="295" spans="1:2" ht="12.5">
      <c r="A295" s="2"/>
      <c r="B295" s="2"/>
    </row>
    <row r="296" spans="1:2" ht="12.5">
      <c r="A296" s="2"/>
      <c r="B296" s="2"/>
    </row>
    <row r="297" spans="1:2" ht="12.5">
      <c r="A297" s="2"/>
      <c r="B297" s="2"/>
    </row>
    <row r="298" spans="1:2" ht="12.5">
      <c r="A298" s="2"/>
      <c r="B298" s="2"/>
    </row>
    <row r="299" spans="1:2" ht="12.5">
      <c r="A299" s="2"/>
      <c r="B299" s="2"/>
    </row>
    <row r="300" spans="1:2" ht="12.5">
      <c r="A300" s="2"/>
      <c r="B300" s="2"/>
    </row>
    <row r="301" spans="1:2" ht="12.5">
      <c r="A301" s="2"/>
      <c r="B301" s="2"/>
    </row>
    <row r="302" spans="1:2" ht="12.5">
      <c r="A302" s="2"/>
      <c r="B302" s="2"/>
    </row>
    <row r="303" spans="1:2" ht="12.5">
      <c r="A303" s="2"/>
      <c r="B303" s="2"/>
    </row>
    <row r="304" spans="1:2" ht="12.5">
      <c r="A304" s="2"/>
      <c r="B304" s="2"/>
    </row>
    <row r="305" spans="1:2" ht="12.5">
      <c r="A305" s="2"/>
      <c r="B305" s="2"/>
    </row>
    <row r="306" spans="1:2" ht="12.5">
      <c r="A306" s="2"/>
      <c r="B306" s="2"/>
    </row>
    <row r="307" spans="1:2" ht="12.5">
      <c r="A307" s="2"/>
      <c r="B307" s="2"/>
    </row>
    <row r="308" spans="1:2" ht="12.5">
      <c r="A308" s="2"/>
      <c r="B308" s="2"/>
    </row>
    <row r="309" spans="1:2" ht="12.5">
      <c r="A309" s="2"/>
      <c r="B309" s="2"/>
    </row>
    <row r="310" spans="1:2" ht="12.5">
      <c r="A310" s="2"/>
      <c r="B310" s="2"/>
    </row>
    <row r="311" spans="1:2" ht="12.5">
      <c r="A311" s="2"/>
      <c r="B311" s="2"/>
    </row>
    <row r="312" spans="1:2" ht="12.5">
      <c r="A312" s="2"/>
      <c r="B312" s="2"/>
    </row>
    <row r="313" spans="1:2" ht="12.5">
      <c r="A313" s="2"/>
      <c r="B313" s="2"/>
    </row>
    <row r="314" spans="1:2" ht="12.5">
      <c r="A314" s="2"/>
      <c r="B314" s="2"/>
    </row>
    <row r="315" spans="1:2" ht="12.5">
      <c r="A315" s="2"/>
      <c r="B315" s="2"/>
    </row>
    <row r="316" spans="1:2" ht="12.5">
      <c r="A316" s="2"/>
      <c r="B316" s="2"/>
    </row>
    <row r="317" spans="1:2" ht="12.5">
      <c r="A317" s="2"/>
      <c r="B317" s="2"/>
    </row>
    <row r="318" spans="1:2" ht="12.5">
      <c r="A318" s="2"/>
      <c r="B318" s="2"/>
    </row>
    <row r="319" spans="1:2" ht="12.5">
      <c r="A319" s="2"/>
      <c r="B319" s="2"/>
    </row>
    <row r="320" spans="1:2" ht="12.5">
      <c r="A320" s="2"/>
      <c r="B320" s="2"/>
    </row>
    <row r="321" spans="1:2" ht="12.5">
      <c r="A321" s="2"/>
      <c r="B321" s="2"/>
    </row>
    <row r="322" spans="1:2" ht="12.5">
      <c r="A322" s="2"/>
      <c r="B322" s="2"/>
    </row>
    <row r="323" spans="1:2" ht="12.5">
      <c r="A323" s="2"/>
      <c r="B323" s="2"/>
    </row>
    <row r="324" spans="1:2" ht="12.5">
      <c r="A324" s="2"/>
      <c r="B324" s="2"/>
    </row>
    <row r="325" spans="1:2" ht="12.5">
      <c r="A325" s="2"/>
      <c r="B325" s="2"/>
    </row>
    <row r="326" spans="1:2" ht="12.5">
      <c r="A326" s="2"/>
      <c r="B326" s="2"/>
    </row>
    <row r="327" spans="1:2" ht="12.5">
      <c r="A327" s="2"/>
      <c r="B327" s="2"/>
    </row>
    <row r="328" spans="1:2" ht="12.5">
      <c r="A328" s="2"/>
      <c r="B328" s="2"/>
    </row>
    <row r="329" spans="1:2" ht="12.5">
      <c r="A329" s="2"/>
      <c r="B329" s="2"/>
    </row>
    <row r="330" spans="1:2" ht="12.5">
      <c r="A330" s="2"/>
      <c r="B330" s="2"/>
    </row>
    <row r="331" spans="1:2" ht="12.5">
      <c r="A331" s="2"/>
      <c r="B331" s="2"/>
    </row>
    <row r="332" spans="1:2" ht="12.5">
      <c r="A332" s="2"/>
      <c r="B332" s="2"/>
    </row>
    <row r="333" spans="1:2" ht="12.5">
      <c r="A333" s="2"/>
      <c r="B333" s="2"/>
    </row>
    <row r="334" spans="1:2" ht="12.5">
      <c r="A334" s="2"/>
      <c r="B334" s="2"/>
    </row>
    <row r="335" spans="1:2" ht="12.5">
      <c r="A335" s="2"/>
      <c r="B335" s="2"/>
    </row>
    <row r="336" spans="1:2" ht="12.5">
      <c r="A336" s="2"/>
      <c r="B336" s="2"/>
    </row>
    <row r="337" spans="1:2" ht="12.5">
      <c r="A337" s="2"/>
      <c r="B337" s="2"/>
    </row>
    <row r="338" spans="1:2" ht="12.5">
      <c r="A338" s="2"/>
      <c r="B338" s="2"/>
    </row>
    <row r="339" spans="1:2" ht="12.5">
      <c r="A339" s="2"/>
      <c r="B339" s="2"/>
    </row>
    <row r="340" spans="1:2" ht="12.5">
      <c r="A340" s="2"/>
      <c r="B340" s="2"/>
    </row>
    <row r="341" spans="1:2" ht="12.5">
      <c r="A341" s="2"/>
      <c r="B341" s="2"/>
    </row>
    <row r="342" spans="1:2" ht="12.5">
      <c r="A342" s="2"/>
      <c r="B342" s="2"/>
    </row>
    <row r="343" spans="1:2" ht="12.5">
      <c r="A343" s="2"/>
      <c r="B343" s="2"/>
    </row>
    <row r="344" spans="1:2" ht="12.5">
      <c r="A344" s="2"/>
      <c r="B344" s="2"/>
    </row>
    <row r="345" spans="1:2" ht="12.5">
      <c r="A345" s="2"/>
      <c r="B345" s="2"/>
    </row>
    <row r="346" spans="1:2" ht="12.5">
      <c r="A346" s="2"/>
      <c r="B346" s="2"/>
    </row>
    <row r="347" spans="1:2" ht="12.5">
      <c r="A347" s="2"/>
      <c r="B347" s="2"/>
    </row>
    <row r="348" spans="1:2" ht="12.5">
      <c r="A348" s="2"/>
      <c r="B348" s="2"/>
    </row>
    <row r="349" spans="1:2" ht="12.5">
      <c r="A349" s="2"/>
      <c r="B349" s="2"/>
    </row>
    <row r="350" spans="1:2" ht="12.5">
      <c r="A350" s="2"/>
      <c r="B350" s="2"/>
    </row>
    <row r="351" spans="1:2" ht="12.5">
      <c r="A351" s="2"/>
      <c r="B351" s="2"/>
    </row>
    <row r="352" spans="1:2" ht="12.5">
      <c r="A352" s="2"/>
      <c r="B352" s="2"/>
    </row>
    <row r="353" spans="1:2" ht="12.5">
      <c r="A353" s="2"/>
      <c r="B353" s="2"/>
    </row>
    <row r="354" spans="1:2" ht="12.5">
      <c r="A354" s="2"/>
      <c r="B354" s="2"/>
    </row>
    <row r="355" spans="1:2" ht="12.5">
      <c r="A355" s="2"/>
      <c r="B355" s="2"/>
    </row>
    <row r="356" spans="1:2" ht="12.5">
      <c r="A356" s="2"/>
      <c r="B356" s="2"/>
    </row>
    <row r="357" spans="1:2" ht="12.5">
      <c r="A357" s="2"/>
      <c r="B357" s="2"/>
    </row>
    <row r="358" spans="1:2" ht="12.5">
      <c r="A358" s="2"/>
      <c r="B358" s="2"/>
    </row>
    <row r="359" spans="1:2" ht="12.5">
      <c r="A359" s="2"/>
      <c r="B359" s="2"/>
    </row>
    <row r="360" spans="1:2" ht="12.5">
      <c r="A360" s="2"/>
      <c r="B360" s="2"/>
    </row>
    <row r="361" spans="1:2" ht="12.5">
      <c r="A361" s="2"/>
      <c r="B361" s="2"/>
    </row>
    <row r="362" spans="1:2" ht="12.5">
      <c r="A362" s="2"/>
      <c r="B362" s="2"/>
    </row>
    <row r="363" spans="1:2" ht="12.5">
      <c r="A363" s="2"/>
      <c r="B363" s="2"/>
    </row>
    <row r="364" spans="1:2" ht="12.5">
      <c r="A364" s="2"/>
      <c r="B364" s="2"/>
    </row>
    <row r="365" spans="1:2" ht="12.5">
      <c r="A365" s="2"/>
      <c r="B365" s="2"/>
    </row>
    <row r="366" spans="1:2" ht="12.5">
      <c r="A366" s="2"/>
      <c r="B366" s="2"/>
    </row>
    <row r="367" spans="1:2" ht="12.5">
      <c r="A367" s="2"/>
      <c r="B367" s="2"/>
    </row>
    <row r="368" spans="1:2" ht="12.5">
      <c r="A368" s="2"/>
      <c r="B368" s="2"/>
    </row>
    <row r="369" spans="1:2" ht="12.5">
      <c r="A369" s="2"/>
      <c r="B369" s="2"/>
    </row>
    <row r="370" spans="1:2" ht="12.5">
      <c r="A370" s="2"/>
      <c r="B370" s="2"/>
    </row>
    <row r="371" spans="1:2" ht="12.5">
      <c r="A371" s="2"/>
      <c r="B371" s="2"/>
    </row>
    <row r="372" spans="1:2" ht="12.5">
      <c r="A372" s="2"/>
      <c r="B372" s="2"/>
    </row>
    <row r="373" spans="1:2" ht="12.5">
      <c r="A373" s="2"/>
      <c r="B373" s="2"/>
    </row>
    <row r="374" spans="1:2" ht="12.5">
      <c r="A374" s="2"/>
      <c r="B374" s="2"/>
    </row>
    <row r="375" spans="1:2" ht="12.5">
      <c r="A375" s="2"/>
      <c r="B375" s="2"/>
    </row>
    <row r="376" spans="1:2" ht="12.5">
      <c r="A376" s="2"/>
      <c r="B376" s="2"/>
    </row>
    <row r="377" spans="1:2" ht="12.5">
      <c r="A377" s="2"/>
      <c r="B377" s="2"/>
    </row>
    <row r="378" spans="1:2" ht="12.5">
      <c r="A378" s="2"/>
      <c r="B378" s="2"/>
    </row>
    <row r="379" spans="1:2" ht="12.5">
      <c r="A379" s="2"/>
      <c r="B379" s="2"/>
    </row>
    <row r="380" spans="1:2" ht="12.5">
      <c r="A380" s="2"/>
      <c r="B380" s="2"/>
    </row>
    <row r="381" spans="1:2" ht="12.5">
      <c r="A381" s="2"/>
      <c r="B381" s="2"/>
    </row>
    <row r="382" spans="1:2" ht="12.5">
      <c r="A382" s="2"/>
      <c r="B382" s="2"/>
    </row>
    <row r="383" spans="1:2" ht="12.5">
      <c r="A383" s="2"/>
      <c r="B383" s="2"/>
    </row>
    <row r="384" spans="1:2" ht="12.5">
      <c r="A384" s="2"/>
      <c r="B384" s="2"/>
    </row>
    <row r="385" spans="1:2" ht="12.5">
      <c r="A385" s="2"/>
      <c r="B385" s="2"/>
    </row>
    <row r="386" spans="1:2" ht="12.5">
      <c r="A386" s="2"/>
      <c r="B386" s="2"/>
    </row>
    <row r="387" spans="1:2" ht="12.5">
      <c r="A387" s="2"/>
      <c r="B387" s="2"/>
    </row>
    <row r="388" spans="1:2" ht="12.5">
      <c r="A388" s="2"/>
      <c r="B388" s="2"/>
    </row>
    <row r="389" spans="1:2" ht="12.5">
      <c r="A389" s="2"/>
      <c r="B389" s="2"/>
    </row>
    <row r="390" spans="1:2" ht="12.5">
      <c r="A390" s="2"/>
      <c r="B390" s="2"/>
    </row>
    <row r="391" spans="1:2" ht="12.5">
      <c r="A391" s="2"/>
      <c r="B391" s="2"/>
    </row>
    <row r="392" spans="1:2" ht="12.5">
      <c r="A392" s="2"/>
      <c r="B392" s="2"/>
    </row>
    <row r="393" spans="1:2" ht="12.5">
      <c r="A393" s="2"/>
      <c r="B393" s="2"/>
    </row>
    <row r="394" spans="1:2" ht="12.5">
      <c r="A394" s="2"/>
      <c r="B394" s="2"/>
    </row>
    <row r="395" spans="1:2" ht="12.5">
      <c r="A395" s="2"/>
      <c r="B395" s="2"/>
    </row>
    <row r="396" spans="1:2" ht="12.5">
      <c r="A396" s="2"/>
      <c r="B396" s="2"/>
    </row>
    <row r="397" spans="1:2" ht="12.5">
      <c r="A397" s="2"/>
      <c r="B397" s="2"/>
    </row>
    <row r="398" spans="1:2" ht="12.5">
      <c r="A398" s="2"/>
      <c r="B398" s="2"/>
    </row>
    <row r="399" spans="1:2" ht="12.5">
      <c r="A399" s="2"/>
      <c r="B399" s="2"/>
    </row>
    <row r="400" spans="1:2" ht="12.5">
      <c r="A400" s="2"/>
      <c r="B400" s="2"/>
    </row>
    <row r="401" spans="1:2" ht="12.5">
      <c r="A401" s="2"/>
      <c r="B401" s="2"/>
    </row>
    <row r="402" spans="1:2" ht="12.5">
      <c r="A402" s="2"/>
      <c r="B402" s="2"/>
    </row>
    <row r="403" spans="1:2" ht="12.5">
      <c r="A403" s="2"/>
      <c r="B403" s="2"/>
    </row>
    <row r="404" spans="1:2" ht="12.5">
      <c r="A404" s="2"/>
      <c r="B404" s="2"/>
    </row>
    <row r="405" spans="1:2" ht="12.5">
      <c r="A405" s="2"/>
      <c r="B405" s="2"/>
    </row>
    <row r="406" spans="1:2" ht="12.5">
      <c r="A406" s="2"/>
      <c r="B406" s="2"/>
    </row>
    <row r="407" spans="1:2" ht="12.5">
      <c r="A407" s="2"/>
      <c r="B407" s="2"/>
    </row>
    <row r="408" spans="1:2" ht="12.5">
      <c r="A408" s="2"/>
      <c r="B408" s="2"/>
    </row>
    <row r="409" spans="1:2" ht="12.5">
      <c r="A409" s="2"/>
      <c r="B409" s="2"/>
    </row>
    <row r="410" spans="1:2" ht="12.5">
      <c r="A410" s="2"/>
      <c r="B410" s="2"/>
    </row>
    <row r="411" spans="1:2" ht="12.5">
      <c r="A411" s="2"/>
      <c r="B411" s="2"/>
    </row>
    <row r="412" spans="1:2" ht="12.5">
      <c r="A412" s="2"/>
      <c r="B412" s="2"/>
    </row>
    <row r="413" spans="1:2" ht="12.5">
      <c r="A413" s="2"/>
      <c r="B413" s="2"/>
    </row>
    <row r="414" spans="1:2" ht="12.5">
      <c r="A414" s="2"/>
      <c r="B414" s="2"/>
    </row>
    <row r="415" spans="1:2" ht="12.5">
      <c r="A415" s="2"/>
      <c r="B415" s="2"/>
    </row>
    <row r="416" spans="1:2" ht="12.5">
      <c r="A416" s="2"/>
      <c r="B416" s="2"/>
    </row>
    <row r="417" spans="1:2" ht="12.5">
      <c r="A417" s="2"/>
      <c r="B417" s="2"/>
    </row>
    <row r="418" spans="1:2" ht="12.5">
      <c r="A418" s="2"/>
      <c r="B418" s="2"/>
    </row>
    <row r="419" spans="1:2" ht="12.5">
      <c r="A419" s="2"/>
      <c r="B419" s="2"/>
    </row>
    <row r="420" spans="1:2" ht="12.5">
      <c r="A420" s="2"/>
      <c r="B420" s="2"/>
    </row>
    <row r="421" spans="1:2" ht="12.5">
      <c r="A421" s="2"/>
      <c r="B421" s="2"/>
    </row>
    <row r="422" spans="1:2" ht="12.5">
      <c r="A422" s="2"/>
      <c r="B422" s="2"/>
    </row>
    <row r="423" spans="1:2" ht="12.5">
      <c r="A423" s="2"/>
      <c r="B423" s="2"/>
    </row>
    <row r="424" spans="1:2" ht="12.5">
      <c r="A424" s="2"/>
      <c r="B424" s="2"/>
    </row>
    <row r="425" spans="1:2" ht="12.5">
      <c r="A425" s="2"/>
      <c r="B425" s="2"/>
    </row>
    <row r="426" spans="1:2" ht="12.5">
      <c r="A426" s="2"/>
      <c r="B426" s="2"/>
    </row>
    <row r="427" spans="1:2" ht="12.5">
      <c r="A427" s="2"/>
      <c r="B427" s="2"/>
    </row>
    <row r="428" spans="1:2" ht="12.5">
      <c r="A428" s="2"/>
      <c r="B428" s="2"/>
    </row>
    <row r="429" spans="1:2" ht="12.5">
      <c r="A429" s="2"/>
      <c r="B429" s="2"/>
    </row>
    <row r="430" spans="1:2" ht="12.5">
      <c r="A430" s="2"/>
      <c r="B430" s="2"/>
    </row>
    <row r="431" spans="1:2" ht="12.5">
      <c r="A431" s="2"/>
      <c r="B431" s="2"/>
    </row>
    <row r="432" spans="1:2" ht="12.5">
      <c r="A432" s="2"/>
      <c r="B432" s="2"/>
    </row>
    <row r="433" spans="1:2" ht="12.5">
      <c r="A433" s="2"/>
      <c r="B433" s="2"/>
    </row>
    <row r="434" spans="1:2" ht="12.5">
      <c r="A434" s="2"/>
      <c r="B434" s="2"/>
    </row>
    <row r="435" spans="1:2" ht="12.5">
      <c r="A435" s="2"/>
      <c r="B435" s="2"/>
    </row>
    <row r="436" spans="1:2" ht="12.5">
      <c r="A436" s="2"/>
      <c r="B436" s="2"/>
    </row>
    <row r="437" spans="1:2" ht="12.5">
      <c r="A437" s="2"/>
      <c r="B437" s="2"/>
    </row>
    <row r="438" spans="1:2" ht="12.5">
      <c r="A438" s="2"/>
      <c r="B438" s="2"/>
    </row>
    <row r="439" spans="1:2" ht="12.5">
      <c r="A439" s="2"/>
      <c r="B439" s="2"/>
    </row>
    <row r="440" spans="1:2" ht="12.5">
      <c r="A440" s="2"/>
      <c r="B440" s="2"/>
    </row>
    <row r="441" spans="1:2" ht="12.5">
      <c r="A441" s="2"/>
      <c r="B441" s="2"/>
    </row>
    <row r="442" spans="1:2" ht="12.5">
      <c r="A442" s="2"/>
      <c r="B442" s="2"/>
    </row>
    <row r="443" spans="1:2" ht="12.5">
      <c r="A443" s="2"/>
      <c r="B443" s="2"/>
    </row>
    <row r="444" spans="1:2" ht="12.5">
      <c r="A444" s="2"/>
      <c r="B444" s="2"/>
    </row>
    <row r="445" spans="1:2" ht="12.5">
      <c r="A445" s="2"/>
      <c r="B445" s="2"/>
    </row>
    <row r="446" spans="1:2" ht="12.5">
      <c r="A446" s="2"/>
      <c r="B446" s="2"/>
    </row>
    <row r="447" spans="1:2" ht="12.5">
      <c r="A447" s="2"/>
      <c r="B447" s="2"/>
    </row>
    <row r="448" spans="1:2" ht="12.5">
      <c r="A448" s="2"/>
      <c r="B448" s="2"/>
    </row>
    <row r="449" spans="1:2" ht="12.5">
      <c r="A449" s="2"/>
      <c r="B449" s="2"/>
    </row>
    <row r="450" spans="1:2" ht="12.5">
      <c r="A450" s="2"/>
      <c r="B450" s="2"/>
    </row>
    <row r="451" spans="1:2" ht="12.5">
      <c r="A451" s="2"/>
      <c r="B451" s="2"/>
    </row>
    <row r="452" spans="1:2" ht="12.5">
      <c r="A452" s="2"/>
      <c r="B452" s="2"/>
    </row>
    <row r="453" spans="1:2" ht="12.5">
      <c r="A453" s="2"/>
      <c r="B453" s="2"/>
    </row>
    <row r="454" spans="1:2" ht="12.5">
      <c r="A454" s="2"/>
      <c r="B454" s="2"/>
    </row>
    <row r="455" spans="1:2" ht="12.5">
      <c r="A455" s="2"/>
      <c r="B455" s="2"/>
    </row>
    <row r="456" spans="1:2" ht="12.5">
      <c r="A456" s="2"/>
      <c r="B456" s="2"/>
    </row>
    <row r="457" spans="1:2" ht="12.5">
      <c r="A457" s="2"/>
      <c r="B457" s="2"/>
    </row>
    <row r="458" spans="1:2" ht="12.5">
      <c r="A458" s="2"/>
      <c r="B458" s="2"/>
    </row>
    <row r="459" spans="1:2" ht="12.5">
      <c r="A459" s="2"/>
      <c r="B459" s="2"/>
    </row>
    <row r="460" spans="1:2" ht="12.5">
      <c r="A460" s="2"/>
      <c r="B460" s="2"/>
    </row>
    <row r="461" spans="1:2" ht="12.5">
      <c r="A461" s="2"/>
      <c r="B461" s="2"/>
    </row>
    <row r="462" spans="1:2" ht="12.5">
      <c r="A462" s="2"/>
      <c r="B462" s="2"/>
    </row>
    <row r="463" spans="1:2" ht="12.5">
      <c r="A463" s="2"/>
      <c r="B463" s="2"/>
    </row>
    <row r="464" spans="1:2" ht="12.5">
      <c r="A464" s="2"/>
      <c r="B464" s="2"/>
    </row>
    <row r="465" spans="1:2" ht="12.5">
      <c r="A465" s="2"/>
      <c r="B465" s="2"/>
    </row>
    <row r="466" spans="1:2" ht="12.5">
      <c r="A466" s="2"/>
      <c r="B466" s="2"/>
    </row>
    <row r="467" spans="1:2" ht="12.5">
      <c r="A467" s="2"/>
      <c r="B467" s="2"/>
    </row>
    <row r="468" spans="1:2" ht="12.5">
      <c r="A468" s="2"/>
      <c r="B468" s="2"/>
    </row>
    <row r="469" spans="1:2" ht="12.5">
      <c r="A469" s="2"/>
      <c r="B469" s="2"/>
    </row>
    <row r="470" spans="1:2" ht="12.5">
      <c r="A470" s="2"/>
      <c r="B470" s="2"/>
    </row>
    <row r="471" spans="1:2" ht="12.5">
      <c r="A471" s="2"/>
      <c r="B471" s="2"/>
    </row>
    <row r="472" spans="1:2" ht="12.5">
      <c r="A472" s="2"/>
      <c r="B472" s="2"/>
    </row>
    <row r="473" spans="1:2" ht="12.5">
      <c r="A473" s="2"/>
      <c r="B473" s="2"/>
    </row>
    <row r="474" spans="1:2" ht="12.5">
      <c r="A474" s="2"/>
      <c r="B474" s="2"/>
    </row>
    <row r="475" spans="1:2" ht="12.5">
      <c r="A475" s="2"/>
      <c r="B475" s="2"/>
    </row>
    <row r="476" spans="1:2" ht="12.5">
      <c r="A476" s="2"/>
      <c r="B476" s="2"/>
    </row>
    <row r="477" spans="1:2" ht="12.5">
      <c r="A477" s="2"/>
      <c r="B477" s="2"/>
    </row>
    <row r="478" spans="1:2" ht="12.5">
      <c r="A478" s="2"/>
      <c r="B478" s="2"/>
    </row>
    <row r="479" spans="1:2" ht="12.5">
      <c r="A479" s="2"/>
      <c r="B479" s="2"/>
    </row>
    <row r="480" spans="1:2" ht="12.5">
      <c r="A480" s="2"/>
      <c r="B480" s="2"/>
    </row>
    <row r="481" spans="1:2" ht="12.5">
      <c r="A481" s="2"/>
      <c r="B481" s="2"/>
    </row>
    <row r="482" spans="1:2" ht="12.5">
      <c r="A482" s="2"/>
      <c r="B482" s="2"/>
    </row>
    <row r="483" spans="1:2" ht="12.5">
      <c r="A483" s="2"/>
      <c r="B483" s="2"/>
    </row>
    <row r="484" spans="1:2" ht="12.5">
      <c r="A484" s="2"/>
      <c r="B484" s="2"/>
    </row>
    <row r="485" spans="1:2" ht="12.5">
      <c r="A485" s="2"/>
      <c r="B485" s="2"/>
    </row>
    <row r="486" spans="1:2" ht="12.5">
      <c r="A486" s="2"/>
      <c r="B486" s="2"/>
    </row>
    <row r="487" spans="1:2" ht="12.5">
      <c r="A487" s="2"/>
      <c r="B487" s="2"/>
    </row>
    <row r="488" spans="1:2" ht="12.5">
      <c r="A488" s="2"/>
      <c r="B488" s="2"/>
    </row>
    <row r="489" spans="1:2" ht="12.5">
      <c r="A489" s="2"/>
      <c r="B489" s="2"/>
    </row>
    <row r="490" spans="1:2" ht="12.5">
      <c r="A490" s="2"/>
      <c r="B490" s="2"/>
    </row>
    <row r="491" spans="1:2" ht="12.5">
      <c r="A491" s="2"/>
      <c r="B491" s="2"/>
    </row>
    <row r="492" spans="1:2" ht="12.5">
      <c r="A492" s="2"/>
      <c r="B492" s="2"/>
    </row>
    <row r="493" spans="1:2" ht="12.5">
      <c r="A493" s="2"/>
      <c r="B493" s="2"/>
    </row>
    <row r="494" spans="1:2" ht="12.5">
      <c r="A494" s="2"/>
      <c r="B494" s="2"/>
    </row>
    <row r="495" spans="1:2" ht="12.5">
      <c r="A495" s="2"/>
      <c r="B495" s="2"/>
    </row>
    <row r="496" spans="1:2" ht="12.5">
      <c r="A496" s="2"/>
      <c r="B496" s="2"/>
    </row>
    <row r="497" spans="1:2" ht="12.5">
      <c r="A497" s="2"/>
      <c r="B497" s="2"/>
    </row>
    <row r="498" spans="1:2" ht="12.5">
      <c r="A498" s="2"/>
      <c r="B498" s="2"/>
    </row>
    <row r="499" spans="1:2" ht="12.5">
      <c r="A499" s="2"/>
      <c r="B499" s="2"/>
    </row>
    <row r="500" spans="1:2" ht="12.5">
      <c r="A500" s="2"/>
      <c r="B500" s="2"/>
    </row>
    <row r="501" spans="1:2" ht="12.5">
      <c r="A501" s="2"/>
      <c r="B501" s="2"/>
    </row>
    <row r="502" spans="1:2" ht="12.5">
      <c r="A502" s="2"/>
      <c r="B502" s="2"/>
    </row>
    <row r="503" spans="1:2" ht="12.5">
      <c r="A503" s="2"/>
      <c r="B503" s="2"/>
    </row>
    <row r="504" spans="1:2" ht="12.5">
      <c r="A504" s="2"/>
      <c r="B504" s="2"/>
    </row>
    <row r="505" spans="1:2" ht="12.5">
      <c r="A505" s="2"/>
      <c r="B505" s="2"/>
    </row>
    <row r="506" spans="1:2" ht="12.5">
      <c r="A506" s="2"/>
      <c r="B506" s="2"/>
    </row>
    <row r="507" spans="1:2" ht="12.5">
      <c r="A507" s="2"/>
      <c r="B507" s="2"/>
    </row>
    <row r="508" spans="1:2" ht="12.5">
      <c r="A508" s="2"/>
      <c r="B508" s="2"/>
    </row>
    <row r="509" spans="1:2" ht="12.5">
      <c r="A509" s="2"/>
      <c r="B509" s="2"/>
    </row>
    <row r="510" spans="1:2" ht="12.5">
      <c r="A510" s="2"/>
      <c r="B510" s="2"/>
    </row>
    <row r="511" spans="1:2" ht="12.5">
      <c r="A511" s="2"/>
      <c r="B511" s="2"/>
    </row>
    <row r="512" spans="1:2" ht="12.5">
      <c r="A512" s="2"/>
      <c r="B512" s="2"/>
    </row>
    <row r="513" spans="1:2" ht="12.5">
      <c r="A513" s="2"/>
      <c r="B513" s="2"/>
    </row>
    <row r="514" spans="1:2" ht="12.5">
      <c r="A514" s="2"/>
      <c r="B514" s="2"/>
    </row>
    <row r="515" spans="1:2" ht="12.5">
      <c r="A515" s="2"/>
      <c r="B515" s="2"/>
    </row>
    <row r="516" spans="1:2" ht="12.5">
      <c r="A516" s="2"/>
      <c r="B516" s="2"/>
    </row>
    <row r="517" spans="1:2" ht="12.5">
      <c r="A517" s="2"/>
      <c r="B517" s="2"/>
    </row>
    <row r="518" spans="1:2" ht="12.5">
      <c r="A518" s="2"/>
      <c r="B518" s="2"/>
    </row>
    <row r="519" spans="1:2" ht="12.5">
      <c r="A519" s="2"/>
      <c r="B519" s="2"/>
    </row>
    <row r="520" spans="1:2" ht="12.5">
      <c r="A520" s="2"/>
      <c r="B520" s="2"/>
    </row>
    <row r="521" spans="1:2" ht="12.5">
      <c r="A521" s="2"/>
      <c r="B521" s="2"/>
    </row>
    <row r="522" spans="1:2" ht="12.5">
      <c r="A522" s="2"/>
      <c r="B522" s="2"/>
    </row>
    <row r="523" spans="1:2" ht="12.5">
      <c r="A523" s="2"/>
      <c r="B523" s="2"/>
    </row>
    <row r="524" spans="1:2" ht="12.5">
      <c r="A524" s="2"/>
      <c r="B524" s="2"/>
    </row>
    <row r="525" spans="1:2" ht="12.5">
      <c r="A525" s="2"/>
      <c r="B525" s="2"/>
    </row>
    <row r="526" spans="1:2" ht="12.5">
      <c r="A526" s="2"/>
      <c r="B526" s="2"/>
    </row>
    <row r="527" spans="1:2" ht="12.5">
      <c r="A527" s="2"/>
      <c r="B527" s="2"/>
    </row>
    <row r="528" spans="1:2" ht="12.5">
      <c r="A528" s="2"/>
      <c r="B528" s="2"/>
    </row>
    <row r="529" spans="1:2" ht="12.5">
      <c r="A529" s="2"/>
      <c r="B529" s="2"/>
    </row>
    <row r="530" spans="1:2" ht="12.5">
      <c r="A530" s="2"/>
      <c r="B530" s="2"/>
    </row>
    <row r="531" spans="1:2" ht="12.5">
      <c r="A531" s="2"/>
      <c r="B531" s="2"/>
    </row>
    <row r="532" spans="1:2" ht="12.5">
      <c r="A532" s="2"/>
      <c r="B532" s="2"/>
    </row>
    <row r="533" spans="1:2" ht="12.5">
      <c r="A533" s="2"/>
      <c r="B533" s="2"/>
    </row>
    <row r="534" spans="1:2" ht="12.5">
      <c r="A534" s="2"/>
      <c r="B534" s="2"/>
    </row>
    <row r="535" spans="1:2" ht="12.5">
      <c r="A535" s="2"/>
      <c r="B535" s="2"/>
    </row>
    <row r="536" spans="1:2" ht="12.5">
      <c r="A536" s="2"/>
      <c r="B536" s="2"/>
    </row>
    <row r="537" spans="1:2" ht="12.5">
      <c r="A537" s="2"/>
      <c r="B537" s="2"/>
    </row>
    <row r="538" spans="1:2" ht="12.5">
      <c r="A538" s="2"/>
      <c r="B538" s="2"/>
    </row>
    <row r="539" spans="1:2" ht="12.5">
      <c r="A539" s="2"/>
      <c r="B539" s="2"/>
    </row>
    <row r="540" spans="1:2" ht="12.5">
      <c r="A540" s="2"/>
      <c r="B540" s="2"/>
    </row>
    <row r="541" spans="1:2" ht="12.5">
      <c r="A541" s="2"/>
      <c r="B541" s="2"/>
    </row>
    <row r="542" spans="1:2" ht="12.5">
      <c r="A542" s="2"/>
      <c r="B542" s="2"/>
    </row>
    <row r="543" spans="1:2" ht="12.5">
      <c r="A543" s="2"/>
      <c r="B543" s="2"/>
    </row>
    <row r="544" spans="1:2" ht="12.5">
      <c r="A544" s="2"/>
      <c r="B544" s="2"/>
    </row>
    <row r="545" spans="1:2" ht="12.5">
      <c r="A545" s="2"/>
      <c r="B545" s="2"/>
    </row>
    <row r="546" spans="1:2" ht="12.5">
      <c r="A546" s="2"/>
      <c r="B546" s="2"/>
    </row>
    <row r="547" spans="1:2" ht="12.5">
      <c r="A547" s="2"/>
      <c r="B547" s="2"/>
    </row>
    <row r="548" spans="1:2" ht="12.5">
      <c r="A548" s="2"/>
      <c r="B548" s="2"/>
    </row>
    <row r="549" spans="1:2" ht="12.5">
      <c r="A549" s="2"/>
      <c r="B549" s="2"/>
    </row>
    <row r="550" spans="1:2" ht="12.5">
      <c r="A550" s="2"/>
      <c r="B550" s="2"/>
    </row>
    <row r="551" spans="1:2" ht="12.5">
      <c r="A551" s="2"/>
      <c r="B551" s="2"/>
    </row>
    <row r="552" spans="1:2" ht="12.5">
      <c r="A552" s="2"/>
      <c r="B552" s="2"/>
    </row>
    <row r="553" spans="1:2" ht="12.5">
      <c r="A553" s="2"/>
      <c r="B553" s="2"/>
    </row>
    <row r="554" spans="1:2" ht="12.5">
      <c r="A554" s="2"/>
      <c r="B554" s="2"/>
    </row>
    <row r="555" spans="1:2" ht="12.5">
      <c r="A555" s="2"/>
      <c r="B555" s="2"/>
    </row>
    <row r="556" spans="1:2" ht="12.5">
      <c r="A556" s="2"/>
      <c r="B556" s="2"/>
    </row>
    <row r="557" spans="1:2" ht="12.5">
      <c r="A557" s="2"/>
      <c r="B557" s="2"/>
    </row>
    <row r="558" spans="1:2" ht="12.5">
      <c r="A558" s="2"/>
      <c r="B558" s="2"/>
    </row>
    <row r="559" spans="1:2" ht="12.5">
      <c r="A559" s="2"/>
      <c r="B559" s="2"/>
    </row>
    <row r="560" spans="1:2" ht="12.5">
      <c r="A560" s="2"/>
      <c r="B560" s="2"/>
    </row>
    <row r="561" spans="1:2" ht="12.5">
      <c r="A561" s="2"/>
      <c r="B561" s="2"/>
    </row>
    <row r="562" spans="1:2" ht="12.5">
      <c r="A562" s="2"/>
      <c r="B562" s="2"/>
    </row>
    <row r="563" spans="1:2" ht="12.5">
      <c r="A563" s="2"/>
      <c r="B563" s="2"/>
    </row>
    <row r="564" spans="1:2" ht="12.5">
      <c r="A564" s="2"/>
      <c r="B564" s="2"/>
    </row>
    <row r="565" spans="1:2" ht="12.5">
      <c r="A565" s="2"/>
      <c r="B565" s="2"/>
    </row>
    <row r="566" spans="1:2" ht="12.5">
      <c r="A566" s="2"/>
      <c r="B566" s="2"/>
    </row>
    <row r="567" spans="1:2" ht="12.5">
      <c r="A567" s="2"/>
      <c r="B567" s="2"/>
    </row>
    <row r="568" spans="1:2" ht="12.5">
      <c r="A568" s="2"/>
      <c r="B568" s="2"/>
    </row>
    <row r="569" spans="1:2" ht="12.5">
      <c r="A569" s="2"/>
      <c r="B569" s="2"/>
    </row>
    <row r="570" spans="1:2" ht="12.5">
      <c r="A570" s="2"/>
      <c r="B570" s="2"/>
    </row>
    <row r="571" spans="1:2" ht="12.5">
      <c r="A571" s="2"/>
      <c r="B571" s="2"/>
    </row>
    <row r="572" spans="1:2" ht="12.5">
      <c r="A572" s="2"/>
      <c r="B572" s="2"/>
    </row>
    <row r="573" spans="1:2" ht="12.5">
      <c r="A573" s="2"/>
      <c r="B573" s="2"/>
    </row>
    <row r="574" spans="1:2" ht="12.5">
      <c r="A574" s="2"/>
      <c r="B574" s="2"/>
    </row>
    <row r="575" spans="1:2" ht="12.5">
      <c r="A575" s="2"/>
      <c r="B575" s="2"/>
    </row>
    <row r="576" spans="1:2" ht="12.5">
      <c r="A576" s="2"/>
      <c r="B576" s="2"/>
    </row>
    <row r="577" spans="1:2" ht="12.5">
      <c r="A577" s="2"/>
      <c r="B577" s="2"/>
    </row>
    <row r="578" spans="1:2" ht="12.5">
      <c r="A578" s="2"/>
      <c r="B578" s="2"/>
    </row>
    <row r="579" spans="1:2" ht="12.5">
      <c r="A579" s="2"/>
      <c r="B579" s="2"/>
    </row>
    <row r="580" spans="1:2" ht="12.5">
      <c r="A580" s="2"/>
      <c r="B580" s="2"/>
    </row>
    <row r="581" spans="1:2" ht="12.5">
      <c r="A581" s="2"/>
      <c r="B581" s="2"/>
    </row>
    <row r="582" spans="1:2" ht="12.5">
      <c r="A582" s="2"/>
      <c r="B582" s="2"/>
    </row>
    <row r="583" spans="1:2" ht="12.5">
      <c r="A583" s="2"/>
      <c r="B583" s="2"/>
    </row>
    <row r="584" spans="1:2" ht="12.5">
      <c r="A584" s="2"/>
      <c r="B584" s="2"/>
    </row>
    <row r="585" spans="1:2" ht="12.5">
      <c r="A585" s="2"/>
      <c r="B585" s="2"/>
    </row>
    <row r="586" spans="1:2" ht="12.5">
      <c r="A586" s="2"/>
      <c r="B586" s="2"/>
    </row>
    <row r="587" spans="1:2" ht="12.5">
      <c r="A587" s="2"/>
      <c r="B587" s="2"/>
    </row>
    <row r="588" spans="1:2" ht="12.5">
      <c r="A588" s="2"/>
      <c r="B588" s="2"/>
    </row>
    <row r="589" spans="1:2" ht="12.5">
      <c r="A589" s="2"/>
      <c r="B589" s="2"/>
    </row>
    <row r="590" spans="1:2" ht="12.5">
      <c r="A590" s="2"/>
      <c r="B590" s="2"/>
    </row>
    <row r="591" spans="1:2" ht="12.5">
      <c r="A591" s="2"/>
      <c r="B591" s="2"/>
    </row>
    <row r="592" spans="1:2" ht="12.5">
      <c r="A592" s="2"/>
      <c r="B592" s="2"/>
    </row>
    <row r="593" spans="1:2" ht="12.5">
      <c r="A593" s="2"/>
      <c r="B593" s="2"/>
    </row>
    <row r="594" spans="1:2" ht="12.5">
      <c r="A594" s="2"/>
      <c r="B594" s="2"/>
    </row>
    <row r="595" spans="1:2" ht="12.5">
      <c r="A595" s="2"/>
      <c r="B595" s="2"/>
    </row>
    <row r="596" spans="1:2" ht="12.5">
      <c r="A596" s="2"/>
      <c r="B596" s="2"/>
    </row>
    <row r="597" spans="1:2" ht="12.5">
      <c r="A597" s="2"/>
      <c r="B597" s="2"/>
    </row>
    <row r="598" spans="1:2" ht="12.5">
      <c r="A598" s="2"/>
      <c r="B598" s="2"/>
    </row>
    <row r="599" spans="1:2" ht="12.5">
      <c r="A599" s="2"/>
      <c r="B599" s="2"/>
    </row>
    <row r="600" spans="1:2" ht="12.5">
      <c r="A600" s="2"/>
      <c r="B600" s="2"/>
    </row>
    <row r="601" spans="1:2" ht="12.5">
      <c r="A601" s="2"/>
      <c r="B601" s="2"/>
    </row>
    <row r="602" spans="1:2" ht="12.5">
      <c r="A602" s="2"/>
      <c r="B602" s="2"/>
    </row>
    <row r="603" spans="1:2" ht="12.5">
      <c r="A603" s="2"/>
      <c r="B603" s="2"/>
    </row>
    <row r="604" spans="1:2" ht="12.5">
      <c r="A604" s="2"/>
      <c r="B604" s="2"/>
    </row>
    <row r="605" spans="1:2" ht="12.5">
      <c r="A605" s="2"/>
      <c r="B605" s="2"/>
    </row>
    <row r="606" spans="1:2" ht="12.5">
      <c r="A606" s="2"/>
      <c r="B606" s="2"/>
    </row>
    <row r="607" spans="1:2" ht="12.5">
      <c r="A607" s="2"/>
      <c r="B607" s="2"/>
    </row>
    <row r="608" spans="1:2" ht="12.5">
      <c r="A608" s="2"/>
      <c r="B608" s="2"/>
    </row>
    <row r="609" spans="1:2" ht="12.5">
      <c r="A609" s="2"/>
      <c r="B609" s="2"/>
    </row>
    <row r="610" spans="1:2" ht="12.5">
      <c r="A610" s="2"/>
      <c r="B610" s="2"/>
    </row>
    <row r="611" spans="1:2" ht="12.5">
      <c r="A611" s="2"/>
      <c r="B611" s="2"/>
    </row>
    <row r="612" spans="1:2" ht="12.5">
      <c r="A612" s="2"/>
      <c r="B612" s="2"/>
    </row>
    <row r="613" spans="1:2" ht="12.5">
      <c r="A613" s="2"/>
      <c r="B613" s="2"/>
    </row>
    <row r="614" spans="1:2" ht="12.5">
      <c r="A614" s="2"/>
      <c r="B614" s="2"/>
    </row>
    <row r="615" spans="1:2" ht="12.5">
      <c r="A615" s="2"/>
      <c r="B615" s="2"/>
    </row>
    <row r="616" spans="1:2" ht="12.5">
      <c r="A616" s="2"/>
      <c r="B616" s="2"/>
    </row>
    <row r="617" spans="1:2" ht="12.5">
      <c r="A617" s="2"/>
      <c r="B617" s="2"/>
    </row>
    <row r="618" spans="1:2" ht="12.5">
      <c r="A618" s="2"/>
      <c r="B618" s="2"/>
    </row>
    <row r="619" spans="1:2" ht="12.5">
      <c r="A619" s="2"/>
      <c r="B619" s="2"/>
    </row>
    <row r="620" spans="1:2" ht="12.5">
      <c r="A620" s="2"/>
      <c r="B620" s="2"/>
    </row>
    <row r="621" spans="1:2" ht="12.5">
      <c r="A621" s="2"/>
      <c r="B621" s="2"/>
    </row>
    <row r="622" spans="1:2" ht="12.5">
      <c r="A622" s="2"/>
      <c r="B622" s="2"/>
    </row>
    <row r="623" spans="1:2" ht="12.5">
      <c r="A623" s="2"/>
      <c r="B623" s="2"/>
    </row>
    <row r="624" spans="1:2" ht="12.5">
      <c r="A624" s="2"/>
      <c r="B624" s="2"/>
    </row>
    <row r="625" spans="1:2" ht="12.5">
      <c r="A625" s="2"/>
      <c r="B625" s="2"/>
    </row>
    <row r="626" spans="1:2" ht="12.5">
      <c r="A626" s="2"/>
      <c r="B626" s="2"/>
    </row>
    <row r="627" spans="1:2" ht="12.5">
      <c r="A627" s="2"/>
      <c r="B627" s="2"/>
    </row>
    <row r="628" spans="1:2" ht="12.5">
      <c r="A628" s="2"/>
      <c r="B628" s="2"/>
    </row>
    <row r="629" spans="1:2" ht="12.5">
      <c r="A629" s="2"/>
      <c r="B629" s="2"/>
    </row>
    <row r="630" spans="1:2" ht="12.5">
      <c r="A630" s="2"/>
      <c r="B630" s="2"/>
    </row>
    <row r="631" spans="1:2" ht="12.5">
      <c r="A631" s="2"/>
      <c r="B631" s="2"/>
    </row>
    <row r="632" spans="1:2" ht="12.5">
      <c r="A632" s="2"/>
      <c r="B632" s="2"/>
    </row>
    <row r="633" spans="1:2" ht="12.5">
      <c r="A633" s="2"/>
      <c r="B633" s="2"/>
    </row>
    <row r="634" spans="1:2" ht="12.5">
      <c r="A634" s="2"/>
      <c r="B634" s="2"/>
    </row>
    <row r="635" spans="1:2" ht="12.5">
      <c r="A635" s="2"/>
      <c r="B635" s="2"/>
    </row>
    <row r="636" spans="1:2" ht="12.5">
      <c r="A636" s="2"/>
      <c r="B636" s="2"/>
    </row>
    <row r="637" spans="1:2" ht="12.5">
      <c r="A637" s="2"/>
      <c r="B637" s="2"/>
    </row>
    <row r="638" spans="1:2" ht="12.5">
      <c r="A638" s="2"/>
      <c r="B638" s="2"/>
    </row>
    <row r="639" spans="1:2" ht="12.5">
      <c r="A639" s="2"/>
      <c r="B639" s="2"/>
    </row>
    <row r="640" spans="1:2" ht="12.5">
      <c r="A640" s="2"/>
      <c r="B640" s="2"/>
    </row>
    <row r="641" spans="1:2" ht="12.5">
      <c r="A641" s="2"/>
      <c r="B641" s="2"/>
    </row>
    <row r="642" spans="1:2" ht="12.5">
      <c r="A642" s="2"/>
      <c r="B642" s="2"/>
    </row>
    <row r="643" spans="1:2" ht="12.5">
      <c r="A643" s="2"/>
      <c r="B643" s="2"/>
    </row>
    <row r="644" spans="1:2" ht="12.5">
      <c r="A644" s="2"/>
      <c r="B644" s="2"/>
    </row>
    <row r="645" spans="1:2" ht="12.5">
      <c r="A645" s="2"/>
      <c r="B645" s="2"/>
    </row>
    <row r="646" spans="1:2" ht="12.5">
      <c r="A646" s="2"/>
      <c r="B646" s="2"/>
    </row>
    <row r="647" spans="1:2" ht="12.5">
      <c r="A647" s="2"/>
      <c r="B647" s="2"/>
    </row>
    <row r="648" spans="1:2" ht="12.5">
      <c r="A648" s="2"/>
      <c r="B648" s="2"/>
    </row>
    <row r="649" spans="1:2" ht="12.5">
      <c r="A649" s="2"/>
      <c r="B649" s="2"/>
    </row>
    <row r="650" spans="1:2" ht="12.5">
      <c r="A650" s="2"/>
      <c r="B650" s="2"/>
    </row>
    <row r="651" spans="1:2" ht="12.5">
      <c r="A651" s="2"/>
      <c r="B651" s="2"/>
    </row>
    <row r="652" spans="1:2" ht="12.5">
      <c r="A652" s="2"/>
      <c r="B652" s="2"/>
    </row>
    <row r="653" spans="1:2" ht="12.5">
      <c r="A653" s="2"/>
      <c r="B653" s="2"/>
    </row>
    <row r="654" spans="1:2" ht="12.5">
      <c r="A654" s="2"/>
      <c r="B654" s="2"/>
    </row>
    <row r="655" spans="1:2" ht="12.5">
      <c r="A655" s="2"/>
      <c r="B655" s="2"/>
    </row>
    <row r="656" spans="1:2" ht="12.5">
      <c r="A656" s="2"/>
      <c r="B656" s="2"/>
    </row>
    <row r="657" spans="1:2" ht="12.5">
      <c r="A657" s="2"/>
      <c r="B657" s="2"/>
    </row>
    <row r="658" spans="1:2" ht="12.5">
      <c r="A658" s="2"/>
      <c r="B658" s="2"/>
    </row>
    <row r="659" spans="1:2" ht="12.5">
      <c r="A659" s="2"/>
      <c r="B659" s="2"/>
    </row>
    <row r="660" spans="1:2" ht="12.5">
      <c r="A660" s="2"/>
      <c r="B660" s="2"/>
    </row>
    <row r="661" spans="1:2" ht="12.5">
      <c r="A661" s="2"/>
      <c r="B661" s="2"/>
    </row>
    <row r="662" spans="1:2" ht="12.5">
      <c r="A662" s="2"/>
      <c r="B662" s="2"/>
    </row>
    <row r="663" spans="1:2" ht="12.5">
      <c r="A663" s="2"/>
      <c r="B663" s="2"/>
    </row>
    <row r="664" spans="1:2" ht="12.5">
      <c r="A664" s="2"/>
      <c r="B664" s="2"/>
    </row>
    <row r="665" spans="1:2" ht="12.5">
      <c r="A665" s="2"/>
      <c r="B665" s="2"/>
    </row>
    <row r="666" spans="1:2" ht="12.5">
      <c r="A666" s="2"/>
      <c r="B666" s="2"/>
    </row>
    <row r="667" spans="1:2" ht="12.5">
      <c r="A667" s="2"/>
      <c r="B667" s="2"/>
    </row>
    <row r="668" spans="1:2" ht="12.5">
      <c r="A668" s="2"/>
      <c r="B668" s="2"/>
    </row>
    <row r="669" spans="1:2" ht="12.5">
      <c r="A669" s="2"/>
      <c r="B669" s="2"/>
    </row>
    <row r="670" spans="1:2" ht="12.5">
      <c r="A670" s="2"/>
      <c r="B670" s="2"/>
    </row>
    <row r="671" spans="1:2" ht="12.5">
      <c r="A671" s="2"/>
      <c r="B671" s="2"/>
    </row>
    <row r="672" spans="1:2" ht="12.5">
      <c r="A672" s="2"/>
      <c r="B672" s="2"/>
    </row>
    <row r="673" spans="1:2" ht="12.5">
      <c r="A673" s="2"/>
      <c r="B673" s="2"/>
    </row>
    <row r="674" spans="1:2" ht="12.5">
      <c r="A674" s="2"/>
      <c r="B674" s="2"/>
    </row>
    <row r="675" spans="1:2" ht="12.5">
      <c r="A675" s="2"/>
      <c r="B675" s="2"/>
    </row>
    <row r="676" spans="1:2" ht="12.5">
      <c r="A676" s="2"/>
      <c r="B676" s="2"/>
    </row>
    <row r="677" spans="1:2" ht="12.5">
      <c r="A677" s="2"/>
      <c r="B677" s="2"/>
    </row>
    <row r="678" spans="1:2" ht="12.5">
      <c r="A678" s="2"/>
      <c r="B678" s="2"/>
    </row>
    <row r="679" spans="1:2" ht="12.5">
      <c r="A679" s="2"/>
      <c r="B679" s="2"/>
    </row>
    <row r="680" spans="1:2" ht="12.5">
      <c r="A680" s="2"/>
      <c r="B680" s="2"/>
    </row>
    <row r="681" spans="1:2" ht="12.5">
      <c r="A681" s="2"/>
      <c r="B681" s="2"/>
    </row>
    <row r="682" spans="1:2" ht="12.5">
      <c r="A682" s="2"/>
      <c r="B682" s="2"/>
    </row>
    <row r="683" spans="1:2" ht="12.5">
      <c r="A683" s="2"/>
      <c r="B683" s="2"/>
    </row>
    <row r="684" spans="1:2" ht="12.5">
      <c r="A684" s="2"/>
      <c r="B684" s="2"/>
    </row>
    <row r="685" spans="1:2" ht="12.5">
      <c r="A685" s="2"/>
      <c r="B685" s="2"/>
    </row>
    <row r="686" spans="1:2" ht="12.5">
      <c r="A686" s="2"/>
      <c r="B686" s="2"/>
    </row>
    <row r="687" spans="1:2" ht="12.5">
      <c r="A687" s="2"/>
      <c r="B687" s="2"/>
    </row>
    <row r="688" spans="1:2" ht="12.5">
      <c r="A688" s="2"/>
      <c r="B688" s="2"/>
    </row>
    <row r="689" spans="1:2" ht="12.5">
      <c r="A689" s="2"/>
      <c r="B689" s="2"/>
    </row>
    <row r="690" spans="1:2" ht="12.5">
      <c r="A690" s="2"/>
      <c r="B690" s="2"/>
    </row>
    <row r="691" spans="1:2" ht="12.5">
      <c r="A691" s="2"/>
      <c r="B691" s="2"/>
    </row>
    <row r="692" spans="1:2" ht="12.5">
      <c r="A692" s="2"/>
      <c r="B692" s="2"/>
    </row>
    <row r="693" spans="1:2" ht="12.5">
      <c r="A693" s="2"/>
      <c r="B693" s="2"/>
    </row>
    <row r="694" spans="1:2" ht="12.5">
      <c r="A694" s="2"/>
      <c r="B694" s="2"/>
    </row>
    <row r="695" spans="1:2" ht="12.5">
      <c r="A695" s="2"/>
      <c r="B695" s="2"/>
    </row>
    <row r="696" spans="1:2" ht="12.5">
      <c r="A696" s="2"/>
      <c r="B696" s="2"/>
    </row>
    <row r="697" spans="1:2" ht="12.5">
      <c r="A697" s="2"/>
      <c r="B697" s="2"/>
    </row>
    <row r="698" spans="1:2" ht="12.5">
      <c r="A698" s="2"/>
      <c r="B698" s="2"/>
    </row>
    <row r="699" spans="1:2" ht="12.5">
      <c r="A699" s="2"/>
      <c r="B699" s="2"/>
    </row>
    <row r="700" spans="1:2" ht="12.5">
      <c r="A700" s="2"/>
      <c r="B700" s="2"/>
    </row>
    <row r="701" spans="1:2" ht="12.5">
      <c r="A701" s="2"/>
      <c r="B701" s="2"/>
    </row>
    <row r="702" spans="1:2" ht="12.5">
      <c r="A702" s="2"/>
      <c r="B702" s="2"/>
    </row>
    <row r="703" spans="1:2" ht="12.5">
      <c r="A703" s="2"/>
      <c r="B703" s="2"/>
    </row>
    <row r="704" spans="1:2" ht="12.5">
      <c r="A704" s="2"/>
      <c r="B704" s="2"/>
    </row>
    <row r="705" spans="1:2" ht="12.5">
      <c r="A705" s="2"/>
      <c r="B705" s="2"/>
    </row>
    <row r="706" spans="1:2" ht="12.5">
      <c r="A706" s="2"/>
      <c r="B706" s="2"/>
    </row>
    <row r="707" spans="1:2" ht="12.5">
      <c r="A707" s="2"/>
      <c r="B707" s="2"/>
    </row>
    <row r="708" spans="1:2" ht="12.5">
      <c r="A708" s="2"/>
      <c r="B708" s="2"/>
    </row>
    <row r="709" spans="1:2" ht="12.5">
      <c r="A709" s="2"/>
      <c r="B709" s="2"/>
    </row>
    <row r="710" spans="1:2" ht="12.5">
      <c r="A710" s="2"/>
      <c r="B710" s="2"/>
    </row>
    <row r="711" spans="1:2" ht="12.5">
      <c r="A711" s="2"/>
      <c r="B711" s="2"/>
    </row>
    <row r="712" spans="1:2" ht="12.5">
      <c r="A712" s="2"/>
      <c r="B712" s="2"/>
    </row>
    <row r="713" spans="1:2" ht="12.5">
      <c r="A713" s="2"/>
      <c r="B713" s="2"/>
    </row>
    <row r="714" spans="1:2" ht="12.5">
      <c r="A714" s="2"/>
      <c r="B714" s="2"/>
    </row>
    <row r="715" spans="1:2" ht="12.5">
      <c r="A715" s="2"/>
      <c r="B715" s="2"/>
    </row>
    <row r="716" spans="1:2" ht="12.5">
      <c r="A716" s="2"/>
      <c r="B716" s="2"/>
    </row>
    <row r="717" spans="1:2" ht="12.5">
      <c r="A717" s="2"/>
      <c r="B717" s="2"/>
    </row>
    <row r="718" spans="1:2" ht="12.5">
      <c r="A718" s="2"/>
      <c r="B718" s="2"/>
    </row>
    <row r="719" spans="1:2" ht="12.5">
      <c r="A719" s="2"/>
      <c r="B719" s="2"/>
    </row>
    <row r="720" spans="1:2" ht="12.5">
      <c r="A720" s="2"/>
      <c r="B720" s="2"/>
    </row>
    <row r="721" spans="1:2" ht="12.5">
      <c r="A721" s="2"/>
      <c r="B721" s="2"/>
    </row>
    <row r="722" spans="1:2" ht="12.5">
      <c r="A722" s="2"/>
      <c r="B722" s="2"/>
    </row>
    <row r="723" spans="1:2" ht="12.5">
      <c r="A723" s="2"/>
      <c r="B723" s="2"/>
    </row>
    <row r="724" spans="1:2" ht="12.5">
      <c r="A724" s="2"/>
      <c r="B724" s="2"/>
    </row>
    <row r="725" spans="1:2" ht="12.5">
      <c r="A725" s="2"/>
      <c r="B725" s="2"/>
    </row>
    <row r="726" spans="1:2" ht="12.5">
      <c r="A726" s="2"/>
      <c r="B726" s="2"/>
    </row>
    <row r="727" spans="1:2" ht="12.5">
      <c r="A727" s="2"/>
      <c r="B727" s="2"/>
    </row>
    <row r="728" spans="1:2" ht="12.5">
      <c r="A728" s="2"/>
      <c r="B728" s="2"/>
    </row>
    <row r="729" spans="1:2" ht="12.5">
      <c r="A729" s="2"/>
      <c r="B729" s="2"/>
    </row>
    <row r="730" spans="1:2" ht="12.5">
      <c r="A730" s="2"/>
      <c r="B730" s="2"/>
    </row>
    <row r="731" spans="1:2" ht="12.5">
      <c r="A731" s="2"/>
      <c r="B731" s="2"/>
    </row>
    <row r="732" spans="1:2" ht="12.5">
      <c r="A732" s="2"/>
      <c r="B732" s="2"/>
    </row>
    <row r="733" spans="1:2" ht="12.5">
      <c r="A733" s="2"/>
      <c r="B733" s="2"/>
    </row>
    <row r="734" spans="1:2" ht="12.5">
      <c r="A734" s="2"/>
      <c r="B734" s="2"/>
    </row>
    <row r="735" spans="1:2" ht="12.5">
      <c r="A735" s="2"/>
      <c r="B735" s="2"/>
    </row>
    <row r="736" spans="1:2" ht="12.5">
      <c r="A736" s="2"/>
      <c r="B736" s="2"/>
    </row>
    <row r="737" spans="1:2" ht="12.5">
      <c r="A737" s="2"/>
      <c r="B737" s="2"/>
    </row>
    <row r="738" spans="1:2" ht="12.5">
      <c r="A738" s="2"/>
      <c r="B738" s="2"/>
    </row>
    <row r="739" spans="1:2" ht="12.5">
      <c r="A739" s="2"/>
      <c r="B739" s="2"/>
    </row>
    <row r="740" spans="1:2" ht="12.5">
      <c r="A740" s="2"/>
      <c r="B740" s="2"/>
    </row>
    <row r="741" spans="1:2" ht="12.5">
      <c r="A741" s="2"/>
      <c r="B741" s="2"/>
    </row>
    <row r="742" spans="1:2" ht="12.5">
      <c r="A742" s="2"/>
      <c r="B742" s="2"/>
    </row>
    <row r="743" spans="1:2" ht="12.5">
      <c r="A743" s="2"/>
      <c r="B743" s="2"/>
    </row>
    <row r="744" spans="1:2" ht="12.5">
      <c r="A744" s="2"/>
      <c r="B744" s="2"/>
    </row>
    <row r="745" spans="1:2" ht="12.5">
      <c r="A745" s="2"/>
      <c r="B745" s="2"/>
    </row>
    <row r="746" spans="1:2" ht="12.5">
      <c r="A746" s="2"/>
      <c r="B746" s="2"/>
    </row>
    <row r="747" spans="1:2" ht="12.5">
      <c r="A747" s="2"/>
      <c r="B747" s="2"/>
    </row>
    <row r="748" spans="1:2" ht="12.5">
      <c r="A748" s="2"/>
      <c r="B748" s="2"/>
    </row>
    <row r="749" spans="1:2" ht="12.5">
      <c r="A749" s="2"/>
      <c r="B749" s="2"/>
    </row>
    <row r="750" spans="1:2" ht="12.5">
      <c r="A750" s="2"/>
      <c r="B750" s="2"/>
    </row>
    <row r="751" spans="1:2" ht="12.5">
      <c r="A751" s="2"/>
      <c r="B751" s="2"/>
    </row>
    <row r="752" spans="1:2" ht="12.5">
      <c r="A752" s="2"/>
      <c r="B752" s="2"/>
    </row>
    <row r="753" spans="1:2" ht="12.5">
      <c r="A753" s="2"/>
      <c r="B753" s="2"/>
    </row>
    <row r="754" spans="1:2" ht="12.5">
      <c r="A754" s="2"/>
      <c r="B754" s="2"/>
    </row>
    <row r="755" spans="1:2" ht="12.5">
      <c r="A755" s="2"/>
      <c r="B755" s="2"/>
    </row>
    <row r="756" spans="1:2" ht="12.5">
      <c r="A756" s="2"/>
      <c r="B756" s="2"/>
    </row>
    <row r="757" spans="1:2" ht="12.5">
      <c r="A757" s="2"/>
      <c r="B757" s="2"/>
    </row>
    <row r="758" spans="1:2" ht="12.5">
      <c r="A758" s="2"/>
      <c r="B758" s="2"/>
    </row>
    <row r="759" spans="1:2" ht="12.5">
      <c r="A759" s="2"/>
      <c r="B759" s="2"/>
    </row>
    <row r="760" spans="1:2" ht="12.5">
      <c r="A760" s="2"/>
      <c r="B760" s="2"/>
    </row>
    <row r="761" spans="1:2" ht="12.5">
      <c r="A761" s="2"/>
      <c r="B761" s="2"/>
    </row>
    <row r="762" spans="1:2" ht="12.5">
      <c r="A762" s="2"/>
      <c r="B762" s="2"/>
    </row>
    <row r="763" spans="1:2" ht="12.5">
      <c r="A763" s="2"/>
      <c r="B763" s="2"/>
    </row>
    <row r="764" spans="1:2" ht="12.5">
      <c r="A764" s="2"/>
      <c r="B764" s="2"/>
    </row>
    <row r="765" spans="1:2" ht="12.5">
      <c r="A765" s="2"/>
      <c r="B765" s="2"/>
    </row>
    <row r="766" spans="1:2" ht="12.5">
      <c r="A766" s="2"/>
      <c r="B766" s="2"/>
    </row>
    <row r="767" spans="1:2" ht="12.5">
      <c r="A767" s="2"/>
      <c r="B767" s="2"/>
    </row>
    <row r="768" spans="1:2" ht="12.5">
      <c r="A768" s="2"/>
      <c r="B768" s="2"/>
    </row>
    <row r="769" spans="1:2" ht="12.5">
      <c r="A769" s="2"/>
      <c r="B769" s="2"/>
    </row>
    <row r="770" spans="1:2" ht="12.5">
      <c r="A770" s="2"/>
      <c r="B770" s="2"/>
    </row>
    <row r="771" spans="1:2" ht="12.5">
      <c r="A771" s="2"/>
      <c r="B771" s="2"/>
    </row>
    <row r="772" spans="1:2" ht="12.5">
      <c r="A772" s="2"/>
      <c r="B772" s="2"/>
    </row>
    <row r="773" spans="1:2" ht="12.5">
      <c r="A773" s="2"/>
      <c r="B773" s="2"/>
    </row>
    <row r="774" spans="1:2" ht="12.5">
      <c r="A774" s="2"/>
      <c r="B774" s="2"/>
    </row>
    <row r="775" spans="1:2" ht="12.5">
      <c r="A775" s="2"/>
      <c r="B775" s="2"/>
    </row>
    <row r="776" spans="1:2" ht="12.5">
      <c r="A776" s="2"/>
      <c r="B776" s="2"/>
    </row>
    <row r="777" spans="1:2" ht="12.5">
      <c r="A777" s="2"/>
      <c r="B777" s="2"/>
    </row>
    <row r="778" spans="1:2" ht="12.5">
      <c r="A778" s="2"/>
      <c r="B778" s="2"/>
    </row>
    <row r="779" spans="1:2" ht="12.5">
      <c r="A779" s="2"/>
      <c r="B779" s="2"/>
    </row>
    <row r="780" spans="1:2" ht="12.5">
      <c r="A780" s="2"/>
      <c r="B780" s="2"/>
    </row>
    <row r="781" spans="1:2" ht="12.5">
      <c r="A781" s="2"/>
      <c r="B781" s="2"/>
    </row>
    <row r="782" spans="1:2" ht="12.5">
      <c r="A782" s="2"/>
      <c r="B782" s="2"/>
    </row>
    <row r="783" spans="1:2" ht="12.5">
      <c r="A783" s="2"/>
      <c r="B783" s="2"/>
    </row>
    <row r="784" spans="1:2" ht="12.5">
      <c r="A784" s="2"/>
      <c r="B784" s="2"/>
    </row>
    <row r="785" spans="1:2" ht="12.5">
      <c r="A785" s="2"/>
      <c r="B785" s="2"/>
    </row>
    <row r="786" spans="1:2" ht="12.5">
      <c r="A786" s="2"/>
      <c r="B786" s="2"/>
    </row>
    <row r="787" spans="1:2" ht="12.5">
      <c r="A787" s="2"/>
      <c r="B787" s="2"/>
    </row>
    <row r="788" spans="1:2" ht="12.5">
      <c r="A788" s="2"/>
      <c r="B788" s="2"/>
    </row>
    <row r="789" spans="1:2" ht="12.5">
      <c r="A789" s="2"/>
      <c r="B789" s="2"/>
    </row>
    <row r="790" spans="1:2" ht="12.5">
      <c r="A790" s="2"/>
      <c r="B790" s="2"/>
    </row>
    <row r="791" spans="1:2" ht="12.5">
      <c r="A791" s="2"/>
      <c r="B791" s="2"/>
    </row>
    <row r="792" spans="1:2" ht="12.5">
      <c r="A792" s="2"/>
      <c r="B792" s="2"/>
    </row>
    <row r="793" spans="1:2" ht="12.5">
      <c r="A793" s="2"/>
      <c r="B793" s="2"/>
    </row>
    <row r="794" spans="1:2" ht="12.5">
      <c r="A794" s="2"/>
      <c r="B794" s="2"/>
    </row>
    <row r="795" spans="1:2" ht="12.5">
      <c r="A795" s="2"/>
      <c r="B795" s="2"/>
    </row>
    <row r="796" spans="1:2" ht="12.5">
      <c r="A796" s="2"/>
      <c r="B796" s="2"/>
    </row>
    <row r="797" spans="1:2" ht="12.5">
      <c r="A797" s="2"/>
      <c r="B797" s="2"/>
    </row>
    <row r="798" spans="1:2" ht="12.5">
      <c r="A798" s="2"/>
      <c r="B798" s="2"/>
    </row>
    <row r="799" spans="1:2" ht="12.5">
      <c r="A799" s="2"/>
      <c r="B799" s="2"/>
    </row>
    <row r="800" spans="1:2" ht="12.5">
      <c r="A800" s="2"/>
      <c r="B800" s="2"/>
    </row>
    <row r="801" spans="1:2" ht="12.5">
      <c r="A801" s="2"/>
      <c r="B801" s="2"/>
    </row>
    <row r="802" spans="1:2" ht="12.5">
      <c r="A802" s="2"/>
      <c r="B802" s="2"/>
    </row>
    <row r="803" spans="1:2" ht="12.5">
      <c r="A803" s="2"/>
      <c r="B803" s="2"/>
    </row>
    <row r="804" spans="1:2" ht="12.5">
      <c r="A804" s="2"/>
      <c r="B804" s="2"/>
    </row>
    <row r="805" spans="1:2" ht="12.5">
      <c r="A805" s="2"/>
      <c r="B805" s="2"/>
    </row>
    <row r="806" spans="1:2" ht="12.5">
      <c r="A806" s="2"/>
      <c r="B806" s="2"/>
    </row>
    <row r="807" spans="1:2" ht="12.5">
      <c r="A807" s="2"/>
      <c r="B807" s="2"/>
    </row>
    <row r="808" spans="1:2" ht="12.5">
      <c r="A808" s="2"/>
      <c r="B808" s="2"/>
    </row>
    <row r="809" spans="1:2" ht="12.5">
      <c r="A809" s="2"/>
      <c r="B809" s="2"/>
    </row>
    <row r="810" spans="1:2" ht="12.5">
      <c r="A810" s="2"/>
      <c r="B810" s="2"/>
    </row>
    <row r="811" spans="1:2" ht="12.5">
      <c r="A811" s="2"/>
      <c r="B811" s="2"/>
    </row>
    <row r="812" spans="1:2" ht="12.5">
      <c r="A812" s="2"/>
      <c r="B812" s="2"/>
    </row>
    <row r="813" spans="1:2" ht="12.5">
      <c r="A813" s="2"/>
      <c r="B813" s="2"/>
    </row>
    <row r="814" spans="1:2" ht="12.5">
      <c r="A814" s="2"/>
      <c r="B814" s="2"/>
    </row>
    <row r="815" spans="1:2" ht="12.5">
      <c r="A815" s="2"/>
      <c r="B815" s="2"/>
    </row>
    <row r="816" spans="1:2" ht="12.5">
      <c r="A816" s="2"/>
      <c r="B816" s="2"/>
    </row>
    <row r="817" spans="1:2" ht="12.5">
      <c r="A817" s="2"/>
      <c r="B817" s="2"/>
    </row>
    <row r="818" spans="1:2" ht="12.5">
      <c r="A818" s="2"/>
      <c r="B818" s="2"/>
    </row>
    <row r="819" spans="1:2" ht="12.5">
      <c r="A819" s="2"/>
      <c r="B819" s="2"/>
    </row>
    <row r="820" spans="1:2" ht="12.5">
      <c r="A820" s="2"/>
      <c r="B820" s="2"/>
    </row>
    <row r="821" spans="1:2" ht="12.5">
      <c r="A821" s="2"/>
      <c r="B821" s="2"/>
    </row>
    <row r="822" spans="1:2" ht="12.5">
      <c r="A822" s="2"/>
      <c r="B822" s="2"/>
    </row>
    <row r="823" spans="1:2" ht="12.5">
      <c r="A823" s="2"/>
      <c r="B823" s="2"/>
    </row>
    <row r="824" spans="1:2" ht="12.5">
      <c r="A824" s="2"/>
      <c r="B824" s="2"/>
    </row>
    <row r="825" spans="1:2" ht="12.5">
      <c r="A825" s="2"/>
      <c r="B825" s="2"/>
    </row>
    <row r="826" spans="1:2" ht="12.5">
      <c r="A826" s="2"/>
      <c r="B826" s="2"/>
    </row>
    <row r="827" spans="1:2" ht="12.5">
      <c r="A827" s="2"/>
      <c r="B827" s="2"/>
    </row>
    <row r="828" spans="1:2" ht="12.5">
      <c r="A828" s="2"/>
      <c r="B828" s="2"/>
    </row>
    <row r="829" spans="1:2" ht="12.5">
      <c r="A829" s="2"/>
      <c r="B829" s="2"/>
    </row>
    <row r="830" spans="1:2" ht="12.5">
      <c r="A830" s="2"/>
      <c r="B830" s="2"/>
    </row>
    <row r="831" spans="1:2" ht="12.5">
      <c r="A831" s="2"/>
      <c r="B831" s="2"/>
    </row>
    <row r="832" spans="1:2" ht="12.5">
      <c r="A832" s="2"/>
      <c r="B832" s="2"/>
    </row>
    <row r="833" spans="1:2" ht="12.5">
      <c r="A833" s="2"/>
      <c r="B833" s="2"/>
    </row>
    <row r="834" spans="1:2" ht="12.5">
      <c r="A834" s="2"/>
      <c r="B834" s="2"/>
    </row>
    <row r="835" spans="1:2" ht="12.5">
      <c r="A835" s="2"/>
      <c r="B835" s="2"/>
    </row>
    <row r="836" spans="1:2" ht="12.5">
      <c r="A836" s="2"/>
      <c r="B836" s="2"/>
    </row>
    <row r="837" spans="1:2" ht="12.5">
      <c r="A837" s="2"/>
      <c r="B837" s="2"/>
    </row>
    <row r="838" spans="1:2" ht="12.5">
      <c r="A838" s="2"/>
      <c r="B838" s="2"/>
    </row>
    <row r="839" spans="1:2" ht="12.5">
      <c r="A839" s="2"/>
      <c r="B839" s="2"/>
    </row>
    <row r="840" spans="1:2" ht="12.5">
      <c r="A840" s="2"/>
      <c r="B840" s="2"/>
    </row>
    <row r="841" spans="1:2" ht="12.5">
      <c r="A841" s="2"/>
      <c r="B841" s="2"/>
    </row>
    <row r="842" spans="1:2" ht="12.5">
      <c r="A842" s="2"/>
      <c r="B842" s="2"/>
    </row>
    <row r="843" spans="1:2" ht="12.5">
      <c r="A843" s="2"/>
      <c r="B843" s="2"/>
    </row>
    <row r="844" spans="1:2" ht="12.5">
      <c r="A844" s="2"/>
      <c r="B844" s="2"/>
    </row>
    <row r="845" spans="1:2" ht="12.5">
      <c r="A845" s="2"/>
      <c r="B845" s="2"/>
    </row>
    <row r="846" spans="1:2" ht="12.5">
      <c r="A846" s="2"/>
      <c r="B846" s="2"/>
    </row>
    <row r="847" spans="1:2" ht="12.5">
      <c r="A847" s="2"/>
      <c r="B847" s="2"/>
    </row>
    <row r="848" spans="1:2" ht="12.5">
      <c r="A848" s="2"/>
      <c r="B848" s="2"/>
    </row>
    <row r="849" spans="1:2" ht="12.5">
      <c r="A849" s="2"/>
      <c r="B849" s="2"/>
    </row>
    <row r="850" spans="1:2" ht="12.5">
      <c r="A850" s="2"/>
      <c r="B850" s="2"/>
    </row>
    <row r="851" spans="1:2" ht="12.5">
      <c r="A851" s="2"/>
      <c r="B851" s="2"/>
    </row>
    <row r="852" spans="1:2" ht="12.5">
      <c r="A852" s="2"/>
      <c r="B852" s="2"/>
    </row>
    <row r="853" spans="1:2" ht="12.5">
      <c r="A853" s="2"/>
      <c r="B853" s="2"/>
    </row>
    <row r="854" spans="1:2" ht="12.5">
      <c r="A854" s="2"/>
      <c r="B854" s="2"/>
    </row>
    <row r="855" spans="1:2" ht="12.5">
      <c r="A855" s="2"/>
      <c r="B855" s="2"/>
    </row>
    <row r="856" spans="1:2" ht="12.5">
      <c r="A856" s="2"/>
      <c r="B856" s="2"/>
    </row>
    <row r="857" spans="1:2" ht="12.5">
      <c r="A857" s="2"/>
      <c r="B857" s="2"/>
    </row>
    <row r="858" spans="1:2" ht="12.5">
      <c r="A858" s="2"/>
      <c r="B858" s="2"/>
    </row>
    <row r="859" spans="1:2" ht="12.5">
      <c r="A859" s="2"/>
      <c r="B859" s="2"/>
    </row>
    <row r="860" spans="1:2" ht="12.5">
      <c r="A860" s="2"/>
      <c r="B860" s="2"/>
    </row>
    <row r="861" spans="1:2" ht="12.5">
      <c r="A861" s="2"/>
      <c r="B861" s="2"/>
    </row>
    <row r="862" spans="1:2" ht="12.5">
      <c r="A862" s="2"/>
      <c r="B862" s="2"/>
    </row>
    <row r="863" spans="1:2" ht="12.5">
      <c r="A863" s="2"/>
      <c r="B863" s="2"/>
    </row>
    <row r="864" spans="1:2" ht="12.5">
      <c r="A864" s="2"/>
      <c r="B864" s="2"/>
    </row>
    <row r="865" spans="1:2" ht="12.5">
      <c r="A865" s="2"/>
      <c r="B865" s="2"/>
    </row>
    <row r="866" spans="1:2" ht="12.5">
      <c r="A866" s="2"/>
      <c r="B866" s="2"/>
    </row>
    <row r="867" spans="1:2" ht="12.5">
      <c r="A867" s="2"/>
      <c r="B867" s="2"/>
    </row>
    <row r="868" spans="1:2" ht="12.5">
      <c r="A868" s="2"/>
      <c r="B868" s="2"/>
    </row>
    <row r="869" spans="1:2" ht="12.5">
      <c r="A869" s="2"/>
      <c r="B869" s="2"/>
    </row>
    <row r="870" spans="1:2" ht="12.5">
      <c r="A870" s="2"/>
      <c r="B870" s="2"/>
    </row>
    <row r="871" spans="1:2" ht="12.5">
      <c r="A871" s="2"/>
      <c r="B871" s="2"/>
    </row>
    <row r="872" spans="1:2" ht="12.5">
      <c r="A872" s="2"/>
      <c r="B872" s="2"/>
    </row>
    <row r="873" spans="1:2" ht="12.5">
      <c r="A873" s="2"/>
      <c r="B873" s="2"/>
    </row>
    <row r="874" spans="1:2" ht="12.5">
      <c r="A874" s="2"/>
      <c r="B874" s="2"/>
    </row>
    <row r="875" spans="1:2" ht="12.5">
      <c r="A875" s="2"/>
      <c r="B875" s="2"/>
    </row>
    <row r="876" spans="1:2" ht="12.5">
      <c r="A876" s="2"/>
      <c r="B876" s="2"/>
    </row>
    <row r="877" spans="1:2" ht="12.5">
      <c r="A877" s="2"/>
      <c r="B877" s="2"/>
    </row>
    <row r="878" spans="1:2" ht="12.5">
      <c r="A878" s="2"/>
      <c r="B878" s="2"/>
    </row>
    <row r="879" spans="1:2" ht="12.5">
      <c r="A879" s="2"/>
      <c r="B879" s="2"/>
    </row>
    <row r="880" spans="1:2" ht="12.5">
      <c r="A880" s="2"/>
      <c r="B880" s="2"/>
    </row>
    <row r="881" spans="1:2" ht="12.5">
      <c r="A881" s="2"/>
      <c r="B881" s="2"/>
    </row>
    <row r="882" spans="1:2" ht="12.5">
      <c r="A882" s="2"/>
      <c r="B882" s="2"/>
    </row>
    <row r="883" spans="1:2" ht="12.5">
      <c r="A883" s="2"/>
      <c r="B883" s="2"/>
    </row>
    <row r="884" spans="1:2" ht="12.5">
      <c r="A884" s="2"/>
      <c r="B884" s="2"/>
    </row>
    <row r="885" spans="1:2" ht="12.5">
      <c r="A885" s="2"/>
      <c r="B885" s="2"/>
    </row>
    <row r="886" spans="1:2" ht="12.5">
      <c r="A886" s="2"/>
      <c r="B886" s="2"/>
    </row>
    <row r="887" spans="1:2" ht="12.5">
      <c r="A887" s="2"/>
      <c r="B887" s="2"/>
    </row>
    <row r="888" spans="1:2" ht="12.5">
      <c r="A888" s="2"/>
      <c r="B888" s="2"/>
    </row>
    <row r="889" spans="1:2" ht="12.5">
      <c r="A889" s="2"/>
      <c r="B889" s="2"/>
    </row>
    <row r="890" spans="1:2" ht="12.5">
      <c r="A890" s="2"/>
      <c r="B890" s="2"/>
    </row>
    <row r="891" spans="1:2" ht="12.5">
      <c r="A891" s="2"/>
      <c r="B891" s="2"/>
    </row>
    <row r="892" spans="1:2" ht="12.5">
      <c r="A892" s="2"/>
      <c r="B892" s="2"/>
    </row>
    <row r="893" spans="1:2" ht="12.5">
      <c r="A893" s="2"/>
      <c r="B893" s="2"/>
    </row>
    <row r="894" spans="1:2" ht="12.5">
      <c r="A894" s="2"/>
      <c r="B894" s="2"/>
    </row>
    <row r="895" spans="1:2" ht="12.5">
      <c r="A895" s="2"/>
      <c r="B895" s="2"/>
    </row>
    <row r="896" spans="1:2" ht="12.5">
      <c r="A896" s="2"/>
      <c r="B896" s="2"/>
    </row>
    <row r="897" spans="1:2" ht="12.5">
      <c r="A897" s="2"/>
      <c r="B897" s="2"/>
    </row>
    <row r="898" spans="1:2" ht="12.5">
      <c r="A898" s="2"/>
      <c r="B898" s="2"/>
    </row>
    <row r="899" spans="1:2" ht="12.5">
      <c r="A899" s="2"/>
      <c r="B899" s="2"/>
    </row>
    <row r="900" spans="1:2" ht="12.5">
      <c r="A900" s="2"/>
      <c r="B900" s="2"/>
    </row>
    <row r="901" spans="1:2" ht="12.5">
      <c r="A901" s="2"/>
      <c r="B901" s="2"/>
    </row>
    <row r="902" spans="1:2" ht="12.5">
      <c r="A902" s="2"/>
      <c r="B902" s="2"/>
    </row>
    <row r="903" spans="1:2" ht="12.5">
      <c r="A903" s="2"/>
      <c r="B903" s="2"/>
    </row>
    <row r="904" spans="1:2" ht="12.5">
      <c r="A904" s="2"/>
      <c r="B904" s="2"/>
    </row>
    <row r="905" spans="1:2" ht="12.5">
      <c r="A905" s="2"/>
      <c r="B905" s="2"/>
    </row>
    <row r="906" spans="1:2" ht="12.5">
      <c r="A906" s="2"/>
      <c r="B906" s="2"/>
    </row>
    <row r="907" spans="1:2" ht="12.5">
      <c r="A907" s="2"/>
      <c r="B907" s="2"/>
    </row>
    <row r="908" spans="1:2" ht="12.5">
      <c r="A908" s="2"/>
      <c r="B908" s="2"/>
    </row>
    <row r="909" spans="1:2" ht="12.5">
      <c r="A909" s="2"/>
      <c r="B909" s="2"/>
    </row>
    <row r="910" spans="1:2" ht="12.5">
      <c r="A910" s="2"/>
      <c r="B910" s="2"/>
    </row>
    <row r="911" spans="1:2" ht="12.5">
      <c r="A911" s="2"/>
      <c r="B911" s="2"/>
    </row>
    <row r="912" spans="1:2" ht="12.5">
      <c r="A912" s="2"/>
      <c r="B912" s="2"/>
    </row>
    <row r="913" spans="1:2" ht="12.5">
      <c r="A913" s="2"/>
      <c r="B913" s="2"/>
    </row>
    <row r="914" spans="1:2" ht="12.5">
      <c r="A914" s="2"/>
      <c r="B914" s="2"/>
    </row>
    <row r="915" spans="1:2" ht="12.5">
      <c r="A915" s="2"/>
      <c r="B915" s="2"/>
    </row>
    <row r="916" spans="1:2" ht="12.5">
      <c r="A916" s="2"/>
      <c r="B916" s="2"/>
    </row>
    <row r="917" spans="1:2" ht="12.5">
      <c r="A917" s="2"/>
      <c r="B917" s="2"/>
    </row>
    <row r="918" spans="1:2" ht="12.5">
      <c r="A918" s="2"/>
      <c r="B918" s="2"/>
    </row>
    <row r="919" spans="1:2" ht="12.5">
      <c r="A919" s="2"/>
      <c r="B919" s="2"/>
    </row>
    <row r="920" spans="1:2" ht="12.5">
      <c r="A920" s="2"/>
      <c r="B920" s="2"/>
    </row>
    <row r="921" spans="1:2" ht="12.5">
      <c r="A921" s="2"/>
      <c r="B921" s="2"/>
    </row>
    <row r="922" spans="1:2" ht="12.5">
      <c r="A922" s="2"/>
      <c r="B922" s="2"/>
    </row>
    <row r="923" spans="1:2" ht="12.5">
      <c r="A923" s="2"/>
      <c r="B923" s="2"/>
    </row>
    <row r="924" spans="1:2" ht="12.5">
      <c r="A924" s="2"/>
      <c r="B924" s="2"/>
    </row>
    <row r="925" spans="1:2" ht="12.5">
      <c r="A925" s="2"/>
      <c r="B925" s="2"/>
    </row>
    <row r="926" spans="1:2" ht="12.5">
      <c r="A926" s="2"/>
      <c r="B926" s="2"/>
    </row>
    <row r="927" spans="1:2" ht="12.5">
      <c r="A927" s="2"/>
      <c r="B927" s="2"/>
    </row>
    <row r="928" spans="1:2" ht="12.5">
      <c r="A928" s="2"/>
      <c r="B928" s="2"/>
    </row>
    <row r="929" spans="1:2" ht="12.5">
      <c r="A929" s="2"/>
      <c r="B929" s="2"/>
    </row>
    <row r="930" spans="1:2" ht="12.5">
      <c r="A930" s="2"/>
      <c r="B930" s="2"/>
    </row>
    <row r="931" spans="1:2" ht="12.5">
      <c r="A931" s="2"/>
      <c r="B931" s="2"/>
    </row>
    <row r="932" spans="1:2" ht="12.5">
      <c r="A932" s="2"/>
      <c r="B932" s="2"/>
    </row>
    <row r="933" spans="1:2" ht="12.5">
      <c r="A933" s="2"/>
      <c r="B933" s="2"/>
    </row>
    <row r="934" spans="1:2" ht="12.5">
      <c r="A934" s="2"/>
      <c r="B934" s="2"/>
    </row>
    <row r="935" spans="1:2" ht="12.5">
      <c r="A935" s="2"/>
      <c r="B935" s="2"/>
    </row>
    <row r="936" spans="1:2" ht="12.5">
      <c r="A936" s="2"/>
      <c r="B936" s="2"/>
    </row>
    <row r="937" spans="1:2" ht="12.5">
      <c r="A937" s="2"/>
      <c r="B937" s="2"/>
    </row>
    <row r="938" spans="1:2" ht="12.5">
      <c r="A938" s="2"/>
      <c r="B938" s="2"/>
    </row>
    <row r="939" spans="1:2" ht="12.5">
      <c r="A939" s="2"/>
      <c r="B939" s="2"/>
    </row>
    <row r="940" spans="1:2" ht="12.5">
      <c r="A940" s="2"/>
      <c r="B940" s="2"/>
    </row>
    <row r="941" spans="1:2" ht="12.5">
      <c r="A941" s="2"/>
      <c r="B941" s="2"/>
    </row>
    <row r="942" spans="1:2" ht="12.5">
      <c r="A942" s="2"/>
      <c r="B942" s="2"/>
    </row>
    <row r="943" spans="1:2" ht="12.5">
      <c r="A943" s="2"/>
      <c r="B943" s="2"/>
    </row>
    <row r="944" spans="1:2" ht="12.5">
      <c r="A944" s="2"/>
      <c r="B944" s="2"/>
    </row>
    <row r="945" spans="1:2" ht="12.5">
      <c r="A945" s="2"/>
      <c r="B945" s="2"/>
    </row>
    <row r="946" spans="1:2" ht="12.5">
      <c r="A946" s="2"/>
      <c r="B946" s="2"/>
    </row>
    <row r="947" spans="1:2" ht="12.5">
      <c r="A947" s="2"/>
      <c r="B947" s="2"/>
    </row>
    <row r="948" spans="1:2" ht="12.5">
      <c r="A948" s="2"/>
      <c r="B948" s="2"/>
    </row>
    <row r="949" spans="1:2" ht="12.5">
      <c r="A949" s="2"/>
      <c r="B949" s="2"/>
    </row>
    <row r="950" spans="1:2" ht="12.5">
      <c r="A950" s="2"/>
      <c r="B950" s="2"/>
    </row>
    <row r="951" spans="1:2" ht="12.5">
      <c r="A951" s="2"/>
      <c r="B951" s="2"/>
    </row>
    <row r="952" spans="1:2" ht="12.5">
      <c r="A952" s="2"/>
      <c r="B952" s="2"/>
    </row>
    <row r="953" spans="1:2" ht="12.5">
      <c r="A953" s="2"/>
      <c r="B953" s="2"/>
    </row>
    <row r="954" spans="1:2" ht="12.5">
      <c r="A954" s="2"/>
      <c r="B954" s="2"/>
    </row>
    <row r="955" spans="1:2" ht="12.5">
      <c r="A955" s="2"/>
      <c r="B955" s="2"/>
    </row>
    <row r="956" spans="1:2" ht="12.5">
      <c r="A956" s="2"/>
      <c r="B956" s="2"/>
    </row>
    <row r="957" spans="1:2" ht="12.5">
      <c r="A957" s="2"/>
      <c r="B957" s="2"/>
    </row>
    <row r="958" spans="1:2" ht="12.5">
      <c r="A958" s="2"/>
      <c r="B958" s="2"/>
    </row>
    <row r="959" spans="1:2" ht="12.5">
      <c r="A959" s="2"/>
      <c r="B959" s="2"/>
    </row>
    <row r="960" spans="1:2" ht="12.5">
      <c r="A960" s="2"/>
      <c r="B960" s="2"/>
    </row>
    <row r="961" spans="1:2" ht="12.5">
      <c r="A961" s="2"/>
      <c r="B961" s="2"/>
    </row>
    <row r="962" spans="1:2" ht="12.5">
      <c r="A962" s="2"/>
      <c r="B962" s="2"/>
    </row>
    <row r="963" spans="1:2" ht="12.5">
      <c r="A963" s="2"/>
      <c r="B963" s="2"/>
    </row>
    <row r="964" spans="1:2" ht="12.5">
      <c r="A964" s="2"/>
      <c r="B964" s="2"/>
    </row>
    <row r="965" spans="1:2" ht="12.5">
      <c r="A965" s="2"/>
      <c r="B965" s="2"/>
    </row>
    <row r="966" spans="1:2" ht="12.5">
      <c r="A966" s="2"/>
      <c r="B966" s="2"/>
    </row>
    <row r="967" spans="1:2" ht="12.5">
      <c r="A967" s="2"/>
      <c r="B967" s="2"/>
    </row>
    <row r="968" spans="1:2" ht="12.5">
      <c r="A968" s="2"/>
      <c r="B968" s="2"/>
    </row>
    <row r="969" spans="1:2" ht="12.5">
      <c r="A969" s="2"/>
      <c r="B969" s="2"/>
    </row>
    <row r="970" spans="1:2" ht="12.5">
      <c r="A970" s="2"/>
      <c r="B970" s="2"/>
    </row>
    <row r="971" spans="1:2" ht="12.5">
      <c r="A971" s="2"/>
      <c r="B971" s="2"/>
    </row>
    <row r="972" spans="1:2" ht="12.5">
      <c r="A972" s="2"/>
      <c r="B972" s="2"/>
    </row>
    <row r="973" spans="1:2" ht="12.5">
      <c r="A973" s="2"/>
      <c r="B973" s="2"/>
    </row>
    <row r="974" spans="1:2" ht="12.5">
      <c r="A974" s="2"/>
      <c r="B974" s="2"/>
    </row>
    <row r="975" spans="1:2" ht="12.5">
      <c r="A975" s="2"/>
      <c r="B975" s="2"/>
    </row>
    <row r="976" spans="1:2" ht="12.5">
      <c r="A976" s="2"/>
      <c r="B976" s="2"/>
    </row>
    <row r="977" spans="1:2" ht="12.5">
      <c r="A977" s="2"/>
      <c r="B977" s="2"/>
    </row>
    <row r="978" spans="1:2" ht="12.5">
      <c r="A978" s="2"/>
      <c r="B978" s="2"/>
    </row>
    <row r="979" spans="1:2" ht="12.5">
      <c r="A979" s="2"/>
      <c r="B979" s="2"/>
    </row>
    <row r="980" spans="1:2" ht="12.5">
      <c r="A980" s="2"/>
      <c r="B980" s="2"/>
    </row>
    <row r="981" spans="1:2" ht="12.5">
      <c r="A981" s="2"/>
      <c r="B981" s="2"/>
    </row>
    <row r="982" spans="1:2" ht="12.5">
      <c r="A982" s="2"/>
      <c r="B982" s="2"/>
    </row>
    <row r="983" spans="1:2" ht="12.5">
      <c r="A983" s="2"/>
      <c r="B983" s="2"/>
    </row>
    <row r="984" spans="1:2" ht="12.5">
      <c r="A984" s="2"/>
      <c r="B984" s="2"/>
    </row>
    <row r="985" spans="1:2" ht="12.5">
      <c r="A985" s="2"/>
      <c r="B985" s="2"/>
    </row>
    <row r="986" spans="1:2" ht="12.5">
      <c r="A986" s="2"/>
      <c r="B986" s="2"/>
    </row>
    <row r="987" spans="1:2" ht="12.5">
      <c r="A987" s="2"/>
      <c r="B987" s="2"/>
    </row>
    <row r="988" spans="1:2" ht="12.5">
      <c r="A988" s="2"/>
      <c r="B988" s="2"/>
    </row>
    <row r="989" spans="1:2" ht="12.5">
      <c r="A989" s="2"/>
      <c r="B989" s="2"/>
    </row>
    <row r="990" spans="1:2" ht="12.5">
      <c r="A990" s="2"/>
      <c r="B990" s="2"/>
    </row>
    <row r="991" spans="1:2" ht="12.5">
      <c r="A991" s="2"/>
      <c r="B991" s="2"/>
    </row>
    <row r="992" spans="1:2" ht="12.5">
      <c r="A992" s="2"/>
      <c r="B992" s="2"/>
    </row>
    <row r="993" spans="1:2" ht="12.5">
      <c r="A993" s="2"/>
      <c r="B993" s="2"/>
    </row>
    <row r="994" spans="1:2" ht="12.5">
      <c r="A994" s="2"/>
      <c r="B994" s="2"/>
    </row>
    <row r="995" spans="1:2" ht="12.5">
      <c r="A995" s="2"/>
      <c r="B995" s="2"/>
    </row>
    <row r="996" spans="1:2" ht="12.5">
      <c r="A996" s="2"/>
      <c r="B996" s="2"/>
    </row>
    <row r="997" spans="1:2" ht="12.5">
      <c r="A997" s="2"/>
      <c r="B997" s="2"/>
    </row>
    <row r="998" spans="1:2" ht="12.5">
      <c r="A998" s="2"/>
      <c r="B998" s="2"/>
    </row>
    <row r="999" spans="1:2" ht="12.5">
      <c r="A999" s="2"/>
      <c r="B999" s="2"/>
    </row>
    <row r="1000" spans="1:2" ht="12.5">
      <c r="A1000" s="2"/>
      <c r="B1000" s="2"/>
    </row>
  </sheetData>
  <mergeCells count="3">
    <mergeCell ref="B12:E12"/>
    <mergeCell ref="F12:I12"/>
    <mergeCell ref="J12:M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8"/>
  <sheetViews>
    <sheetView showGridLines="0" workbookViewId="0"/>
  </sheetViews>
  <sheetFormatPr defaultColWidth="12.6328125" defaultRowHeight="15.75" customHeight="1"/>
  <cols>
    <col min="1" max="1" width="11.453125" customWidth="1"/>
    <col min="2" max="2" width="15.453125" customWidth="1"/>
    <col min="3" max="3" width="13.90625" customWidth="1"/>
    <col min="4" max="4" width="19.26953125" customWidth="1"/>
    <col min="5" max="5" width="18.7265625" customWidth="1"/>
    <col min="6" max="6" width="21.08984375" customWidth="1"/>
    <col min="7" max="7" width="19.08984375" customWidth="1"/>
  </cols>
  <sheetData>
    <row r="1" spans="1:8" ht="15.75" customHeight="1">
      <c r="A1" s="19"/>
      <c r="B1" s="20" t="s">
        <v>286</v>
      </c>
      <c r="C1" s="21"/>
      <c r="D1" s="21"/>
      <c r="E1" s="21"/>
      <c r="F1" s="21"/>
      <c r="G1" s="21"/>
      <c r="H1" s="22"/>
    </row>
    <row r="2" spans="1:8" ht="15.75" customHeight="1">
      <c r="A2" s="20" t="s">
        <v>2</v>
      </c>
      <c r="B2" s="19" t="s">
        <v>283</v>
      </c>
      <c r="C2" s="23" t="s">
        <v>284</v>
      </c>
      <c r="D2" s="23" t="s">
        <v>271</v>
      </c>
      <c r="E2" s="23" t="s">
        <v>272</v>
      </c>
      <c r="F2" s="23" t="s">
        <v>273</v>
      </c>
      <c r="G2" s="23" t="s">
        <v>274</v>
      </c>
      <c r="H2" s="24" t="s">
        <v>285</v>
      </c>
    </row>
    <row r="3" spans="1:8" ht="15.75" customHeight="1">
      <c r="A3" s="19">
        <v>0</v>
      </c>
      <c r="B3" s="25">
        <v>37264.340285112004</v>
      </c>
      <c r="C3" s="26">
        <v>983.36799431100007</v>
      </c>
      <c r="D3" s="26">
        <v>97.18146620249999</v>
      </c>
      <c r="E3" s="26">
        <v>0.14821981431875</v>
      </c>
      <c r="F3" s="26">
        <v>2.3869194850437498</v>
      </c>
      <c r="G3" s="26">
        <v>0.32387942607142856</v>
      </c>
      <c r="H3" s="27">
        <v>616.63200568900004</v>
      </c>
    </row>
    <row r="4" spans="1:8" ht="15.75" customHeight="1">
      <c r="A4" s="28">
        <v>1</v>
      </c>
      <c r="B4" s="29">
        <v>590425.16206599993</v>
      </c>
      <c r="C4" s="30">
        <v>937.16098785999986</v>
      </c>
      <c r="D4" s="30">
        <v>62.819373562307696</v>
      </c>
      <c r="E4" s="30">
        <v>16.548388209046156</v>
      </c>
      <c r="F4" s="30">
        <v>15.210930834661538</v>
      </c>
      <c r="G4" s="30">
        <v>5.4213073930807703</v>
      </c>
      <c r="H4" s="31">
        <v>1662.8390121399998</v>
      </c>
    </row>
    <row r="5" spans="1:8" ht="15.75" customHeight="1">
      <c r="A5" s="28">
        <v>2</v>
      </c>
      <c r="B5" s="29">
        <v>3399310.2309557009</v>
      </c>
      <c r="C5" s="30">
        <v>2537.0749826499996</v>
      </c>
      <c r="D5" s="30">
        <v>82.210492881153854</v>
      </c>
      <c r="E5" s="30">
        <v>5.6884250737999995</v>
      </c>
      <c r="F5" s="30">
        <v>7.8981437859286547</v>
      </c>
      <c r="G5" s="30">
        <v>4.2853488130380386</v>
      </c>
      <c r="H5" s="31">
        <v>2662.9250173499995</v>
      </c>
    </row>
    <row r="6" spans="1:8" ht="15.75" customHeight="1">
      <c r="A6" s="28">
        <v>3</v>
      </c>
      <c r="B6" s="29">
        <v>2547619.3068691106</v>
      </c>
      <c r="C6" s="30">
        <v>3169.599086780001</v>
      </c>
      <c r="D6" s="30">
        <v>96.430471999166684</v>
      </c>
      <c r="E6" s="30">
        <v>1.5611895535114375</v>
      </c>
      <c r="F6" s="30">
        <v>1.4834060647462588</v>
      </c>
      <c r="G6" s="30">
        <v>0.5726535551862274</v>
      </c>
      <c r="H6" s="31">
        <v>1730.4009132200001</v>
      </c>
    </row>
    <row r="7" spans="1:8" ht="15.75" customHeight="1">
      <c r="A7" s="28">
        <v>4</v>
      </c>
      <c r="B7" s="29">
        <v>1212076.0675753104</v>
      </c>
      <c r="C7" s="30">
        <v>5554.8820095099973</v>
      </c>
      <c r="D7" s="30">
        <v>99.56019792028988</v>
      </c>
      <c r="E7" s="30">
        <v>0.1769010855043478</v>
      </c>
      <c r="F7" s="30">
        <v>0.24084589125997588</v>
      </c>
      <c r="G7" s="30">
        <v>2.2055377049999998E-2</v>
      </c>
      <c r="H7" s="31">
        <v>1445.11799049</v>
      </c>
    </row>
    <row r="8" spans="1:8" ht="15.75" customHeight="1">
      <c r="A8" s="32" t="s">
        <v>275</v>
      </c>
      <c r="B8" s="33">
        <v>7786695.1077512335</v>
      </c>
      <c r="C8" s="34">
        <v>13182.085061111</v>
      </c>
      <c r="D8" s="34">
        <v>89.864782531469231</v>
      </c>
      <c r="E8" s="34">
        <v>3.8652653448826961</v>
      </c>
      <c r="F8" s="34">
        <v>4.4180106537201365</v>
      </c>
      <c r="G8" s="34">
        <v>1.9154885837974707</v>
      </c>
      <c r="H8" s="35">
        <v>8117.914938889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5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sheetData>
    <row r="1" spans="1:23">
      <c r="A1" s="9" t="s">
        <v>0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16</v>
      </c>
      <c r="O1" s="10" t="s">
        <v>17</v>
      </c>
      <c r="P1" s="10" t="s">
        <v>18</v>
      </c>
      <c r="Q1" s="10" t="s">
        <v>19</v>
      </c>
      <c r="R1" s="10" t="s">
        <v>20</v>
      </c>
      <c r="S1" s="10" t="s">
        <v>21</v>
      </c>
      <c r="T1" s="10" t="s">
        <v>22</v>
      </c>
      <c r="U1" s="10" t="s">
        <v>23</v>
      </c>
      <c r="V1" s="10" t="s">
        <v>25</v>
      </c>
      <c r="W1" s="11" t="s">
        <v>26</v>
      </c>
    </row>
    <row r="2" spans="1:23" ht="15.75" customHeight="1">
      <c r="A2" s="12" t="s">
        <v>94</v>
      </c>
      <c r="B2" s="13">
        <v>3</v>
      </c>
      <c r="C2" s="13">
        <v>45195.777340000001</v>
      </c>
      <c r="D2" s="13">
        <v>92.111000059999995</v>
      </c>
      <c r="E2" s="13" t="s">
        <v>29</v>
      </c>
      <c r="F2" s="13" t="s">
        <v>29</v>
      </c>
      <c r="G2" s="13" t="s">
        <v>29</v>
      </c>
      <c r="H2" s="13" t="s">
        <v>29</v>
      </c>
      <c r="I2" s="13" t="s">
        <v>29</v>
      </c>
      <c r="J2" s="13" t="s">
        <v>29</v>
      </c>
      <c r="K2" s="13" t="s">
        <v>29</v>
      </c>
      <c r="L2" s="13" t="s">
        <v>29</v>
      </c>
      <c r="M2" s="13">
        <v>99.790420650000002</v>
      </c>
      <c r="N2" s="13">
        <v>0</v>
      </c>
      <c r="O2" s="13">
        <v>0.20957935010000001</v>
      </c>
      <c r="P2" s="13">
        <v>0</v>
      </c>
      <c r="Q2" s="13">
        <v>16</v>
      </c>
      <c r="R2" s="13">
        <v>41630.282492764862</v>
      </c>
      <c r="S2" s="13">
        <v>7.888999940000005</v>
      </c>
      <c r="T2" s="13">
        <v>46</v>
      </c>
      <c r="U2" s="13" t="s">
        <v>29</v>
      </c>
      <c r="V2" s="13">
        <v>92</v>
      </c>
      <c r="W2" s="14">
        <v>8</v>
      </c>
    </row>
    <row r="3" spans="1:23" ht="15.75" customHeight="1">
      <c r="A3" s="12" t="s">
        <v>98</v>
      </c>
      <c r="B3" s="13">
        <v>3</v>
      </c>
      <c r="C3" s="13">
        <v>10203.139649999999</v>
      </c>
      <c r="D3" s="13">
        <v>91.417999269999996</v>
      </c>
      <c r="E3" s="13">
        <v>98.940302959999997</v>
      </c>
      <c r="F3" s="13">
        <v>0.1462147369</v>
      </c>
      <c r="G3" s="13">
        <v>0.8536474704</v>
      </c>
      <c r="H3" s="13">
        <v>5.9834831790000001E-2</v>
      </c>
      <c r="I3" s="13">
        <v>97.311478690000001</v>
      </c>
      <c r="J3" s="13">
        <v>0.62394659450000001</v>
      </c>
      <c r="K3" s="13">
        <v>2.0247147160000001</v>
      </c>
      <c r="L3" s="13">
        <v>3.986E-2</v>
      </c>
      <c r="M3" s="13">
        <v>99.093212589999993</v>
      </c>
      <c r="N3" s="13">
        <v>0.1013669408</v>
      </c>
      <c r="O3" s="13">
        <v>0.74371047069999996</v>
      </c>
      <c r="P3" s="13">
        <v>6.1710000000000001E-2</v>
      </c>
      <c r="Q3" s="13">
        <v>16</v>
      </c>
      <c r="R3" s="13">
        <v>9327.50613075408</v>
      </c>
      <c r="S3" s="13">
        <v>8.5820007300000043</v>
      </c>
      <c r="T3" s="13">
        <v>11</v>
      </c>
      <c r="U3" s="13">
        <v>98.940302959999997</v>
      </c>
      <c r="V3" s="13">
        <v>91</v>
      </c>
      <c r="W3" s="14">
        <v>9</v>
      </c>
    </row>
    <row r="4" spans="1:23" ht="15.75" customHeight="1">
      <c r="A4" s="12" t="s">
        <v>102</v>
      </c>
      <c r="B4" s="13">
        <v>3</v>
      </c>
      <c r="C4" s="13">
        <v>2225.7280270000001</v>
      </c>
      <c r="D4" s="13">
        <v>90.092002870000002</v>
      </c>
      <c r="E4" s="13">
        <v>85.341930599999998</v>
      </c>
      <c r="F4" s="13">
        <v>7.7352631030000003</v>
      </c>
      <c r="G4" s="13">
        <v>6.9228083570000001</v>
      </c>
      <c r="H4" s="13" t="s">
        <v>29</v>
      </c>
      <c r="I4" s="13">
        <v>44.745889009999999</v>
      </c>
      <c r="J4" s="13">
        <v>10.511148589999999</v>
      </c>
      <c r="K4" s="13">
        <v>44.742962400000003</v>
      </c>
      <c r="L4" s="13" t="s">
        <v>29</v>
      </c>
      <c r="M4" s="13">
        <v>89.806539169999994</v>
      </c>
      <c r="N4" s="13">
        <v>7.4299807600000003</v>
      </c>
      <c r="O4" s="13">
        <v>2.7634800720000001</v>
      </c>
      <c r="P4" s="13" t="s">
        <v>29</v>
      </c>
      <c r="Q4" s="13">
        <v>16</v>
      </c>
      <c r="R4" s="13">
        <v>2005.2029579632344</v>
      </c>
      <c r="S4" s="13">
        <v>9.9079971299999983</v>
      </c>
      <c r="T4" s="13">
        <v>3</v>
      </c>
      <c r="U4" s="13">
        <v>85.341930599999998</v>
      </c>
      <c r="V4" s="13">
        <v>90</v>
      </c>
      <c r="W4" s="14">
        <v>10</v>
      </c>
    </row>
    <row r="5" spans="1:23" ht="15.75" customHeight="1">
      <c r="A5" s="12" t="s">
        <v>91</v>
      </c>
      <c r="B5" s="13">
        <v>3</v>
      </c>
      <c r="C5" s="13">
        <v>55.196998600000001</v>
      </c>
      <c r="D5" s="13">
        <v>87.152999879999996</v>
      </c>
      <c r="E5" s="13">
        <v>99.773771659999994</v>
      </c>
      <c r="F5" s="13">
        <v>0</v>
      </c>
      <c r="G5" s="13">
        <v>0.22622834150000001</v>
      </c>
      <c r="H5" s="13">
        <v>0</v>
      </c>
      <c r="I5" s="13" t="s">
        <v>29</v>
      </c>
      <c r="J5" s="13" t="s">
        <v>29</v>
      </c>
      <c r="K5" s="13" t="s">
        <v>29</v>
      </c>
      <c r="L5" s="13" t="s">
        <v>29</v>
      </c>
      <c r="M5" s="13" t="s">
        <v>29</v>
      </c>
      <c r="N5" s="13" t="s">
        <v>29</v>
      </c>
      <c r="O5" s="13" t="s">
        <v>29</v>
      </c>
      <c r="P5" s="13" t="s">
        <v>29</v>
      </c>
      <c r="Q5" s="13">
        <v>16</v>
      </c>
      <c r="R5" s="13">
        <v>48.105840123621597</v>
      </c>
      <c r="S5" s="13">
        <v>12.847000120000004</v>
      </c>
      <c r="T5" s="13">
        <v>1</v>
      </c>
      <c r="U5" s="13">
        <v>99.773771659999994</v>
      </c>
      <c r="V5" s="13">
        <v>87</v>
      </c>
      <c r="W5" s="14">
        <v>13</v>
      </c>
    </row>
    <row r="6" spans="1:23" ht="15.75" customHeight="1">
      <c r="A6" s="12" t="s">
        <v>119</v>
      </c>
      <c r="B6" s="13">
        <v>3</v>
      </c>
      <c r="C6" s="13">
        <v>212559.4063</v>
      </c>
      <c r="D6" s="13">
        <v>87.072998049999995</v>
      </c>
      <c r="E6" s="13">
        <v>99.320852990000006</v>
      </c>
      <c r="F6" s="13">
        <v>0.12654900390000001</v>
      </c>
      <c r="G6" s="13">
        <v>0.55259800989999996</v>
      </c>
      <c r="H6" s="13" t="s">
        <v>29</v>
      </c>
      <c r="I6" s="13">
        <v>95.945259530000001</v>
      </c>
      <c r="J6" s="13">
        <v>0.97895091540000001</v>
      </c>
      <c r="K6" s="13">
        <v>3.0757895510000002</v>
      </c>
      <c r="L6" s="13" t="s">
        <v>29</v>
      </c>
      <c r="M6" s="13">
        <v>99.822001310000005</v>
      </c>
      <c r="N6" s="13">
        <v>0</v>
      </c>
      <c r="O6" s="13">
        <v>0.1779986949</v>
      </c>
      <c r="P6" s="13">
        <v>0</v>
      </c>
      <c r="Q6" s="13">
        <v>16</v>
      </c>
      <c r="R6" s="13">
        <v>185081.84770269057</v>
      </c>
      <c r="S6" s="13">
        <v>12.927001950000005</v>
      </c>
      <c r="T6" s="13">
        <v>213</v>
      </c>
      <c r="U6" s="13">
        <v>99.320852990000006</v>
      </c>
      <c r="V6" s="13">
        <v>87</v>
      </c>
      <c r="W6" s="14">
        <v>13</v>
      </c>
    </row>
    <row r="7" spans="1:23" ht="15.75" customHeight="1">
      <c r="A7" s="12" t="s">
        <v>131</v>
      </c>
      <c r="B7" s="13">
        <v>3</v>
      </c>
      <c r="C7" s="13">
        <v>10847.9043</v>
      </c>
      <c r="D7" s="13">
        <v>82.540000919999997</v>
      </c>
      <c r="E7" s="13">
        <v>96.686811919999997</v>
      </c>
      <c r="F7" s="13">
        <v>0.46703865039999998</v>
      </c>
      <c r="G7" s="13">
        <v>1.2694287829999999</v>
      </c>
      <c r="H7" s="13">
        <v>1.5767206439999999</v>
      </c>
      <c r="I7" s="13">
        <v>90.304464370000005</v>
      </c>
      <c r="J7" s="13">
        <v>1.3853155079999999</v>
      </c>
      <c r="K7" s="13">
        <v>1.1151181269999999</v>
      </c>
      <c r="L7" s="13">
        <v>7.1951019909999996</v>
      </c>
      <c r="M7" s="13">
        <v>98.036891580000002</v>
      </c>
      <c r="N7" s="13">
        <v>0.27279203590000001</v>
      </c>
      <c r="O7" s="13">
        <v>1.3020733959999999</v>
      </c>
      <c r="P7" s="13">
        <v>0.38824299220000003</v>
      </c>
      <c r="Q7" s="13">
        <v>16</v>
      </c>
      <c r="R7" s="13">
        <v>8953.8603090207198</v>
      </c>
      <c r="S7" s="13">
        <v>17.459999080000003</v>
      </c>
      <c r="T7" s="13">
        <v>11</v>
      </c>
      <c r="U7" s="13">
        <v>96.686811919999997</v>
      </c>
      <c r="V7" s="13">
        <v>83</v>
      </c>
      <c r="W7" s="14">
        <v>17</v>
      </c>
    </row>
    <row r="8" spans="1:23" ht="15.75" customHeight="1">
      <c r="A8" s="12" t="s">
        <v>78</v>
      </c>
      <c r="B8" s="13">
        <v>3</v>
      </c>
      <c r="C8" s="13">
        <v>18.091999049999998</v>
      </c>
      <c r="D8" s="13">
        <v>80.987998959999999</v>
      </c>
      <c r="E8" s="13">
        <v>99.657545499999998</v>
      </c>
      <c r="F8" s="13">
        <v>0</v>
      </c>
      <c r="G8" s="13">
        <v>0.34245449839999997</v>
      </c>
      <c r="H8" s="13">
        <v>0</v>
      </c>
      <c r="I8" s="13">
        <v>99.756985029999996</v>
      </c>
      <c r="J8" s="13">
        <v>0</v>
      </c>
      <c r="K8" s="13">
        <v>0.2430149677</v>
      </c>
      <c r="L8" s="13">
        <v>0</v>
      </c>
      <c r="M8" s="13">
        <v>99.634201989999994</v>
      </c>
      <c r="N8" s="13">
        <v>0</v>
      </c>
      <c r="O8" s="13">
        <v>0.36579800779999999</v>
      </c>
      <c r="P8" s="13">
        <v>0</v>
      </c>
      <c r="Q8" s="13">
        <v>16</v>
      </c>
      <c r="R8" s="13">
        <v>14.652348002457208</v>
      </c>
      <c r="S8" s="13">
        <v>19.012001040000001</v>
      </c>
      <c r="T8" s="13">
        <v>1</v>
      </c>
      <c r="U8" s="13">
        <v>99.657545499999998</v>
      </c>
      <c r="V8" s="13">
        <v>81</v>
      </c>
      <c r="W8" s="14">
        <v>19</v>
      </c>
    </row>
    <row r="9" spans="1:23" ht="15.75" customHeight="1">
      <c r="A9" s="12" t="s">
        <v>136</v>
      </c>
      <c r="B9" s="13">
        <v>3</v>
      </c>
      <c r="C9" s="13">
        <v>5094.1137699999999</v>
      </c>
      <c r="D9" s="13">
        <v>80.770996089999997</v>
      </c>
      <c r="E9" s="13">
        <v>99.810536929999998</v>
      </c>
      <c r="F9" s="13">
        <v>0.18945947460000001</v>
      </c>
      <c r="G9" s="13">
        <v>3.5944518969999999E-6</v>
      </c>
      <c r="H9" s="13">
        <v>0</v>
      </c>
      <c r="I9" s="13">
        <v>99.646249999999995</v>
      </c>
      <c r="J9" s="13">
        <v>0.35375000000000001</v>
      </c>
      <c r="K9" s="13">
        <v>0</v>
      </c>
      <c r="L9" s="13">
        <v>0</v>
      </c>
      <c r="M9" s="13">
        <v>99.849652860000006</v>
      </c>
      <c r="N9" s="13">
        <v>0.15034714290000001</v>
      </c>
      <c r="O9" s="13">
        <v>0</v>
      </c>
      <c r="P9" s="13">
        <v>0</v>
      </c>
      <c r="Q9" s="13">
        <v>16</v>
      </c>
      <c r="R9" s="13">
        <v>4114.5664339868517</v>
      </c>
      <c r="S9" s="13">
        <v>19.229003910000003</v>
      </c>
      <c r="T9" s="13">
        <v>6</v>
      </c>
      <c r="U9" s="13">
        <v>99.810536929999998</v>
      </c>
      <c r="V9" s="13">
        <v>81</v>
      </c>
      <c r="W9" s="14">
        <v>19</v>
      </c>
    </row>
    <row r="10" spans="1:23" ht="15.75" customHeight="1">
      <c r="A10" s="12" t="s">
        <v>138</v>
      </c>
      <c r="B10" s="13">
        <v>3</v>
      </c>
      <c r="C10" s="13">
        <v>6871.2871089999999</v>
      </c>
      <c r="D10" s="13">
        <v>80.691001889999995</v>
      </c>
      <c r="E10" s="13">
        <v>99.891523800000002</v>
      </c>
      <c r="F10" s="13">
        <v>0</v>
      </c>
      <c r="G10" s="13">
        <v>0.1084762012</v>
      </c>
      <c r="H10" s="13">
        <v>0</v>
      </c>
      <c r="I10" s="13" t="s">
        <v>29</v>
      </c>
      <c r="J10" s="13" t="s">
        <v>29</v>
      </c>
      <c r="K10" s="13" t="s">
        <v>29</v>
      </c>
      <c r="L10" s="13" t="s">
        <v>29</v>
      </c>
      <c r="M10" s="13" t="s">
        <v>29</v>
      </c>
      <c r="N10" s="13" t="s">
        <v>29</v>
      </c>
      <c r="O10" s="13" t="s">
        <v>29</v>
      </c>
      <c r="P10" s="13" t="s">
        <v>29</v>
      </c>
      <c r="Q10" s="13">
        <v>16</v>
      </c>
      <c r="R10" s="13">
        <v>5544.510410990516</v>
      </c>
      <c r="S10" s="13">
        <v>19.308998110000005</v>
      </c>
      <c r="T10" s="13">
        <v>7</v>
      </c>
      <c r="U10" s="13">
        <v>99.891523800000002</v>
      </c>
      <c r="V10" s="13">
        <v>81</v>
      </c>
      <c r="W10" s="14">
        <v>19</v>
      </c>
    </row>
    <row r="11" spans="1:23" ht="15.75" customHeight="1">
      <c r="A11" s="12" t="s">
        <v>141</v>
      </c>
      <c r="B11" s="13">
        <v>3</v>
      </c>
      <c r="C11" s="13">
        <v>50882.882810000003</v>
      </c>
      <c r="D11" s="13">
        <v>81.424995420000002</v>
      </c>
      <c r="E11" s="13">
        <v>97.491657110000006</v>
      </c>
      <c r="F11" s="13">
        <v>0.18615215909999999</v>
      </c>
      <c r="G11" s="13">
        <v>0.95361622280000002</v>
      </c>
      <c r="H11" s="13">
        <v>1.3685745119999999</v>
      </c>
      <c r="I11" s="13">
        <v>86.767072819999996</v>
      </c>
      <c r="J11" s="13">
        <v>0.73122820160000002</v>
      </c>
      <c r="K11" s="13">
        <v>5.13386897</v>
      </c>
      <c r="L11" s="13">
        <v>7.3678300050000001</v>
      </c>
      <c r="M11" s="13">
        <v>99.938192799999996</v>
      </c>
      <c r="N11" s="13">
        <v>6.18072E-2</v>
      </c>
      <c r="O11" s="13">
        <v>0</v>
      </c>
      <c r="P11" s="13">
        <v>0</v>
      </c>
      <c r="Q11" s="13">
        <v>16</v>
      </c>
      <c r="R11" s="13">
        <v>41431.384997606474</v>
      </c>
      <c r="S11" s="13">
        <v>18.575004579999998</v>
      </c>
      <c r="T11" s="13">
        <v>51</v>
      </c>
      <c r="U11" s="13">
        <v>97.491657110000006</v>
      </c>
      <c r="V11" s="13">
        <v>81</v>
      </c>
      <c r="W11" s="14">
        <v>19</v>
      </c>
    </row>
    <row r="12" spans="1:23" ht="15.75" customHeight="1">
      <c r="A12" s="12" t="s">
        <v>145</v>
      </c>
      <c r="B12" s="13">
        <v>3</v>
      </c>
      <c r="C12" s="13">
        <v>128932.75</v>
      </c>
      <c r="D12" s="13">
        <v>80.730995179999994</v>
      </c>
      <c r="E12" s="13">
        <v>99.679568279999998</v>
      </c>
      <c r="F12" s="13">
        <v>0</v>
      </c>
      <c r="G12" s="13">
        <v>0.3204317169</v>
      </c>
      <c r="H12" s="13">
        <v>0</v>
      </c>
      <c r="I12" s="13">
        <v>98.337068930000001</v>
      </c>
      <c r="J12" s="13">
        <v>0</v>
      </c>
      <c r="K12" s="13">
        <v>1.6629310669999999</v>
      </c>
      <c r="L12" s="13">
        <v>0</v>
      </c>
      <c r="M12" s="13">
        <v>100</v>
      </c>
      <c r="N12" s="13">
        <v>0</v>
      </c>
      <c r="O12" s="13">
        <v>0</v>
      </c>
      <c r="P12" s="13">
        <v>0</v>
      </c>
      <c r="Q12" s="13">
        <v>16</v>
      </c>
      <c r="R12" s="13">
        <v>104088.69218794144</v>
      </c>
      <c r="S12" s="13">
        <v>19.269004820000006</v>
      </c>
      <c r="T12" s="13">
        <v>129</v>
      </c>
      <c r="U12" s="13">
        <v>99.679568279999998</v>
      </c>
      <c r="V12" s="13">
        <v>81</v>
      </c>
      <c r="W12" s="14">
        <v>19</v>
      </c>
    </row>
    <row r="13" spans="1:23" ht="15.75" customHeight="1">
      <c r="A13" s="12" t="s">
        <v>150</v>
      </c>
      <c r="B13" s="13">
        <v>3</v>
      </c>
      <c r="C13" s="13">
        <v>9449.3212889999995</v>
      </c>
      <c r="D13" s="13">
        <v>79.483001709999996</v>
      </c>
      <c r="E13" s="13">
        <v>96.534726079999999</v>
      </c>
      <c r="F13" s="13">
        <v>3.3721195499999999</v>
      </c>
      <c r="G13" s="13">
        <v>9.3154368370000004E-2</v>
      </c>
      <c r="H13" s="13">
        <v>0</v>
      </c>
      <c r="I13" s="13">
        <v>98.564122310000002</v>
      </c>
      <c r="J13" s="13">
        <v>0.9955971951</v>
      </c>
      <c r="K13" s="13">
        <v>0.4402804931</v>
      </c>
      <c r="L13" s="13">
        <v>0</v>
      </c>
      <c r="M13" s="13">
        <v>96.010873619999998</v>
      </c>
      <c r="N13" s="13">
        <v>3.9855726439999999</v>
      </c>
      <c r="O13" s="13">
        <v>3.5537319770000001E-3</v>
      </c>
      <c r="P13" s="13">
        <v>0</v>
      </c>
      <c r="Q13" s="13">
        <v>16</v>
      </c>
      <c r="R13" s="13">
        <v>7510.604201719264</v>
      </c>
      <c r="S13" s="13">
        <v>20.516998290000004</v>
      </c>
      <c r="T13" s="13">
        <v>10</v>
      </c>
      <c r="U13" s="13">
        <v>96.534726079999999</v>
      </c>
      <c r="V13" s="13">
        <v>79</v>
      </c>
      <c r="W13" s="14">
        <v>21</v>
      </c>
    </row>
    <row r="14" spans="1:23" ht="15.75" customHeight="1">
      <c r="A14" s="12" t="s">
        <v>97</v>
      </c>
      <c r="B14" s="13">
        <v>3</v>
      </c>
      <c r="C14" s="13">
        <v>59.194000240000001</v>
      </c>
      <c r="D14" s="13">
        <v>77.793991090000006</v>
      </c>
      <c r="E14" s="13">
        <v>88.572046979999996</v>
      </c>
      <c r="F14" s="13">
        <v>11.387979</v>
      </c>
      <c r="G14" s="13">
        <v>3.9974025849999997E-2</v>
      </c>
      <c r="H14" s="13">
        <v>0</v>
      </c>
      <c r="I14" s="13">
        <v>94.429720000000003</v>
      </c>
      <c r="J14" s="13">
        <v>5.3902799999999997</v>
      </c>
      <c r="K14" s="13">
        <v>0.18</v>
      </c>
      <c r="L14" s="13">
        <v>0</v>
      </c>
      <c r="M14" s="13">
        <v>86.9</v>
      </c>
      <c r="N14" s="13">
        <v>13.1</v>
      </c>
      <c r="O14" s="13">
        <v>0</v>
      </c>
      <c r="P14" s="13">
        <v>0</v>
      </c>
      <c r="Q14" s="13">
        <v>16</v>
      </c>
      <c r="R14" s="13">
        <v>46.04937527252018</v>
      </c>
      <c r="S14" s="13">
        <v>22.206008909999994</v>
      </c>
      <c r="T14" s="13">
        <v>1</v>
      </c>
      <c r="U14" s="13">
        <v>88.572046979999996</v>
      </c>
      <c r="V14" s="13">
        <v>78</v>
      </c>
      <c r="W14" s="14">
        <v>22</v>
      </c>
    </row>
    <row r="15" spans="1:23" ht="15.75" customHeight="1">
      <c r="A15" s="12" t="s">
        <v>153</v>
      </c>
      <c r="B15" s="13">
        <v>3</v>
      </c>
      <c r="C15" s="13">
        <v>32971.847659999999</v>
      </c>
      <c r="D15" s="13">
        <v>78.297004700000002</v>
      </c>
      <c r="E15" s="13">
        <v>93.139366210000006</v>
      </c>
      <c r="F15" s="13">
        <v>0.84955935110000003</v>
      </c>
      <c r="G15" s="13">
        <v>4.1504683489999996</v>
      </c>
      <c r="H15" s="13">
        <v>1.8606060870000001</v>
      </c>
      <c r="I15" s="13">
        <v>80.79943849</v>
      </c>
      <c r="J15" s="13">
        <v>1.5969437710000001</v>
      </c>
      <c r="K15" s="13">
        <v>9.6126911629999992</v>
      </c>
      <c r="L15" s="13">
        <v>7.9909265779999998</v>
      </c>
      <c r="M15" s="13">
        <v>96.559844080000005</v>
      </c>
      <c r="N15" s="13">
        <v>0.64239323559999995</v>
      </c>
      <c r="O15" s="13">
        <v>2.6364086929999999</v>
      </c>
      <c r="P15" s="13">
        <v>0.1613539953</v>
      </c>
      <c r="Q15" s="13">
        <v>16</v>
      </c>
      <c r="R15" s="13">
        <v>25815.96911202704</v>
      </c>
      <c r="S15" s="13">
        <v>21.702995299999998</v>
      </c>
      <c r="T15" s="13">
        <v>33</v>
      </c>
      <c r="U15" s="13">
        <v>93.139366210000006</v>
      </c>
      <c r="V15" s="13">
        <v>78</v>
      </c>
      <c r="W15" s="14">
        <v>22</v>
      </c>
    </row>
    <row r="16" spans="1:23" ht="15.75" customHeight="1">
      <c r="A16" s="12" t="s">
        <v>157</v>
      </c>
      <c r="B16" s="13">
        <v>3</v>
      </c>
      <c r="C16" s="13">
        <v>11326.61621</v>
      </c>
      <c r="D16" s="13">
        <v>77.194000239999994</v>
      </c>
      <c r="E16" s="13">
        <v>97.002696159999999</v>
      </c>
      <c r="F16" s="13">
        <v>1.471384542</v>
      </c>
      <c r="G16" s="13">
        <v>1.252811506</v>
      </c>
      <c r="H16" s="13">
        <v>0.27310779629999998</v>
      </c>
      <c r="I16" s="13">
        <v>94.386651139999998</v>
      </c>
      <c r="J16" s="13">
        <v>2.591752445</v>
      </c>
      <c r="K16" s="13">
        <v>1.9059729350000001</v>
      </c>
      <c r="L16" s="13">
        <v>1.115623477</v>
      </c>
      <c r="M16" s="13">
        <v>97.775576639999997</v>
      </c>
      <c r="N16" s="13">
        <v>1.1403859000000001</v>
      </c>
      <c r="O16" s="13">
        <v>1.059840374</v>
      </c>
      <c r="P16" s="13">
        <v>2.4197084109999999E-2</v>
      </c>
      <c r="Q16" s="13">
        <v>16</v>
      </c>
      <c r="R16" s="13">
        <v>8743.4681443312784</v>
      </c>
      <c r="S16" s="13">
        <v>22.805999760000006</v>
      </c>
      <c r="T16" s="13">
        <v>12</v>
      </c>
      <c r="U16" s="13">
        <v>97.002696159999999</v>
      </c>
      <c r="V16" s="13">
        <v>77</v>
      </c>
      <c r="W16" s="14">
        <v>23</v>
      </c>
    </row>
    <row r="17" spans="1:23" ht="15.75" customHeight="1">
      <c r="A17" s="12" t="s">
        <v>159</v>
      </c>
      <c r="B17" s="13">
        <v>3</v>
      </c>
      <c r="C17" s="13">
        <v>32365.998049999998</v>
      </c>
      <c r="D17" s="13">
        <v>77.159996030000002</v>
      </c>
      <c r="E17" s="13">
        <v>97.09990707</v>
      </c>
      <c r="F17" s="13">
        <v>0.35453968650000001</v>
      </c>
      <c r="G17" s="13">
        <v>2.5455532409999999</v>
      </c>
      <c r="H17" s="13" t="s">
        <v>29</v>
      </c>
      <c r="I17" s="13">
        <v>90.197448120000004</v>
      </c>
      <c r="J17" s="13">
        <v>0.54445139710000001</v>
      </c>
      <c r="K17" s="13">
        <v>9.2581004779999994</v>
      </c>
      <c r="L17" s="13" t="s">
        <v>29</v>
      </c>
      <c r="M17" s="13">
        <v>99.14309591</v>
      </c>
      <c r="N17" s="13">
        <v>0.29832426049999999</v>
      </c>
      <c r="O17" s="13">
        <v>0.46857983190000002</v>
      </c>
      <c r="P17" s="13">
        <v>0.09</v>
      </c>
      <c r="Q17" s="13">
        <v>16</v>
      </c>
      <c r="R17" s="13">
        <v>24973.602810449876</v>
      </c>
      <c r="S17" s="13">
        <v>22.840003969999998</v>
      </c>
      <c r="T17" s="13">
        <v>33</v>
      </c>
      <c r="U17" s="13">
        <v>97.09990707</v>
      </c>
      <c r="V17" s="13">
        <v>77</v>
      </c>
      <c r="W17" s="14">
        <v>23</v>
      </c>
    </row>
    <row r="18" spans="1:23" ht="15.75" customHeight="1">
      <c r="A18" s="12" t="s">
        <v>162</v>
      </c>
      <c r="B18" s="13">
        <v>3</v>
      </c>
      <c r="C18" s="13">
        <v>6948.4448240000002</v>
      </c>
      <c r="D18" s="13">
        <v>75.685997009999994</v>
      </c>
      <c r="E18" s="13">
        <v>99.011416940000004</v>
      </c>
      <c r="F18" s="13">
        <v>0</v>
      </c>
      <c r="G18" s="13">
        <v>0.98858306070000002</v>
      </c>
      <c r="H18" s="13">
        <v>0</v>
      </c>
      <c r="I18" s="13">
        <v>97.401287969999998</v>
      </c>
      <c r="J18" s="13">
        <v>0</v>
      </c>
      <c r="K18" s="13">
        <v>2.5987120309999998</v>
      </c>
      <c r="L18" s="13">
        <v>0</v>
      </c>
      <c r="M18" s="13">
        <v>99.528670399999996</v>
      </c>
      <c r="N18" s="13">
        <v>0</v>
      </c>
      <c r="O18" s="13">
        <v>0.47132960070000002</v>
      </c>
      <c r="P18" s="13">
        <v>0</v>
      </c>
      <c r="Q18" s="13">
        <v>16</v>
      </c>
      <c r="R18" s="13">
        <v>5258.9997417341392</v>
      </c>
      <c r="S18" s="13">
        <v>24.314002990000006</v>
      </c>
      <c r="T18" s="13">
        <v>7</v>
      </c>
      <c r="U18" s="13">
        <v>99.011416940000004</v>
      </c>
      <c r="V18" s="13">
        <v>76</v>
      </c>
      <c r="W18" s="14">
        <v>24</v>
      </c>
    </row>
    <row r="19" spans="1:23" ht="15.75" customHeight="1">
      <c r="A19" s="12" t="s">
        <v>166</v>
      </c>
      <c r="B19" s="13">
        <v>3</v>
      </c>
      <c r="C19" s="13">
        <v>84339.070309999996</v>
      </c>
      <c r="D19" s="13">
        <v>76.105003359999998</v>
      </c>
      <c r="E19" s="13">
        <v>97.014269159999998</v>
      </c>
      <c r="F19" s="13">
        <v>2.0230780749999999</v>
      </c>
      <c r="G19" s="13">
        <v>0.73767495449999998</v>
      </c>
      <c r="H19" s="13">
        <v>0.2249778093</v>
      </c>
      <c r="I19" s="13">
        <v>96.025169770000005</v>
      </c>
      <c r="J19" s="13">
        <v>2.684574639</v>
      </c>
      <c r="K19" s="13">
        <v>0.78825559109999999</v>
      </c>
      <c r="L19" s="13">
        <v>0.502</v>
      </c>
      <c r="M19" s="13">
        <v>97.324817830000001</v>
      </c>
      <c r="N19" s="13">
        <v>1.8153852029999999</v>
      </c>
      <c r="O19" s="13">
        <v>0.72179696339999999</v>
      </c>
      <c r="P19" s="13">
        <v>0.13800000000000001</v>
      </c>
      <c r="Q19" s="13">
        <v>16</v>
      </c>
      <c r="R19" s="13">
        <v>64186.252293218262</v>
      </c>
      <c r="S19" s="13">
        <v>23.894996640000002</v>
      </c>
      <c r="T19" s="13">
        <v>85</v>
      </c>
      <c r="U19" s="13">
        <v>97.014269159999998</v>
      </c>
      <c r="V19" s="13">
        <v>76</v>
      </c>
      <c r="W19" s="14">
        <v>24</v>
      </c>
    </row>
    <row r="20" spans="1:23" ht="15.75" customHeight="1">
      <c r="A20" s="12" t="s">
        <v>168</v>
      </c>
      <c r="B20" s="13">
        <v>3</v>
      </c>
      <c r="C20" s="13">
        <v>145934.45310000001</v>
      </c>
      <c r="D20" s="13">
        <v>74.754005430000007</v>
      </c>
      <c r="E20" s="13">
        <v>96.992548069999998</v>
      </c>
      <c r="F20" s="13">
        <v>0.62199637659999996</v>
      </c>
      <c r="G20" s="13">
        <v>2.3854555500000001</v>
      </c>
      <c r="H20" s="13" t="s">
        <v>29</v>
      </c>
      <c r="I20" s="13">
        <v>91.544101960000006</v>
      </c>
      <c r="J20" s="13">
        <v>1.5831635129999999</v>
      </c>
      <c r="K20" s="13">
        <v>6.8727345309999999</v>
      </c>
      <c r="L20" s="13" t="s">
        <v>29</v>
      </c>
      <c r="M20" s="13">
        <v>98.832599610000003</v>
      </c>
      <c r="N20" s="13">
        <v>0.29738996870000001</v>
      </c>
      <c r="O20" s="13">
        <v>0.67001042359999996</v>
      </c>
      <c r="P20" s="13">
        <v>0.2</v>
      </c>
      <c r="Q20" s="13">
        <v>16</v>
      </c>
      <c r="R20" s="13">
        <v>109091.84899461482</v>
      </c>
      <c r="S20" s="13">
        <v>25.245994569999993</v>
      </c>
      <c r="T20" s="13">
        <v>146</v>
      </c>
      <c r="U20" s="13">
        <v>96.992548069999998</v>
      </c>
      <c r="V20" s="13">
        <v>75</v>
      </c>
      <c r="W20" s="14">
        <v>25</v>
      </c>
    </row>
    <row r="21" spans="1:23" ht="15.75" customHeight="1">
      <c r="A21" s="12" t="s">
        <v>178</v>
      </c>
      <c r="B21" s="13">
        <v>3</v>
      </c>
      <c r="C21" s="13">
        <v>2351.625</v>
      </c>
      <c r="D21" s="13">
        <v>70.876998900000004</v>
      </c>
      <c r="E21" s="13">
        <v>92.213563070000006</v>
      </c>
      <c r="F21" s="13">
        <v>4.7230389700000002</v>
      </c>
      <c r="G21" s="13">
        <v>1.7325264760000001</v>
      </c>
      <c r="H21" s="13">
        <v>1.330871481</v>
      </c>
      <c r="I21" s="13">
        <v>79.04372386</v>
      </c>
      <c r="J21" s="13">
        <v>15.154947180000001</v>
      </c>
      <c r="K21" s="13">
        <v>1.5961191560000001</v>
      </c>
      <c r="L21" s="13">
        <v>4.2052098100000004</v>
      </c>
      <c r="M21" s="13">
        <v>97.624980579999999</v>
      </c>
      <c r="N21" s="13">
        <v>0.43662003220000001</v>
      </c>
      <c r="O21" s="13">
        <v>1.788579159</v>
      </c>
      <c r="P21" s="13">
        <v>0.14982022810000001</v>
      </c>
      <c r="Q21" s="13">
        <v>16</v>
      </c>
      <c r="R21" s="13">
        <v>1666.7612253821251</v>
      </c>
      <c r="S21" s="13">
        <v>29.123001099999996</v>
      </c>
      <c r="T21" s="13">
        <v>3</v>
      </c>
      <c r="U21" s="13">
        <v>92.213563070000006</v>
      </c>
      <c r="V21" s="13">
        <v>71</v>
      </c>
      <c r="W21" s="14">
        <v>29</v>
      </c>
    </row>
    <row r="22" spans="1:23" ht="12.5">
      <c r="A22" s="12" t="s">
        <v>182</v>
      </c>
      <c r="B22" s="13">
        <v>3</v>
      </c>
      <c r="C22" s="13">
        <v>40222.503909999999</v>
      </c>
      <c r="D22" s="13">
        <v>70.892997739999998</v>
      </c>
      <c r="E22" s="13">
        <v>98.359903250000002</v>
      </c>
      <c r="F22" s="13">
        <v>0.89216034950000001</v>
      </c>
      <c r="G22" s="13">
        <v>2.427900808E-6</v>
      </c>
      <c r="H22" s="13">
        <v>0.74793397129999994</v>
      </c>
      <c r="I22" s="13">
        <v>94.831146779999997</v>
      </c>
      <c r="J22" s="13">
        <v>2.5992513389999998</v>
      </c>
      <c r="K22" s="13">
        <v>0</v>
      </c>
      <c r="L22" s="13">
        <v>2.5696018770000002</v>
      </c>
      <c r="M22" s="13">
        <v>99.808731030000004</v>
      </c>
      <c r="N22" s="13">
        <v>0.19126897000000001</v>
      </c>
      <c r="O22" s="13">
        <v>0</v>
      </c>
      <c r="P22" s="13">
        <v>0</v>
      </c>
      <c r="Q22" s="13">
        <v>16</v>
      </c>
      <c r="R22" s="13">
        <v>28514.93878788771</v>
      </c>
      <c r="S22" s="13">
        <v>29.107002260000002</v>
      </c>
      <c r="T22" s="13">
        <v>41</v>
      </c>
      <c r="U22" s="13">
        <v>98.359903250000002</v>
      </c>
      <c r="V22" s="13">
        <v>71</v>
      </c>
      <c r="W22" s="14">
        <v>29</v>
      </c>
    </row>
    <row r="23" spans="1:23" ht="12.5">
      <c r="A23" s="12" t="s">
        <v>142</v>
      </c>
      <c r="B23" s="13">
        <v>3</v>
      </c>
      <c r="C23" s="13">
        <v>628.06201169999997</v>
      </c>
      <c r="D23" s="13">
        <v>67.488006589999998</v>
      </c>
      <c r="E23" s="13">
        <v>98.856916519999999</v>
      </c>
      <c r="F23" s="13">
        <v>0.54547882039999995</v>
      </c>
      <c r="G23" s="13">
        <v>0.59231201099999997</v>
      </c>
      <c r="H23" s="13">
        <v>5.2926508940000002E-3</v>
      </c>
      <c r="I23" s="13">
        <v>98.161887539999995</v>
      </c>
      <c r="J23" s="13">
        <v>0</v>
      </c>
      <c r="K23" s="13">
        <v>1.821833386</v>
      </c>
      <c r="L23" s="13">
        <v>1.6279069770000001E-2</v>
      </c>
      <c r="M23" s="13">
        <v>99.191739589999997</v>
      </c>
      <c r="N23" s="13">
        <v>0.80826041280000005</v>
      </c>
      <c r="O23" s="13">
        <v>0</v>
      </c>
      <c r="P23" s="13">
        <v>0</v>
      </c>
      <c r="Q23" s="13">
        <v>16</v>
      </c>
      <c r="R23" s="13">
        <v>423.8665318453825</v>
      </c>
      <c r="S23" s="13">
        <v>32.511993410000002</v>
      </c>
      <c r="T23" s="13">
        <v>1</v>
      </c>
      <c r="U23" s="13">
        <v>98.856916519999999</v>
      </c>
      <c r="V23" s="13">
        <v>67</v>
      </c>
      <c r="W23" s="14">
        <v>33</v>
      </c>
    </row>
    <row r="24" spans="1:23" ht="12.5">
      <c r="A24" s="12" t="s">
        <v>202</v>
      </c>
      <c r="B24" s="13">
        <v>3</v>
      </c>
      <c r="C24" s="13">
        <v>59308.691409999999</v>
      </c>
      <c r="D24" s="13">
        <v>67.354003910000003</v>
      </c>
      <c r="E24" s="13">
        <v>93.885057439999997</v>
      </c>
      <c r="F24" s="13">
        <v>2.7727361859999999</v>
      </c>
      <c r="G24" s="13">
        <v>1.410816657</v>
      </c>
      <c r="H24" s="13">
        <v>1.9313897120000001</v>
      </c>
      <c r="I24" s="13">
        <v>83.329481180000002</v>
      </c>
      <c r="J24" s="13">
        <v>6.9773593590000003</v>
      </c>
      <c r="K24" s="13">
        <v>3.7769992870000002</v>
      </c>
      <c r="L24" s="13">
        <v>5.9161601729999997</v>
      </c>
      <c r="M24" s="13">
        <v>99.001264840000005</v>
      </c>
      <c r="N24" s="13">
        <v>0.73478540299999995</v>
      </c>
      <c r="O24" s="13">
        <v>0.26394975469999998</v>
      </c>
      <c r="P24" s="13">
        <v>0</v>
      </c>
      <c r="Q24" s="13">
        <v>16</v>
      </c>
      <c r="R24" s="13">
        <v>39946.778331261237</v>
      </c>
      <c r="S24" s="13">
        <v>32.645996089999997</v>
      </c>
      <c r="T24" s="13">
        <v>60</v>
      </c>
      <c r="U24" s="13">
        <v>93.885057439999997</v>
      </c>
      <c r="V24" s="13">
        <v>67</v>
      </c>
      <c r="W24" s="14">
        <v>33</v>
      </c>
    </row>
    <row r="25" spans="1:23" ht="12.5">
      <c r="A25" s="12" t="s">
        <v>139</v>
      </c>
      <c r="B25" s="13">
        <v>3</v>
      </c>
      <c r="C25" s="13">
        <v>586.63397220000002</v>
      </c>
      <c r="D25" s="13">
        <v>66.149002080000002</v>
      </c>
      <c r="E25" s="13">
        <v>97.989631669999994</v>
      </c>
      <c r="F25" s="13">
        <v>1.0672469410000001</v>
      </c>
      <c r="G25" s="13">
        <v>0.37933650730000001</v>
      </c>
      <c r="H25" s="13">
        <v>0.56378488400000004</v>
      </c>
      <c r="I25" s="13">
        <v>96.574412629999998</v>
      </c>
      <c r="J25" s="13">
        <v>1.6002958599999999</v>
      </c>
      <c r="K25" s="13">
        <v>0.1598017947</v>
      </c>
      <c r="L25" s="13">
        <v>1.6654897200000001</v>
      </c>
      <c r="M25" s="13">
        <v>98.713853869999994</v>
      </c>
      <c r="N25" s="13">
        <v>0.79446523710000005</v>
      </c>
      <c r="O25" s="13">
        <v>0.49168089250000002</v>
      </c>
      <c r="P25" s="13">
        <v>0</v>
      </c>
      <c r="Q25" s="13">
        <v>16</v>
      </c>
      <c r="R25" s="13">
        <v>388.05251847256466</v>
      </c>
      <c r="S25" s="13">
        <v>33.850997919999998</v>
      </c>
      <c r="T25" s="13">
        <v>1</v>
      </c>
      <c r="U25" s="13">
        <v>97.989631669999994</v>
      </c>
      <c r="V25" s="13">
        <v>66</v>
      </c>
      <c r="W25" s="14">
        <v>34</v>
      </c>
    </row>
    <row r="26" spans="1:23" ht="12.5">
      <c r="A26" s="12" t="s">
        <v>73</v>
      </c>
      <c r="B26" s="13">
        <v>3</v>
      </c>
      <c r="C26" s="13">
        <v>11.791999819999999</v>
      </c>
      <c r="D26" s="13">
        <v>64.013999940000005</v>
      </c>
      <c r="E26" s="13">
        <v>100</v>
      </c>
      <c r="F26" s="13">
        <v>0</v>
      </c>
      <c r="G26" s="13">
        <v>0</v>
      </c>
      <c r="H26" s="13">
        <v>0</v>
      </c>
      <c r="I26" s="13">
        <v>100</v>
      </c>
      <c r="J26" s="13">
        <v>0</v>
      </c>
      <c r="K26" s="13">
        <v>0</v>
      </c>
      <c r="L26" s="13">
        <v>0</v>
      </c>
      <c r="M26" s="13">
        <v>100</v>
      </c>
      <c r="N26" s="13">
        <v>0</v>
      </c>
      <c r="O26" s="13">
        <v>0</v>
      </c>
      <c r="P26" s="13">
        <v>0</v>
      </c>
      <c r="Q26" s="13">
        <v>16</v>
      </c>
      <c r="R26" s="13">
        <v>7.5485307576996004</v>
      </c>
      <c r="S26" s="13">
        <v>35.986000059999995</v>
      </c>
      <c r="T26" s="13">
        <v>1</v>
      </c>
      <c r="U26" s="13">
        <v>100</v>
      </c>
      <c r="V26" s="13">
        <v>64</v>
      </c>
      <c r="W26" s="14">
        <v>36</v>
      </c>
    </row>
    <row r="27" spans="1:23" ht="12.5">
      <c r="A27" s="12" t="s">
        <v>206</v>
      </c>
      <c r="B27" s="13">
        <v>3</v>
      </c>
      <c r="C27" s="13">
        <v>17643.060549999998</v>
      </c>
      <c r="D27" s="13">
        <v>64.166000370000006</v>
      </c>
      <c r="E27" s="13">
        <v>95.359763560000005</v>
      </c>
      <c r="F27" s="13">
        <v>3.451463449E-3</v>
      </c>
      <c r="G27" s="13">
        <v>2.6044853890000002</v>
      </c>
      <c r="H27" s="13">
        <v>2.032299589</v>
      </c>
      <c r="I27" s="13">
        <v>87.050744949999995</v>
      </c>
      <c r="J27" s="13">
        <v>9.6318110219999996E-3</v>
      </c>
      <c r="K27" s="13">
        <v>7.2681954900000001</v>
      </c>
      <c r="L27" s="13">
        <v>5.6714277470000001</v>
      </c>
      <c r="M27" s="13">
        <v>100</v>
      </c>
      <c r="N27" s="13">
        <v>0</v>
      </c>
      <c r="O27" s="13">
        <v>0</v>
      </c>
      <c r="P27" s="13">
        <v>0</v>
      </c>
      <c r="Q27" s="13">
        <v>16</v>
      </c>
      <c r="R27" s="13">
        <v>11320.846297792325</v>
      </c>
      <c r="S27" s="13">
        <v>35.833999629999994</v>
      </c>
      <c r="T27" s="13">
        <v>18</v>
      </c>
      <c r="U27" s="13">
        <v>95.359763560000005</v>
      </c>
      <c r="V27" s="13">
        <v>64</v>
      </c>
      <c r="W27" s="14">
        <v>36</v>
      </c>
    </row>
    <row r="28" spans="1:23" ht="12.5">
      <c r="A28" s="12" t="s">
        <v>190</v>
      </c>
      <c r="B28" s="13">
        <v>3</v>
      </c>
      <c r="C28" s="13">
        <v>2963.2338869999999</v>
      </c>
      <c r="D28" s="13">
        <v>63.312999730000001</v>
      </c>
      <c r="E28" s="13">
        <v>99.971180689999997</v>
      </c>
      <c r="F28" s="13">
        <v>0</v>
      </c>
      <c r="G28" s="13">
        <v>2.8819308009999999E-2</v>
      </c>
      <c r="H28" s="13">
        <v>0</v>
      </c>
      <c r="I28" s="13">
        <v>100</v>
      </c>
      <c r="J28" s="13">
        <v>0</v>
      </c>
      <c r="K28" s="13">
        <v>0</v>
      </c>
      <c r="L28" s="13">
        <v>0</v>
      </c>
      <c r="M28" s="13">
        <v>99.954481220000005</v>
      </c>
      <c r="N28" s="13">
        <v>0</v>
      </c>
      <c r="O28" s="13">
        <v>4.5518783639999998E-2</v>
      </c>
      <c r="P28" s="13">
        <v>0</v>
      </c>
      <c r="Q28" s="13">
        <v>16</v>
      </c>
      <c r="R28" s="13">
        <v>1876.1122628755784</v>
      </c>
      <c r="S28" s="13">
        <v>36.687000269999999</v>
      </c>
      <c r="T28" s="13">
        <v>3</v>
      </c>
      <c r="U28" s="13">
        <v>99.971180689999997</v>
      </c>
      <c r="V28" s="13">
        <v>63</v>
      </c>
      <c r="W28" s="14">
        <v>37</v>
      </c>
    </row>
    <row r="29" spans="1:23" ht="12.5">
      <c r="A29" s="12" t="s">
        <v>185</v>
      </c>
      <c r="B29" s="13">
        <v>3</v>
      </c>
      <c r="C29" s="13">
        <v>2877.8000489999999</v>
      </c>
      <c r="D29" s="13">
        <v>62.111999509999997</v>
      </c>
      <c r="E29" s="13">
        <v>95.068038830000006</v>
      </c>
      <c r="F29" s="13">
        <v>1.8846560919999999</v>
      </c>
      <c r="G29" s="13">
        <v>3.0473050810000002</v>
      </c>
      <c r="H29" s="13">
        <v>0</v>
      </c>
      <c r="I29" s="13">
        <v>94.091358060000005</v>
      </c>
      <c r="J29" s="13">
        <v>2.3052649550000002</v>
      </c>
      <c r="K29" s="13">
        <v>3.6033769859999998</v>
      </c>
      <c r="L29" s="13">
        <v>0</v>
      </c>
      <c r="M29" s="13">
        <v>95.663809119999996</v>
      </c>
      <c r="N29" s="13">
        <v>1.62808683</v>
      </c>
      <c r="O29" s="13">
        <v>2.7081040540000001</v>
      </c>
      <c r="P29" s="13">
        <v>0</v>
      </c>
      <c r="Q29" s="13">
        <v>16</v>
      </c>
      <c r="R29" s="13">
        <v>1787.4591523336596</v>
      </c>
      <c r="S29" s="13">
        <v>37.888000490000003</v>
      </c>
      <c r="T29" s="13">
        <v>3</v>
      </c>
      <c r="U29" s="13">
        <v>95.068038830000006</v>
      </c>
      <c r="V29" s="13">
        <v>62</v>
      </c>
      <c r="W29" s="14">
        <v>38</v>
      </c>
    </row>
    <row r="30" spans="1:23" ht="12.5">
      <c r="A30" s="12" t="s">
        <v>209</v>
      </c>
      <c r="B30" s="13">
        <v>3</v>
      </c>
      <c r="C30" s="13">
        <v>7132.5297849999997</v>
      </c>
      <c r="D30" s="13">
        <v>62.182994839999999</v>
      </c>
      <c r="E30" s="13">
        <v>99.593466329999998</v>
      </c>
      <c r="F30" s="13">
        <v>0.40653024389999998</v>
      </c>
      <c r="G30" s="13">
        <v>3.4229177000000001E-6</v>
      </c>
      <c r="H30" s="13">
        <v>0</v>
      </c>
      <c r="I30" s="13">
        <v>99.111227529999994</v>
      </c>
      <c r="J30" s="13">
        <v>0.88877246840000002</v>
      </c>
      <c r="K30" s="13">
        <v>0</v>
      </c>
      <c r="L30" s="13">
        <v>0</v>
      </c>
      <c r="M30" s="13">
        <v>99.886748539999999</v>
      </c>
      <c r="N30" s="13">
        <v>0.11325146429999999</v>
      </c>
      <c r="O30" s="13">
        <v>0</v>
      </c>
      <c r="P30" s="13">
        <v>0</v>
      </c>
      <c r="Q30" s="13">
        <v>16</v>
      </c>
      <c r="R30" s="13">
        <v>4435.2206281680128</v>
      </c>
      <c r="S30" s="13">
        <v>37.817005160000001</v>
      </c>
      <c r="T30" s="13">
        <v>8</v>
      </c>
      <c r="U30" s="13">
        <v>99.593466329999998</v>
      </c>
      <c r="V30" s="13">
        <v>62</v>
      </c>
      <c r="W30" s="14">
        <v>38</v>
      </c>
    </row>
    <row r="31" spans="1:23" ht="12.5">
      <c r="A31" s="12" t="s">
        <v>212</v>
      </c>
      <c r="B31" s="13">
        <v>3</v>
      </c>
      <c r="C31" s="13">
        <v>1463140.5</v>
      </c>
      <c r="D31" s="13">
        <v>61.713088990000003</v>
      </c>
      <c r="E31" s="13">
        <v>94.261110590000001</v>
      </c>
      <c r="F31" s="13">
        <v>0.8147213297</v>
      </c>
      <c r="G31" s="13">
        <v>4.725451938</v>
      </c>
      <c r="H31" s="13">
        <v>0.19871614409999999</v>
      </c>
      <c r="I31" s="13">
        <v>89.661233510000002</v>
      </c>
      <c r="J31" s="13">
        <v>1.832679086</v>
      </c>
      <c r="K31" s="13">
        <v>8.5060874089999992</v>
      </c>
      <c r="L31" s="13">
        <v>0</v>
      </c>
      <c r="M31" s="13">
        <v>97.11488267</v>
      </c>
      <c r="N31" s="13">
        <v>0.1831784927</v>
      </c>
      <c r="O31" s="13">
        <v>2.3799388399999999</v>
      </c>
      <c r="P31" s="13">
        <v>0.32200000000000001</v>
      </c>
      <c r="Q31" s="13">
        <v>16</v>
      </c>
      <c r="R31" s="13">
        <v>902949.19881373097</v>
      </c>
      <c r="S31" s="13">
        <v>38.286911009999997</v>
      </c>
      <c r="T31" s="13">
        <v>1464</v>
      </c>
      <c r="U31" s="13">
        <v>94.261110590000001</v>
      </c>
      <c r="V31" s="13">
        <v>62</v>
      </c>
      <c r="W31" s="14">
        <v>38</v>
      </c>
    </row>
    <row r="32" spans="1:23" ht="12.5">
      <c r="A32" s="12" t="s">
        <v>193</v>
      </c>
      <c r="B32" s="13">
        <v>3</v>
      </c>
      <c r="C32" s="13">
        <v>3989.1750489999999</v>
      </c>
      <c r="D32" s="13">
        <v>59.452995299999998</v>
      </c>
      <c r="E32" s="13">
        <v>97.348139700000004</v>
      </c>
      <c r="F32" s="13">
        <v>0</v>
      </c>
      <c r="G32" s="13">
        <v>2.6327613790000002</v>
      </c>
      <c r="H32" s="13">
        <v>1.9098923269999998E-2</v>
      </c>
      <c r="I32" s="13">
        <v>94.271884200000002</v>
      </c>
      <c r="J32" s="13">
        <v>0</v>
      </c>
      <c r="K32" s="13">
        <v>5.7039236180000001</v>
      </c>
      <c r="L32" s="13">
        <v>2.4192183450000002E-2</v>
      </c>
      <c r="M32" s="13">
        <v>99.446153940000002</v>
      </c>
      <c r="N32" s="13">
        <v>0</v>
      </c>
      <c r="O32" s="13">
        <v>0.53822074200000003</v>
      </c>
      <c r="P32" s="13">
        <v>1.5625315859999999E-2</v>
      </c>
      <c r="Q32" s="13">
        <v>16</v>
      </c>
      <c r="R32" s="13">
        <v>2371.6840543907429</v>
      </c>
      <c r="S32" s="13">
        <v>40.547004700000002</v>
      </c>
      <c r="T32" s="13">
        <v>4</v>
      </c>
      <c r="U32" s="13">
        <v>97.348139700000004</v>
      </c>
      <c r="V32" s="13">
        <v>59</v>
      </c>
      <c r="W32" s="14">
        <v>41</v>
      </c>
    </row>
    <row r="33" spans="1:23" ht="12.5">
      <c r="A33" s="12" t="s">
        <v>174</v>
      </c>
      <c r="B33" s="13">
        <v>3</v>
      </c>
      <c r="C33" s="13">
        <v>2083.3798830000001</v>
      </c>
      <c r="D33" s="13">
        <v>58.481998439999998</v>
      </c>
      <c r="E33" s="13">
        <v>97.742815789999995</v>
      </c>
      <c r="F33" s="13">
        <v>1.6349941400000001</v>
      </c>
      <c r="G33" s="13">
        <v>0.57422847619999995</v>
      </c>
      <c r="H33" s="13">
        <v>4.796159706E-2</v>
      </c>
      <c r="I33" s="13">
        <v>97.468714570000003</v>
      </c>
      <c r="J33" s="13">
        <v>1.505202232</v>
      </c>
      <c r="K33" s="13">
        <v>0.91056319819999998</v>
      </c>
      <c r="L33" s="13">
        <v>0.11552</v>
      </c>
      <c r="M33" s="13">
        <v>97.937402989999995</v>
      </c>
      <c r="N33" s="13">
        <v>1.7271369539999999</v>
      </c>
      <c r="O33" s="13">
        <v>0.33546005629999998</v>
      </c>
      <c r="P33" s="13">
        <v>0</v>
      </c>
      <c r="Q33" s="13">
        <v>16</v>
      </c>
      <c r="R33" s="13">
        <v>1218.4021906753337</v>
      </c>
      <c r="S33" s="13">
        <v>41.518001560000002</v>
      </c>
      <c r="T33" s="13">
        <v>3</v>
      </c>
      <c r="U33" s="13">
        <v>97.742815789999995</v>
      </c>
      <c r="V33" s="13">
        <v>58</v>
      </c>
      <c r="W33" s="14">
        <v>42</v>
      </c>
    </row>
    <row r="34" spans="1:23" ht="12.5">
      <c r="A34" s="12" t="s">
        <v>219</v>
      </c>
      <c r="B34" s="13">
        <v>3</v>
      </c>
      <c r="C34" s="13">
        <v>18776.707030000001</v>
      </c>
      <c r="D34" s="13">
        <v>57.671001429999997</v>
      </c>
      <c r="E34" s="13">
        <v>95.434970320000005</v>
      </c>
      <c r="F34" s="13">
        <v>1.9414250390000001</v>
      </c>
      <c r="G34" s="13">
        <v>2.5459569339999999</v>
      </c>
      <c r="H34" s="13">
        <v>7.7647704710000001E-2</v>
      </c>
      <c r="I34" s="13">
        <v>91.939252339999996</v>
      </c>
      <c r="J34" s="13">
        <v>1.862616064</v>
      </c>
      <c r="K34" s="13">
        <v>6.0146930489999999</v>
      </c>
      <c r="L34" s="13">
        <v>0.18343854379999999</v>
      </c>
      <c r="M34" s="13">
        <v>98.000731329999994</v>
      </c>
      <c r="N34" s="13">
        <v>1.999268673</v>
      </c>
      <c r="O34" s="13">
        <v>0</v>
      </c>
      <c r="P34" s="13">
        <v>0</v>
      </c>
      <c r="Q34" s="13">
        <v>16</v>
      </c>
      <c r="R34" s="13">
        <v>10828.714979778211</v>
      </c>
      <c r="S34" s="13">
        <v>42.328998570000003</v>
      </c>
      <c r="T34" s="13">
        <v>19</v>
      </c>
      <c r="U34" s="13">
        <v>95.434970320000005</v>
      </c>
      <c r="V34" s="13">
        <v>58</v>
      </c>
      <c r="W34" s="14">
        <v>42</v>
      </c>
    </row>
    <row r="35" spans="1:23" ht="12.5">
      <c r="A35" s="12" t="s">
        <v>151</v>
      </c>
      <c r="B35" s="13">
        <v>3</v>
      </c>
      <c r="C35" s="13">
        <v>896.44396970000003</v>
      </c>
      <c r="D35" s="13">
        <v>57.247005459999997</v>
      </c>
      <c r="E35" s="13">
        <v>94.30106524</v>
      </c>
      <c r="F35" s="13">
        <v>0</v>
      </c>
      <c r="G35" s="13">
        <v>3.3186027660000001</v>
      </c>
      <c r="H35" s="13">
        <v>2.380331999</v>
      </c>
      <c r="I35" s="13">
        <v>89.088024050000001</v>
      </c>
      <c r="J35" s="13">
        <v>0</v>
      </c>
      <c r="K35" s="13">
        <v>5.7598979379999999</v>
      </c>
      <c r="L35" s="13">
        <v>5.1520780119999996</v>
      </c>
      <c r="M35" s="13">
        <v>98.194244060000003</v>
      </c>
      <c r="N35" s="13">
        <v>0</v>
      </c>
      <c r="O35" s="13">
        <v>1.495409344</v>
      </c>
      <c r="P35" s="13">
        <v>0.31034659219999999</v>
      </c>
      <c r="Q35" s="13">
        <v>16</v>
      </c>
      <c r="R35" s="13">
        <v>513.18732827999975</v>
      </c>
      <c r="S35" s="13">
        <v>42.752994540000003</v>
      </c>
      <c r="T35" s="13">
        <v>1</v>
      </c>
      <c r="U35" s="13">
        <v>94.30106524</v>
      </c>
      <c r="V35" s="13">
        <v>57</v>
      </c>
      <c r="W35" s="14">
        <v>43</v>
      </c>
    </row>
    <row r="36" spans="1:23" ht="12.5">
      <c r="A36" s="12" t="s">
        <v>188</v>
      </c>
      <c r="B36" s="13">
        <v>3</v>
      </c>
      <c r="C36" s="13">
        <v>2961.1608890000002</v>
      </c>
      <c r="D36" s="13">
        <v>56.311000819999997</v>
      </c>
      <c r="E36" s="13">
        <v>91.029944499999999</v>
      </c>
      <c r="F36" s="13">
        <v>5.3675709139999999</v>
      </c>
      <c r="G36" s="13">
        <v>1.8640102030000001</v>
      </c>
      <c r="H36" s="13">
        <v>1.7384743789999999</v>
      </c>
      <c r="I36" s="13">
        <v>85.39991216</v>
      </c>
      <c r="J36" s="13">
        <v>8.4907373709999998</v>
      </c>
      <c r="K36" s="13">
        <v>2.5689718949999998</v>
      </c>
      <c r="L36" s="13">
        <v>3.540378574</v>
      </c>
      <c r="M36" s="13">
        <v>95.398015909999998</v>
      </c>
      <c r="N36" s="13">
        <v>2.944456223</v>
      </c>
      <c r="O36" s="13">
        <v>1.317064322</v>
      </c>
      <c r="P36" s="13">
        <v>0.34046355</v>
      </c>
      <c r="Q36" s="13">
        <v>16</v>
      </c>
      <c r="R36" s="13">
        <v>1667.4593324863094</v>
      </c>
      <c r="S36" s="13">
        <v>43.688999180000003</v>
      </c>
      <c r="T36" s="13">
        <v>3</v>
      </c>
      <c r="U36" s="13">
        <v>91.029944499999999</v>
      </c>
      <c r="V36" s="13">
        <v>56</v>
      </c>
      <c r="W36" s="14">
        <v>44</v>
      </c>
    </row>
    <row r="37" spans="1:23" ht="12.5">
      <c r="A37" s="12" t="s">
        <v>223</v>
      </c>
      <c r="B37" s="13">
        <v>3</v>
      </c>
      <c r="C37" s="13">
        <v>8737.3701170000004</v>
      </c>
      <c r="D37" s="13">
        <v>56.445999149999999</v>
      </c>
      <c r="E37" s="13">
        <v>95.29552932</v>
      </c>
      <c r="F37" s="13">
        <v>4.244199279</v>
      </c>
      <c r="G37" s="13">
        <v>0.44372047780000001</v>
      </c>
      <c r="H37" s="13">
        <v>1.6550926470000001E-2</v>
      </c>
      <c r="I37" s="13">
        <v>95.844974750000006</v>
      </c>
      <c r="J37" s="13">
        <v>3.545864028</v>
      </c>
      <c r="K37" s="13">
        <v>0.57116028659999996</v>
      </c>
      <c r="L37" s="13">
        <v>3.8000931410000001E-2</v>
      </c>
      <c r="M37" s="13">
        <v>94.871569890000004</v>
      </c>
      <c r="N37" s="13">
        <v>4.7830378649999998</v>
      </c>
      <c r="O37" s="13">
        <v>0.3453922445</v>
      </c>
      <c r="P37" s="13">
        <v>0</v>
      </c>
      <c r="Q37" s="13">
        <v>16</v>
      </c>
      <c r="R37" s="13">
        <v>4931.8958619741743</v>
      </c>
      <c r="S37" s="13">
        <v>43.554000850000001</v>
      </c>
      <c r="T37" s="13">
        <v>9</v>
      </c>
      <c r="U37" s="13">
        <v>95.29552932</v>
      </c>
      <c r="V37" s="13">
        <v>56</v>
      </c>
      <c r="W37" s="14">
        <v>44</v>
      </c>
    </row>
    <row r="38" spans="1:23" ht="12.5">
      <c r="A38" s="12" t="s">
        <v>228</v>
      </c>
      <c r="B38" s="13">
        <v>3</v>
      </c>
      <c r="C38" s="13">
        <v>10139.174800000001</v>
      </c>
      <c r="D38" s="13">
        <v>56.397003169999998</v>
      </c>
      <c r="E38" s="13">
        <v>96.043376129999999</v>
      </c>
      <c r="F38" s="13">
        <v>1.04278118</v>
      </c>
      <c r="G38" s="13">
        <v>2.9138426879999999</v>
      </c>
      <c r="H38" s="13">
        <v>0</v>
      </c>
      <c r="I38" s="13">
        <v>90.925797950000003</v>
      </c>
      <c r="J38" s="13">
        <v>2.3915356710000002</v>
      </c>
      <c r="K38" s="13">
        <v>6.6826663770000003</v>
      </c>
      <c r="L38" s="13">
        <v>0</v>
      </c>
      <c r="M38" s="13">
        <v>100</v>
      </c>
      <c r="N38" s="13">
        <v>0</v>
      </c>
      <c r="O38" s="13">
        <v>0</v>
      </c>
      <c r="P38" s="13">
        <v>0</v>
      </c>
      <c r="Q38" s="13">
        <v>16</v>
      </c>
      <c r="R38" s="13">
        <v>5718.1907333678409</v>
      </c>
      <c r="S38" s="13">
        <v>43.602996830000002</v>
      </c>
      <c r="T38" s="13">
        <v>11</v>
      </c>
      <c r="U38" s="13">
        <v>96.043376129999999</v>
      </c>
      <c r="V38" s="13">
        <v>56</v>
      </c>
      <c r="W38" s="14">
        <v>44</v>
      </c>
    </row>
    <row r="39" spans="1:23" ht="12.5">
      <c r="A39" s="12" t="s">
        <v>208</v>
      </c>
      <c r="B39" s="13">
        <v>3</v>
      </c>
      <c r="C39" s="13">
        <v>6031.1870120000003</v>
      </c>
      <c r="D39" s="13">
        <v>52.516002659999998</v>
      </c>
      <c r="E39" s="13">
        <v>100</v>
      </c>
      <c r="F39" s="13">
        <v>0</v>
      </c>
      <c r="G39" s="13">
        <v>0</v>
      </c>
      <c r="H39" s="13">
        <v>0</v>
      </c>
      <c r="I39" s="13">
        <v>100</v>
      </c>
      <c r="J39" s="13">
        <v>0</v>
      </c>
      <c r="K39" s="13">
        <v>0</v>
      </c>
      <c r="L39" s="13">
        <v>0</v>
      </c>
      <c r="M39" s="13">
        <v>100</v>
      </c>
      <c r="N39" s="13">
        <v>0</v>
      </c>
      <c r="O39" s="13">
        <v>0</v>
      </c>
      <c r="P39" s="13">
        <v>0</v>
      </c>
      <c r="Q39" s="13">
        <v>16</v>
      </c>
      <c r="R39" s="13">
        <v>3167.3383316514942</v>
      </c>
      <c r="S39" s="13">
        <v>47.483997340000002</v>
      </c>
      <c r="T39" s="13">
        <v>7</v>
      </c>
      <c r="U39" s="13">
        <v>100</v>
      </c>
      <c r="V39" s="13">
        <v>53</v>
      </c>
      <c r="W39" s="14">
        <v>47</v>
      </c>
    </row>
    <row r="40" spans="1:23" ht="12.5">
      <c r="A40" s="12" t="s">
        <v>181</v>
      </c>
      <c r="B40" s="13">
        <v>3</v>
      </c>
      <c r="C40" s="13">
        <v>2540.9160160000001</v>
      </c>
      <c r="D40" s="13">
        <v>52.033000950000002</v>
      </c>
      <c r="E40" s="13">
        <v>84.270036279999999</v>
      </c>
      <c r="F40" s="13">
        <v>7.0876275099999999</v>
      </c>
      <c r="G40" s="13">
        <v>3.740143722</v>
      </c>
      <c r="H40" s="13">
        <v>4.9021924849999996</v>
      </c>
      <c r="I40" s="13">
        <v>71.256167430000005</v>
      </c>
      <c r="J40" s="13">
        <v>11.97218925</v>
      </c>
      <c r="K40" s="13">
        <v>7.0818037589999996</v>
      </c>
      <c r="L40" s="13">
        <v>9.6898395629999996</v>
      </c>
      <c r="M40" s="13">
        <v>96.266965350000007</v>
      </c>
      <c r="N40" s="13">
        <v>2.5847589649999998</v>
      </c>
      <c r="O40" s="13">
        <v>0.65961026379999999</v>
      </c>
      <c r="P40" s="13">
        <v>0.4886654211</v>
      </c>
      <c r="Q40" s="13">
        <v>16</v>
      </c>
      <c r="R40" s="13">
        <v>1322.1148547439821</v>
      </c>
      <c r="S40" s="13">
        <v>47.966999049999998</v>
      </c>
      <c r="T40" s="13">
        <v>3</v>
      </c>
      <c r="U40" s="13">
        <v>84.270036279999999</v>
      </c>
      <c r="V40" s="13">
        <v>52</v>
      </c>
      <c r="W40" s="14">
        <v>48</v>
      </c>
    </row>
    <row r="41" spans="1:23" ht="12.5">
      <c r="A41" s="12" t="s">
        <v>232</v>
      </c>
      <c r="B41" s="13">
        <v>3</v>
      </c>
      <c r="C41" s="13">
        <v>17915.566409999999</v>
      </c>
      <c r="D41" s="13">
        <v>51.835998539999999</v>
      </c>
      <c r="E41" s="13">
        <v>94.006428270000001</v>
      </c>
      <c r="F41" s="13">
        <v>1.034150511</v>
      </c>
      <c r="G41" s="13">
        <v>3.2159118150000001</v>
      </c>
      <c r="H41" s="13">
        <v>1.7435094040000001</v>
      </c>
      <c r="I41" s="13">
        <v>90.119329800000003</v>
      </c>
      <c r="J41" s="13">
        <v>1.8491699989999999</v>
      </c>
      <c r="K41" s="13">
        <v>4.5834386909999996</v>
      </c>
      <c r="L41" s="13">
        <v>3.4480615079999999</v>
      </c>
      <c r="M41" s="13">
        <v>97.618169440000003</v>
      </c>
      <c r="N41" s="13">
        <v>0.27686600569999997</v>
      </c>
      <c r="O41" s="13">
        <v>1.94525887</v>
      </c>
      <c r="P41" s="13">
        <v>0.15970568490000001</v>
      </c>
      <c r="Q41" s="13">
        <v>16</v>
      </c>
      <c r="R41" s="13">
        <v>9286.7127427203286</v>
      </c>
      <c r="S41" s="13">
        <v>48.164001460000001</v>
      </c>
      <c r="T41" s="13">
        <v>18</v>
      </c>
      <c r="U41" s="13">
        <v>94.006428270000001</v>
      </c>
      <c r="V41" s="13">
        <v>52</v>
      </c>
      <c r="W41" s="14">
        <v>48</v>
      </c>
    </row>
    <row r="42" spans="1:23" ht="12.5">
      <c r="A42" s="12" t="s">
        <v>235</v>
      </c>
      <c r="B42" s="13">
        <v>3</v>
      </c>
      <c r="C42" s="13">
        <v>69799.976559999996</v>
      </c>
      <c r="D42" s="13">
        <v>51.430000309999997</v>
      </c>
      <c r="E42" s="13">
        <v>100</v>
      </c>
      <c r="F42" s="13">
        <v>0</v>
      </c>
      <c r="G42" s="13">
        <v>0</v>
      </c>
      <c r="H42" s="13">
        <v>0</v>
      </c>
      <c r="I42" s="13">
        <v>100</v>
      </c>
      <c r="J42" s="13">
        <v>0</v>
      </c>
      <c r="K42" s="13">
        <v>0</v>
      </c>
      <c r="L42" s="13">
        <v>0</v>
      </c>
      <c r="M42" s="13">
        <v>100</v>
      </c>
      <c r="N42" s="13">
        <v>0</v>
      </c>
      <c r="O42" s="13">
        <v>0</v>
      </c>
      <c r="P42" s="13">
        <v>0</v>
      </c>
      <c r="Q42" s="13">
        <v>16</v>
      </c>
      <c r="R42" s="13">
        <v>35898.128161187924</v>
      </c>
      <c r="S42" s="13">
        <v>48.569999690000003</v>
      </c>
      <c r="T42" s="13">
        <v>70</v>
      </c>
      <c r="U42" s="13">
        <v>100</v>
      </c>
      <c r="V42" s="13">
        <v>51</v>
      </c>
      <c r="W42" s="14">
        <v>49</v>
      </c>
    </row>
    <row r="43" spans="1:23" ht="12.5">
      <c r="A43" s="12" t="s">
        <v>192</v>
      </c>
      <c r="B43" s="13">
        <v>3</v>
      </c>
      <c r="C43" s="13">
        <v>3280.8149410000001</v>
      </c>
      <c r="D43" s="13">
        <v>49.020000459999999</v>
      </c>
      <c r="E43" s="13">
        <v>96.113897620000003</v>
      </c>
      <c r="F43" s="13">
        <v>3.8236639380000002</v>
      </c>
      <c r="G43" s="13">
        <v>6.2438437520000001E-2</v>
      </c>
      <c r="H43" s="13">
        <v>0</v>
      </c>
      <c r="I43" s="13">
        <v>97.333333330000002</v>
      </c>
      <c r="J43" s="13">
        <v>2.6666666669999999</v>
      </c>
      <c r="K43" s="13">
        <v>0</v>
      </c>
      <c r="L43" s="13">
        <v>0</v>
      </c>
      <c r="M43" s="13">
        <v>94.845704400000002</v>
      </c>
      <c r="N43" s="13">
        <v>5.0269222060000001</v>
      </c>
      <c r="O43" s="13">
        <v>0.12737339280000001</v>
      </c>
      <c r="P43" s="13">
        <v>0</v>
      </c>
      <c r="Q43" s="13">
        <v>16</v>
      </c>
      <c r="R43" s="13">
        <v>1608.2554991699487</v>
      </c>
      <c r="S43" s="13">
        <v>50.979999540000001</v>
      </c>
      <c r="T43" s="13">
        <v>4</v>
      </c>
      <c r="U43" s="13">
        <v>96.113897620000003</v>
      </c>
      <c r="V43" s="13">
        <v>49</v>
      </c>
      <c r="W43" s="14">
        <v>51</v>
      </c>
    </row>
    <row r="44" spans="1:23" ht="12.5">
      <c r="A44" s="12" t="s">
        <v>130</v>
      </c>
      <c r="B44" s="13">
        <v>3</v>
      </c>
      <c r="C44" s="13">
        <v>397.62100220000002</v>
      </c>
      <c r="D44" s="13">
        <v>46.025001529999997</v>
      </c>
      <c r="E44" s="13">
        <v>98.401954630000006</v>
      </c>
      <c r="F44" s="13">
        <v>1.249110629</v>
      </c>
      <c r="G44" s="13">
        <v>0.3489347411</v>
      </c>
      <c r="H44" s="13">
        <v>0</v>
      </c>
      <c r="I44" s="13">
        <v>97.995207579999999</v>
      </c>
      <c r="J44" s="13">
        <v>1.358317682</v>
      </c>
      <c r="K44" s="13">
        <v>0.64647473929999999</v>
      </c>
      <c r="L44" s="13">
        <v>0</v>
      </c>
      <c r="M44" s="13">
        <v>98.878960000000006</v>
      </c>
      <c r="N44" s="13">
        <v>1.12104</v>
      </c>
      <c r="O44" s="13">
        <v>0</v>
      </c>
      <c r="P44" s="13">
        <v>0</v>
      </c>
      <c r="Q44" s="13">
        <v>16</v>
      </c>
      <c r="R44" s="13">
        <v>183.00507234615134</v>
      </c>
      <c r="S44" s="13">
        <v>53.974998470000003</v>
      </c>
      <c r="T44" s="13">
        <v>1</v>
      </c>
      <c r="U44" s="13">
        <v>98.401954630000006</v>
      </c>
      <c r="V44" s="13">
        <v>46</v>
      </c>
      <c r="W44" s="14">
        <v>54</v>
      </c>
    </row>
    <row r="45" spans="1:23" ht="12.5">
      <c r="A45" s="12" t="s">
        <v>194</v>
      </c>
      <c r="B45" s="13">
        <v>3</v>
      </c>
      <c r="C45" s="13">
        <v>4033.9628910000001</v>
      </c>
      <c r="D45" s="13">
        <v>42.849002839999997</v>
      </c>
      <c r="E45" s="13">
        <v>90.569962239999995</v>
      </c>
      <c r="F45" s="13">
        <v>1.519776762</v>
      </c>
      <c r="G45" s="13">
        <v>7.910260997</v>
      </c>
      <c r="H45" s="13">
        <v>0</v>
      </c>
      <c r="I45" s="13">
        <v>85.481038119999994</v>
      </c>
      <c r="J45" s="13">
        <v>1.52256302</v>
      </c>
      <c r="K45" s="13">
        <v>12.996398859999999</v>
      </c>
      <c r="L45" s="13">
        <v>0</v>
      </c>
      <c r="M45" s="13">
        <v>97.357444479999998</v>
      </c>
      <c r="N45" s="13">
        <v>1.516060408</v>
      </c>
      <c r="O45" s="13">
        <v>1.1264951110000001</v>
      </c>
      <c r="P45" s="13">
        <v>0</v>
      </c>
      <c r="Q45" s="13">
        <v>16</v>
      </c>
      <c r="R45" s="13">
        <v>1728.5128737291359</v>
      </c>
      <c r="S45" s="13">
        <v>57.150997160000003</v>
      </c>
      <c r="T45" s="13">
        <v>5</v>
      </c>
      <c r="U45" s="13">
        <v>90.569962239999995</v>
      </c>
      <c r="V45" s="13">
        <v>43</v>
      </c>
      <c r="W45" s="14">
        <v>57</v>
      </c>
    </row>
    <row r="46" spans="1:23" ht="12.5">
      <c r="A46" s="12" t="s">
        <v>135</v>
      </c>
      <c r="B46" s="13">
        <v>3</v>
      </c>
      <c r="C46" s="13">
        <v>540.54199219999998</v>
      </c>
      <c r="D46" s="13">
        <v>40.668998719999998</v>
      </c>
      <c r="E46" s="13">
        <v>99.544438600000007</v>
      </c>
      <c r="F46" s="13">
        <v>4.8050691299999997E-2</v>
      </c>
      <c r="G46" s="13">
        <v>0.40751070499999997</v>
      </c>
      <c r="H46" s="13">
        <v>0</v>
      </c>
      <c r="I46" s="13">
        <v>99.919012499999994</v>
      </c>
      <c r="J46" s="13">
        <v>8.0987500000000004E-2</v>
      </c>
      <c r="K46" s="13">
        <v>0</v>
      </c>
      <c r="L46" s="13">
        <v>0</v>
      </c>
      <c r="M46" s="13">
        <v>98.997988930000005</v>
      </c>
      <c r="N46" s="13">
        <v>0</v>
      </c>
      <c r="O46" s="13">
        <v>1.0020110689999999</v>
      </c>
      <c r="P46" s="13">
        <v>0</v>
      </c>
      <c r="Q46" s="13">
        <v>16</v>
      </c>
      <c r="R46" s="13">
        <v>219.83301588888048</v>
      </c>
      <c r="S46" s="13">
        <v>59.331001280000002</v>
      </c>
      <c r="T46" s="13">
        <v>1</v>
      </c>
      <c r="U46" s="13">
        <v>99.544438600000007</v>
      </c>
      <c r="V46" s="13">
        <v>41</v>
      </c>
      <c r="W46" s="14">
        <v>59</v>
      </c>
    </row>
    <row r="47" spans="1:23" ht="12.5">
      <c r="A47" s="12" t="s">
        <v>158</v>
      </c>
      <c r="B47" s="13">
        <v>3</v>
      </c>
      <c r="C47" s="13">
        <v>1271.7669679999999</v>
      </c>
      <c r="D47" s="13">
        <v>40.759998320000001</v>
      </c>
      <c r="E47" s="13">
        <v>99.866254699999999</v>
      </c>
      <c r="F47" s="13">
        <v>0</v>
      </c>
      <c r="G47" s="13">
        <v>0.13374530139999999</v>
      </c>
      <c r="H47" s="13">
        <v>0</v>
      </c>
      <c r="I47" s="13">
        <v>99.827682339999996</v>
      </c>
      <c r="J47" s="13">
        <v>0</v>
      </c>
      <c r="K47" s="13">
        <v>0.17231766179999999</v>
      </c>
      <c r="L47" s="13">
        <v>0</v>
      </c>
      <c r="M47" s="13">
        <v>99.922315220000002</v>
      </c>
      <c r="N47" s="13">
        <v>0</v>
      </c>
      <c r="O47" s="13">
        <v>7.7684781189999996E-2</v>
      </c>
      <c r="P47" s="13">
        <v>0</v>
      </c>
      <c r="Q47" s="13">
        <v>16</v>
      </c>
      <c r="R47" s="13">
        <v>518.37219479111491</v>
      </c>
      <c r="S47" s="13">
        <v>59.240001679999999</v>
      </c>
      <c r="T47" s="13">
        <v>2</v>
      </c>
      <c r="U47" s="13">
        <v>99.866254699999999</v>
      </c>
      <c r="V47" s="13">
        <v>41</v>
      </c>
      <c r="W47" s="14">
        <v>59</v>
      </c>
    </row>
    <row r="48" spans="1:23" ht="12.5">
      <c r="A48" s="12" t="s">
        <v>149</v>
      </c>
      <c r="B48" s="13">
        <v>3</v>
      </c>
      <c r="C48" s="13">
        <v>786.55902100000003</v>
      </c>
      <c r="D48" s="13">
        <v>26.7859993</v>
      </c>
      <c r="E48" s="13">
        <v>95.554806850000006</v>
      </c>
      <c r="F48" s="13">
        <v>1.205244408</v>
      </c>
      <c r="G48" s="13">
        <v>1.143069849</v>
      </c>
      <c r="H48" s="13">
        <v>2.0968788969999999</v>
      </c>
      <c r="I48" s="13">
        <v>93.928490499999995</v>
      </c>
      <c r="J48" s="13">
        <v>1.6461938620000001</v>
      </c>
      <c r="K48" s="13">
        <v>1.5612748329999999</v>
      </c>
      <c r="L48" s="13">
        <v>2.864040809</v>
      </c>
      <c r="M48" s="13">
        <v>100</v>
      </c>
      <c r="N48" s="13">
        <v>0</v>
      </c>
      <c r="O48" s="13">
        <v>0</v>
      </c>
      <c r="P48" s="13">
        <v>0</v>
      </c>
      <c r="Q48" s="13">
        <v>16</v>
      </c>
      <c r="R48" s="13">
        <v>210.68769385914686</v>
      </c>
      <c r="S48" s="13">
        <v>73.2140007</v>
      </c>
      <c r="T48" s="13">
        <v>1</v>
      </c>
      <c r="U48" s="13">
        <v>95.554806850000006</v>
      </c>
      <c r="V48" s="13">
        <v>27</v>
      </c>
      <c r="W48" s="14">
        <v>73</v>
      </c>
    </row>
    <row r="49" spans="1:23" ht="12.5">
      <c r="A49" s="12" t="s">
        <v>105</v>
      </c>
      <c r="B49" s="13">
        <v>3</v>
      </c>
      <c r="C49" s="13">
        <v>105.6969986</v>
      </c>
      <c r="D49" s="13">
        <v>23.098999020000001</v>
      </c>
      <c r="E49" s="13">
        <v>98.731080829999996</v>
      </c>
      <c r="F49" s="13">
        <v>0.88149729619999995</v>
      </c>
      <c r="G49" s="13">
        <v>0.38742187769999997</v>
      </c>
      <c r="H49" s="13">
        <v>0</v>
      </c>
      <c r="I49" s="13">
        <v>98.468078539999993</v>
      </c>
      <c r="J49" s="13">
        <v>1.103159706</v>
      </c>
      <c r="K49" s="13">
        <v>0.42876175509999997</v>
      </c>
      <c r="L49" s="13">
        <v>0</v>
      </c>
      <c r="M49" s="13">
        <v>99.606658190000005</v>
      </c>
      <c r="N49" s="13">
        <v>0.143540536</v>
      </c>
      <c r="O49" s="13">
        <v>0.2498012758</v>
      </c>
      <c r="P49" s="13">
        <v>0</v>
      </c>
      <c r="Q49" s="13">
        <v>16</v>
      </c>
      <c r="R49" s="13">
        <v>24.414948670783414</v>
      </c>
      <c r="S49" s="13">
        <v>76.901000979999992</v>
      </c>
      <c r="T49" s="13">
        <v>1</v>
      </c>
      <c r="U49" s="13">
        <v>98.731080829999996</v>
      </c>
      <c r="V49" s="13">
        <v>23</v>
      </c>
      <c r="W49" s="14">
        <v>77</v>
      </c>
    </row>
    <row r="50" spans="1:23" ht="12.5">
      <c r="A50" s="12" t="s">
        <v>110</v>
      </c>
      <c r="B50" s="13">
        <v>3</v>
      </c>
      <c r="C50" s="13">
        <v>183.62899780000001</v>
      </c>
      <c r="D50" s="13">
        <v>18.8409996</v>
      </c>
      <c r="E50" s="13">
        <v>96.887844569999999</v>
      </c>
      <c r="F50" s="13">
        <v>1.815652166</v>
      </c>
      <c r="G50" s="13">
        <v>1.296503269</v>
      </c>
      <c r="H50" s="13">
        <v>0</v>
      </c>
      <c r="I50" s="13">
        <v>96.814023829999996</v>
      </c>
      <c r="J50" s="13">
        <v>1.7341522549999999</v>
      </c>
      <c r="K50" s="13">
        <v>1.4518239180000001</v>
      </c>
      <c r="L50" s="13">
        <v>0</v>
      </c>
      <c r="M50" s="13">
        <v>97.205822190000006</v>
      </c>
      <c r="N50" s="13">
        <v>2.166718886</v>
      </c>
      <c r="O50" s="13">
        <v>0.6274589237</v>
      </c>
      <c r="P50" s="13">
        <v>0</v>
      </c>
      <c r="Q50" s="13">
        <v>16</v>
      </c>
      <c r="R50" s="13">
        <v>34.59753874098201</v>
      </c>
      <c r="S50" s="13">
        <v>81.159000399999996</v>
      </c>
      <c r="T50" s="13">
        <v>1</v>
      </c>
      <c r="U50" s="13">
        <v>96.887844569999999</v>
      </c>
      <c r="V50" s="13">
        <v>19</v>
      </c>
      <c r="W50" s="14">
        <v>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6"/>
  <sheetViews>
    <sheetView workbookViewId="0"/>
  </sheetViews>
  <sheetFormatPr defaultColWidth="12.6328125" defaultRowHeight="15.75" customHeight="1"/>
  <sheetData>
    <row r="1" spans="1:4" ht="15.75" customHeight="1">
      <c r="A1" s="1" t="s">
        <v>255</v>
      </c>
      <c r="B1" s="1" t="s">
        <v>256</v>
      </c>
    </row>
    <row r="2" spans="1:4" ht="15.75" customHeight="1">
      <c r="A2" s="1">
        <v>37264.340285112004</v>
      </c>
      <c r="B2" s="1">
        <v>983.36799431100007</v>
      </c>
      <c r="C2" s="1">
        <f t="shared" ref="C2:C6" si="0">((B2/A2)*100)</f>
        <v>2.6388981712467863</v>
      </c>
      <c r="D2" s="1">
        <v>0</v>
      </c>
    </row>
    <row r="3" spans="1:4" ht="15.75" customHeight="1">
      <c r="A3" s="1">
        <v>590425.16206599993</v>
      </c>
      <c r="B3" s="1">
        <v>937.16098785999986</v>
      </c>
      <c r="C3" s="1">
        <f t="shared" si="0"/>
        <v>0.15872646493938558</v>
      </c>
      <c r="D3" s="1">
        <v>1</v>
      </c>
    </row>
    <row r="4" spans="1:4" ht="15.75" customHeight="1">
      <c r="A4" s="1">
        <v>3399310.2309557009</v>
      </c>
      <c r="B4" s="1">
        <v>2537.0749826499996</v>
      </c>
      <c r="C4" s="1">
        <f t="shared" si="0"/>
        <v>7.4634993874528252E-2</v>
      </c>
      <c r="D4" s="1">
        <v>2</v>
      </c>
    </row>
    <row r="5" spans="1:4" ht="15.75" customHeight="1">
      <c r="A5" s="1">
        <v>2547619.3068691106</v>
      </c>
      <c r="B5" s="1">
        <v>3169.599086780001</v>
      </c>
      <c r="C5" s="1">
        <f t="shared" si="0"/>
        <v>0.12441415710086098</v>
      </c>
      <c r="D5" s="1">
        <v>3</v>
      </c>
    </row>
    <row r="6" spans="1:4" ht="15.75" customHeight="1">
      <c r="A6" s="1">
        <v>1212076.0675753104</v>
      </c>
      <c r="B6" s="1">
        <v>5554.8820095099973</v>
      </c>
      <c r="C6" s="1">
        <f t="shared" si="0"/>
        <v>0.45829483463213866</v>
      </c>
      <c r="D6" s="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7"/>
  <sheetViews>
    <sheetView showGridLines="0" workbookViewId="0">
      <selection activeCell="C2" sqref="C2"/>
    </sheetView>
  </sheetViews>
  <sheetFormatPr defaultColWidth="12.6328125" defaultRowHeight="15.75" customHeight="1"/>
  <cols>
    <col min="2" max="2" width="19.36328125" customWidth="1"/>
    <col min="3" max="3" width="17.90625" customWidth="1"/>
    <col min="4" max="4" width="29.6328125" customWidth="1"/>
    <col min="5" max="5" width="30.90625" customWidth="1"/>
    <col min="6" max="6" width="34.26953125" customWidth="1"/>
    <col min="7" max="7" width="31.26953125" customWidth="1"/>
  </cols>
  <sheetData>
    <row r="1" spans="1:7" ht="15.75" customHeight="1">
      <c r="A1" s="19"/>
      <c r="B1" s="20" t="s">
        <v>286</v>
      </c>
      <c r="C1" s="21"/>
      <c r="D1" s="21"/>
      <c r="E1" s="21"/>
      <c r="F1" s="21"/>
      <c r="G1" s="22"/>
    </row>
    <row r="2" spans="1:7" ht="15.75" customHeight="1">
      <c r="A2" s="20" t="s">
        <v>2</v>
      </c>
      <c r="B2" s="19" t="s">
        <v>287</v>
      </c>
      <c r="C2" s="23" t="s">
        <v>288</v>
      </c>
      <c r="D2" s="23" t="s">
        <v>271</v>
      </c>
      <c r="E2" s="23" t="s">
        <v>272</v>
      </c>
      <c r="F2" s="23" t="s">
        <v>273</v>
      </c>
      <c r="G2" s="24" t="s">
        <v>274</v>
      </c>
    </row>
    <row r="3" spans="1:7" ht="15.75" customHeight="1">
      <c r="A3" s="19" t="s">
        <v>69</v>
      </c>
      <c r="B3" s="25">
        <v>17315.372393932998</v>
      </c>
      <c r="C3" s="26">
        <v>79.355457278714269</v>
      </c>
      <c r="D3" s="26">
        <v>99.560197920289895</v>
      </c>
      <c r="E3" s="26">
        <v>0.1769010855043478</v>
      </c>
      <c r="F3" s="26">
        <v>0.24084589125997594</v>
      </c>
      <c r="G3" s="27">
        <v>2.2055377049999998E-2</v>
      </c>
    </row>
    <row r="4" spans="1:7" ht="15.75" customHeight="1">
      <c r="A4" s="28" t="s">
        <v>170</v>
      </c>
      <c r="B4" s="29">
        <v>22708.660079461541</v>
      </c>
      <c r="C4" s="30">
        <v>36.044653379230773</v>
      </c>
      <c r="D4" s="30">
        <v>62.819373562307689</v>
      </c>
      <c r="E4" s="30">
        <v>16.548388209046156</v>
      </c>
      <c r="F4" s="30">
        <v>15.210930834661536</v>
      </c>
      <c r="G4" s="31">
        <v>5.4213073930807685</v>
      </c>
    </row>
    <row r="5" spans="1:7" ht="15.75" customHeight="1">
      <c r="A5" s="28" t="s">
        <v>107</v>
      </c>
      <c r="B5" s="29">
        <v>65371.350595301919</v>
      </c>
      <c r="C5" s="30">
        <v>48.789903512499983</v>
      </c>
      <c r="D5" s="30">
        <v>82.210492881153854</v>
      </c>
      <c r="E5" s="30">
        <v>5.6884250737999995</v>
      </c>
      <c r="F5" s="30">
        <v>7.898143785928653</v>
      </c>
      <c r="G5" s="31">
        <v>4.2853488130380395</v>
      </c>
    </row>
    <row r="6" spans="1:7" ht="15.75" customHeight="1">
      <c r="A6" s="28" t="s">
        <v>29</v>
      </c>
      <c r="B6" s="29">
        <v>2329.0212678195003</v>
      </c>
      <c r="C6" s="30">
        <v>61.460499644437498</v>
      </c>
      <c r="D6" s="30">
        <v>97.181466202500005</v>
      </c>
      <c r="E6" s="30">
        <v>0.14821981431875</v>
      </c>
      <c r="F6" s="30">
        <v>2.3869194850437498</v>
      </c>
      <c r="G6" s="31">
        <v>0.32387942607142856</v>
      </c>
    </row>
    <row r="7" spans="1:7" ht="15.75" customHeight="1">
      <c r="A7" s="28" t="s">
        <v>74</v>
      </c>
      <c r="B7" s="29">
        <v>51992.23075243082</v>
      </c>
      <c r="C7" s="30">
        <v>64.685695648571411</v>
      </c>
      <c r="D7" s="30">
        <v>96.43047199916667</v>
      </c>
      <c r="E7" s="30">
        <v>1.5611895535114373</v>
      </c>
      <c r="F7" s="30">
        <v>1.4834060647462586</v>
      </c>
      <c r="G7" s="31">
        <v>0.5726535551862274</v>
      </c>
    </row>
    <row r="8" spans="1:7" ht="15.75" customHeight="1">
      <c r="A8" s="32" t="s">
        <v>275</v>
      </c>
      <c r="B8" s="33">
        <v>36557.254027001094</v>
      </c>
      <c r="C8" s="34">
        <v>61.887723291600921</v>
      </c>
      <c r="D8" s="34">
        <v>89.864782531469245</v>
      </c>
      <c r="E8" s="34">
        <v>3.8652653448826944</v>
      </c>
      <c r="F8" s="34">
        <v>4.4180106537201347</v>
      </c>
      <c r="G8" s="35">
        <v>1.9154885837974698</v>
      </c>
    </row>
    <row r="11" spans="1:7" ht="15.75" customHeight="1">
      <c r="A11" s="19"/>
      <c r="B11" s="20" t="s">
        <v>286</v>
      </c>
      <c r="C11" s="21"/>
      <c r="D11" s="21"/>
      <c r="E11" s="21"/>
      <c r="F11" s="21"/>
      <c r="G11" s="22"/>
    </row>
    <row r="12" spans="1:7" ht="15.75" customHeight="1">
      <c r="A12" s="20" t="s">
        <v>2</v>
      </c>
      <c r="B12" s="19" t="s">
        <v>277</v>
      </c>
      <c r="C12" s="23" t="s">
        <v>278</v>
      </c>
      <c r="D12" s="23" t="s">
        <v>279</v>
      </c>
      <c r="E12" s="23" t="s">
        <v>280</v>
      </c>
      <c r="F12" s="23" t="s">
        <v>281</v>
      </c>
      <c r="G12" s="24" t="s">
        <v>282</v>
      </c>
    </row>
    <row r="13" spans="1:7" ht="15.75" customHeight="1">
      <c r="A13" s="19" t="s">
        <v>69</v>
      </c>
      <c r="B13" s="25">
        <v>1212076.0675753101</v>
      </c>
      <c r="C13" s="26">
        <v>5554.8820095099982</v>
      </c>
      <c r="D13" s="26">
        <v>99.560197920289909</v>
      </c>
      <c r="E13" s="26">
        <v>0.1769010855043478</v>
      </c>
      <c r="F13" s="26">
        <v>0.24084589125997588</v>
      </c>
      <c r="G13" s="27">
        <v>2.2055377049999998E-2</v>
      </c>
    </row>
    <row r="14" spans="1:7" ht="15.75" customHeight="1">
      <c r="A14" s="28" t="s">
        <v>170</v>
      </c>
      <c r="B14" s="29">
        <v>590425.16206600005</v>
      </c>
      <c r="C14" s="30">
        <v>937.16098785999998</v>
      </c>
      <c r="D14" s="30">
        <v>62.819373562307689</v>
      </c>
      <c r="E14" s="30">
        <v>16.548388209046156</v>
      </c>
      <c r="F14" s="30">
        <v>15.210930834661536</v>
      </c>
      <c r="G14" s="31">
        <v>5.4213073930807685</v>
      </c>
    </row>
    <row r="15" spans="1:7" ht="15.75" customHeight="1">
      <c r="A15" s="28" t="s">
        <v>107</v>
      </c>
      <c r="B15" s="29">
        <v>3399310.2309556995</v>
      </c>
      <c r="C15" s="30">
        <v>2537.0749826499991</v>
      </c>
      <c r="D15" s="30">
        <v>82.210492881153854</v>
      </c>
      <c r="E15" s="30">
        <v>5.6884250737999995</v>
      </c>
      <c r="F15" s="30">
        <v>7.898143785928653</v>
      </c>
      <c r="G15" s="31">
        <v>4.2853488130380386</v>
      </c>
    </row>
    <row r="16" spans="1:7" ht="15.75" customHeight="1">
      <c r="A16" s="28" t="s">
        <v>74</v>
      </c>
      <c r="B16" s="29">
        <v>2547619.3068691096</v>
      </c>
      <c r="C16" s="30">
        <v>3169.5990867799997</v>
      </c>
      <c r="D16" s="30">
        <v>96.43047199916667</v>
      </c>
      <c r="E16" s="30">
        <v>1.5611895535114373</v>
      </c>
      <c r="F16" s="30">
        <v>1.4834060647462584</v>
      </c>
      <c r="G16" s="31">
        <v>0.57265355518622729</v>
      </c>
    </row>
    <row r="17" spans="1:7" ht="15.75" customHeight="1">
      <c r="A17" s="32" t="s">
        <v>275</v>
      </c>
      <c r="B17" s="33">
        <v>7749430.7674661204</v>
      </c>
      <c r="C17" s="34">
        <v>12198.717066799994</v>
      </c>
      <c r="D17" s="34">
        <v>89.264439255897486</v>
      </c>
      <c r="E17" s="34">
        <v>4.1702536961084542</v>
      </c>
      <c r="F17" s="34">
        <v>4.5846642880730712</v>
      </c>
      <c r="G17" s="35">
        <v>2.032765048050968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workbookViewId="0"/>
  </sheetViews>
  <sheetFormatPr defaultRowHeight="14"/>
  <sheetData/>
  <sheetProtection sheet="1" objects="1" selectLockedCells="1" selectUnlockedCells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workbookViewId="0"/>
  </sheetViews>
  <sheetFormatPr defaultRowHeight="14"/>
  <sheetData/>
  <sheetProtection sheet="1" objects="1" selectLockedCells="1" selectUnlockedCells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showGridLines="0" workbookViewId="0"/>
  </sheetViews>
  <sheetFormatPr defaultRowHeight="14"/>
  <sheetData/>
  <sheetProtection sheet="1" objects="1" selectLockedCells="1" selectUnlockedCells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showGridLines="0" workbookViewId="0"/>
  </sheetViews>
  <sheetFormatPr defaultRowHeight="14"/>
  <sheetData/>
  <sheetProtection sheet="1" objects="1" selectLockedCells="1" selectUnlockedCells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showGridLines="0" workbookViewId="0"/>
  </sheetViews>
  <sheetFormatPr defaultRowHeight="14"/>
  <sheetData/>
  <sheetProtection sheet="1" objects="1" selectLockedCells="1" selectUnlockedCells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Q216"/>
  <sheetViews>
    <sheetView workbookViewId="0"/>
  </sheetViews>
  <sheetFormatPr defaultColWidth="12.6328125" defaultRowHeight="15.75" customHeight="1"/>
  <cols>
    <col min="2" max="2" width="16.7265625" customWidth="1"/>
  </cols>
  <sheetData>
    <row r="1" spans="1:17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ht="15.75" customHeight="1">
      <c r="A2" s="1" t="s">
        <v>28</v>
      </c>
      <c r="B2" s="1" t="s">
        <v>29</v>
      </c>
      <c r="C2" s="1">
        <v>1.3500000240000001</v>
      </c>
      <c r="D2" s="1">
        <v>0</v>
      </c>
      <c r="E2" s="1">
        <v>99.707676649999996</v>
      </c>
      <c r="F2" s="1">
        <v>0</v>
      </c>
      <c r="G2" s="1">
        <v>0.29232334589999998</v>
      </c>
      <c r="H2" s="1">
        <v>0</v>
      </c>
      <c r="I2" s="1">
        <v>99.707676649999996</v>
      </c>
      <c r="J2" s="1">
        <v>0</v>
      </c>
      <c r="K2" s="1">
        <v>0.29232334589999998</v>
      </c>
      <c r="L2" s="1">
        <v>0</v>
      </c>
      <c r="M2" s="1" t="s">
        <v>29</v>
      </c>
      <c r="N2" s="1" t="s">
        <v>29</v>
      </c>
      <c r="O2" s="1" t="s">
        <v>29</v>
      </c>
      <c r="P2" s="1" t="s">
        <v>29</v>
      </c>
      <c r="Q2" s="1">
        <f t="shared" ref="Q2:Q214" si="0">COUNTA(A2:P2)</f>
        <v>16</v>
      </c>
    </row>
    <row r="3" spans="1:17" ht="15.75" customHeight="1">
      <c r="A3" s="1" t="s">
        <v>38</v>
      </c>
      <c r="B3" s="1" t="s">
        <v>29</v>
      </c>
      <c r="C3" s="1">
        <v>1.618000031</v>
      </c>
      <c r="D3" s="1">
        <v>46.202003480000002</v>
      </c>
      <c r="E3" s="1">
        <v>97.010876179999997</v>
      </c>
      <c r="F3" s="1">
        <v>0</v>
      </c>
      <c r="G3" s="1">
        <v>2.9891238219999998</v>
      </c>
      <c r="H3" s="1">
        <v>0</v>
      </c>
      <c r="I3" s="1" t="s">
        <v>29</v>
      </c>
      <c r="J3" s="1" t="s">
        <v>29</v>
      </c>
      <c r="K3" s="1" t="s">
        <v>29</v>
      </c>
      <c r="L3" s="1" t="s">
        <v>29</v>
      </c>
      <c r="M3" s="1" t="s">
        <v>29</v>
      </c>
      <c r="N3" s="1" t="s">
        <v>29</v>
      </c>
      <c r="O3" s="1" t="s">
        <v>29</v>
      </c>
      <c r="P3" s="1" t="s">
        <v>29</v>
      </c>
      <c r="Q3" s="1">
        <f t="shared" si="0"/>
        <v>16</v>
      </c>
    </row>
    <row r="4" spans="1:17" ht="15.75" customHeight="1">
      <c r="A4" s="1" t="s">
        <v>41</v>
      </c>
      <c r="B4" s="1" t="s">
        <v>29</v>
      </c>
      <c r="C4" s="1">
        <v>3.4830000399999999</v>
      </c>
      <c r="D4" s="1">
        <v>78.507995609999995</v>
      </c>
      <c r="E4" s="1">
        <v>95.308927400000002</v>
      </c>
      <c r="F4" s="1">
        <v>0</v>
      </c>
      <c r="G4" s="1">
        <v>4.6910725959999997</v>
      </c>
      <c r="H4" s="1">
        <v>0</v>
      </c>
      <c r="I4" s="1">
        <v>78.172942820000003</v>
      </c>
      <c r="J4" s="1">
        <v>0</v>
      </c>
      <c r="K4" s="1">
        <v>21.827057180000001</v>
      </c>
      <c r="L4" s="1">
        <v>0</v>
      </c>
      <c r="M4" s="1">
        <v>100</v>
      </c>
      <c r="N4" s="1">
        <v>0</v>
      </c>
      <c r="O4" s="1">
        <v>0</v>
      </c>
      <c r="P4" s="1">
        <v>0</v>
      </c>
      <c r="Q4" s="1">
        <f t="shared" si="0"/>
        <v>16</v>
      </c>
    </row>
    <row r="5" spans="1:17" ht="15.75" customHeight="1">
      <c r="A5" s="1" t="s">
        <v>46</v>
      </c>
      <c r="B5" s="1" t="s">
        <v>29</v>
      </c>
      <c r="C5" s="1">
        <v>4.9990000720000003</v>
      </c>
      <c r="D5" s="1">
        <v>9.1149997710000008</v>
      </c>
      <c r="E5" s="1">
        <v>98.077482619999998</v>
      </c>
      <c r="F5" s="1">
        <v>0</v>
      </c>
      <c r="G5" s="1">
        <v>1.922517378</v>
      </c>
      <c r="H5" s="1">
        <v>0</v>
      </c>
      <c r="I5" s="1" t="s">
        <v>29</v>
      </c>
      <c r="J5" s="1" t="s">
        <v>29</v>
      </c>
      <c r="K5" s="1" t="s">
        <v>29</v>
      </c>
      <c r="L5" s="1" t="s">
        <v>29</v>
      </c>
      <c r="M5" s="1" t="s">
        <v>29</v>
      </c>
      <c r="N5" s="1" t="s">
        <v>29</v>
      </c>
      <c r="O5" s="1" t="s">
        <v>29</v>
      </c>
      <c r="P5" s="1" t="s">
        <v>29</v>
      </c>
      <c r="Q5" s="1">
        <f t="shared" si="0"/>
        <v>16</v>
      </c>
    </row>
    <row r="6" spans="1:17" ht="15.75" customHeight="1">
      <c r="A6" s="1" t="s">
        <v>49</v>
      </c>
      <c r="B6" s="1" t="s">
        <v>29</v>
      </c>
      <c r="C6" s="1">
        <v>5.795000076</v>
      </c>
      <c r="D6" s="1">
        <v>89.96199799</v>
      </c>
      <c r="E6" s="1">
        <v>91.4</v>
      </c>
      <c r="F6" s="1">
        <v>0</v>
      </c>
      <c r="G6" s="1">
        <v>8.6</v>
      </c>
      <c r="H6" s="1">
        <v>0</v>
      </c>
      <c r="I6" s="1" t="s">
        <v>29</v>
      </c>
      <c r="J6" s="1" t="s">
        <v>29</v>
      </c>
      <c r="K6" s="1" t="s">
        <v>29</v>
      </c>
      <c r="L6" s="1" t="s">
        <v>29</v>
      </c>
      <c r="M6" s="1" t="s">
        <v>29</v>
      </c>
      <c r="N6" s="1" t="s">
        <v>29</v>
      </c>
      <c r="O6" s="1" t="s">
        <v>29</v>
      </c>
      <c r="P6" s="1" t="s">
        <v>29</v>
      </c>
      <c r="Q6" s="1">
        <f t="shared" si="0"/>
        <v>16</v>
      </c>
    </row>
    <row r="7" spans="1:17" ht="15.75" customHeight="1">
      <c r="A7" s="1" t="s">
        <v>58</v>
      </c>
      <c r="B7" s="1" t="s">
        <v>29</v>
      </c>
      <c r="C7" s="1">
        <v>6.0710000989999999</v>
      </c>
      <c r="D7" s="1">
        <v>40.082000729999997</v>
      </c>
      <c r="E7" s="1">
        <v>99.1</v>
      </c>
      <c r="F7" s="1">
        <v>0</v>
      </c>
      <c r="G7" s="1">
        <v>0.9</v>
      </c>
      <c r="H7" s="1">
        <v>0</v>
      </c>
      <c r="I7" s="1" t="s">
        <v>29</v>
      </c>
      <c r="J7" s="1" t="s">
        <v>29</v>
      </c>
      <c r="K7" s="1" t="s">
        <v>29</v>
      </c>
      <c r="L7" s="1" t="s">
        <v>29</v>
      </c>
      <c r="M7" s="1" t="s">
        <v>29</v>
      </c>
      <c r="N7" s="1" t="s">
        <v>29</v>
      </c>
      <c r="O7" s="1" t="s">
        <v>29</v>
      </c>
      <c r="P7" s="1" t="s">
        <v>29</v>
      </c>
      <c r="Q7" s="1">
        <f t="shared" si="0"/>
        <v>16</v>
      </c>
    </row>
    <row r="8" spans="1:17" ht="15.75" customHeight="1">
      <c r="A8" s="1" t="s">
        <v>27</v>
      </c>
      <c r="B8" s="1" t="s">
        <v>29</v>
      </c>
      <c r="C8" s="1">
        <v>9.8849999999999998</v>
      </c>
      <c r="D8" s="1">
        <v>100</v>
      </c>
      <c r="E8" s="1">
        <v>100</v>
      </c>
      <c r="F8" s="1">
        <v>0</v>
      </c>
      <c r="G8" s="1">
        <v>0</v>
      </c>
      <c r="H8" s="1">
        <v>0</v>
      </c>
      <c r="I8" s="1" t="s">
        <v>29</v>
      </c>
      <c r="J8" s="1" t="s">
        <v>29</v>
      </c>
      <c r="K8" s="1" t="s">
        <v>29</v>
      </c>
      <c r="L8" s="1" t="s">
        <v>29</v>
      </c>
      <c r="M8" s="1">
        <v>100</v>
      </c>
      <c r="N8" s="1">
        <v>0</v>
      </c>
      <c r="O8" s="1">
        <v>0</v>
      </c>
      <c r="P8" s="1">
        <v>0</v>
      </c>
      <c r="Q8" s="1">
        <f t="shared" si="0"/>
        <v>16</v>
      </c>
    </row>
    <row r="9" spans="1:17" ht="15.75" customHeight="1">
      <c r="A9" s="1" t="s">
        <v>37</v>
      </c>
      <c r="B9" s="1" t="s">
        <v>69</v>
      </c>
      <c r="C9" s="1">
        <v>10.833999629999999</v>
      </c>
      <c r="D9" s="1">
        <v>100</v>
      </c>
      <c r="E9" s="1">
        <v>100</v>
      </c>
      <c r="F9" s="1">
        <v>0</v>
      </c>
      <c r="G9" s="1">
        <v>0</v>
      </c>
      <c r="H9" s="1">
        <v>0</v>
      </c>
      <c r="I9" s="1" t="s">
        <v>29</v>
      </c>
      <c r="J9" s="1" t="s">
        <v>29</v>
      </c>
      <c r="K9" s="1" t="s">
        <v>29</v>
      </c>
      <c r="L9" s="1" t="s">
        <v>29</v>
      </c>
      <c r="M9" s="1">
        <v>100</v>
      </c>
      <c r="N9" s="1">
        <v>0</v>
      </c>
      <c r="O9" s="1">
        <v>0</v>
      </c>
      <c r="P9" s="1">
        <v>0</v>
      </c>
      <c r="Q9" s="1">
        <f t="shared" si="0"/>
        <v>16</v>
      </c>
    </row>
    <row r="10" spans="1:17" ht="15.75" customHeight="1">
      <c r="A10" s="1" t="s">
        <v>71</v>
      </c>
      <c r="B10" s="1" t="s">
        <v>29</v>
      </c>
      <c r="C10" s="1">
        <v>11.24600029</v>
      </c>
      <c r="D10" s="1">
        <v>0</v>
      </c>
      <c r="E10" s="1">
        <v>99.143287360000002</v>
      </c>
      <c r="F10" s="1">
        <v>0</v>
      </c>
      <c r="G10" s="1">
        <v>0.85671263900000005</v>
      </c>
      <c r="H10" s="1">
        <v>0</v>
      </c>
      <c r="I10" s="1">
        <v>99.143287360000002</v>
      </c>
      <c r="J10" s="1">
        <v>0</v>
      </c>
      <c r="K10" s="1">
        <v>0.85671263900000005</v>
      </c>
      <c r="L10" s="1">
        <v>0</v>
      </c>
      <c r="M10" s="1" t="s">
        <v>29</v>
      </c>
      <c r="N10" s="1" t="s">
        <v>29</v>
      </c>
      <c r="O10" s="1" t="s">
        <v>29</v>
      </c>
      <c r="P10" s="1" t="s">
        <v>29</v>
      </c>
      <c r="Q10" s="1">
        <f t="shared" si="0"/>
        <v>16</v>
      </c>
    </row>
    <row r="11" spans="1:17" ht="15.75" customHeight="1">
      <c r="A11" s="1" t="s">
        <v>73</v>
      </c>
      <c r="B11" s="1" t="s">
        <v>74</v>
      </c>
      <c r="C11" s="1">
        <v>11.791999819999999</v>
      </c>
      <c r="D11" s="1">
        <v>64.013999940000005</v>
      </c>
      <c r="E11" s="1">
        <v>100</v>
      </c>
      <c r="F11" s="1">
        <v>0</v>
      </c>
      <c r="G11" s="1">
        <v>0</v>
      </c>
      <c r="H11" s="1">
        <v>0</v>
      </c>
      <c r="I11" s="1">
        <v>100</v>
      </c>
      <c r="J11" s="1">
        <v>0</v>
      </c>
      <c r="K11" s="1">
        <v>0</v>
      </c>
      <c r="L11" s="1">
        <v>0</v>
      </c>
      <c r="M11" s="1">
        <v>100</v>
      </c>
      <c r="N11" s="1">
        <v>0</v>
      </c>
      <c r="O11" s="1">
        <v>0</v>
      </c>
      <c r="P11" s="1">
        <v>0</v>
      </c>
      <c r="Q11" s="1">
        <f t="shared" si="0"/>
        <v>16</v>
      </c>
    </row>
    <row r="12" spans="1:17" ht="15.75" customHeight="1">
      <c r="A12" s="1" t="s">
        <v>76</v>
      </c>
      <c r="B12" s="1" t="s">
        <v>29</v>
      </c>
      <c r="C12" s="1">
        <v>17.56399918</v>
      </c>
      <c r="D12" s="1">
        <v>75.495002749999998</v>
      </c>
      <c r="E12" s="1">
        <v>99.971610220000002</v>
      </c>
      <c r="F12" s="1">
        <v>0</v>
      </c>
      <c r="G12" s="1">
        <v>2.8389782700000001E-2</v>
      </c>
      <c r="H12" s="1">
        <v>0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29</v>
      </c>
      <c r="Q12" s="1">
        <f t="shared" si="0"/>
        <v>16</v>
      </c>
    </row>
    <row r="13" spans="1:17" ht="15.75" customHeight="1">
      <c r="A13" s="1" t="s">
        <v>78</v>
      </c>
      <c r="B13" s="1" t="s">
        <v>74</v>
      </c>
      <c r="C13" s="1">
        <v>18.091999049999998</v>
      </c>
      <c r="D13" s="1">
        <v>80.987998959999999</v>
      </c>
      <c r="E13" s="1">
        <v>99.657545499999998</v>
      </c>
      <c r="F13" s="1">
        <v>0</v>
      </c>
      <c r="G13" s="1">
        <v>0.34245449839999997</v>
      </c>
      <c r="H13" s="1">
        <v>0</v>
      </c>
      <c r="I13" s="1">
        <v>99.756985029999996</v>
      </c>
      <c r="J13" s="1">
        <v>0</v>
      </c>
      <c r="K13" s="1">
        <v>0.2430149677</v>
      </c>
      <c r="L13" s="1">
        <v>0</v>
      </c>
      <c r="M13" s="1">
        <v>99.634201989999994</v>
      </c>
      <c r="N13" s="1">
        <v>0</v>
      </c>
      <c r="O13" s="1">
        <v>0.36579800779999999</v>
      </c>
      <c r="P13" s="1">
        <v>0</v>
      </c>
      <c r="Q13" s="1">
        <f t="shared" si="0"/>
        <v>16</v>
      </c>
    </row>
    <row r="14" spans="1:17" ht="15.75" customHeight="1">
      <c r="A14" s="1" t="s">
        <v>80</v>
      </c>
      <c r="B14" s="1" t="s">
        <v>69</v>
      </c>
      <c r="C14" s="1">
        <v>30.23699951</v>
      </c>
      <c r="D14" s="1">
        <v>48.51499939</v>
      </c>
      <c r="E14" s="1">
        <v>99.864383559999993</v>
      </c>
      <c r="F14" s="1">
        <v>0</v>
      </c>
      <c r="G14" s="1">
        <v>0.13561643840000001</v>
      </c>
      <c r="H14" s="1">
        <v>0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  <c r="P14" s="1" t="s">
        <v>29</v>
      </c>
      <c r="Q14" s="1">
        <f t="shared" si="0"/>
        <v>16</v>
      </c>
    </row>
    <row r="15" spans="1:17" ht="15.75" customHeight="1">
      <c r="A15" s="1" t="s">
        <v>40</v>
      </c>
      <c r="B15" s="1" t="s">
        <v>69</v>
      </c>
      <c r="C15" s="1">
        <v>33.691001890000003</v>
      </c>
      <c r="D15" s="1">
        <v>100</v>
      </c>
      <c r="E15" s="1">
        <v>100</v>
      </c>
      <c r="F15" s="1">
        <v>0</v>
      </c>
      <c r="G15" s="1">
        <v>0</v>
      </c>
      <c r="H15" s="1">
        <v>0</v>
      </c>
      <c r="I15" s="1" t="s">
        <v>29</v>
      </c>
      <c r="J15" s="1" t="s">
        <v>29</v>
      </c>
      <c r="K15" s="1" t="s">
        <v>29</v>
      </c>
      <c r="L15" s="1" t="s">
        <v>29</v>
      </c>
      <c r="M15" s="1">
        <v>100</v>
      </c>
      <c r="N15" s="1">
        <v>0</v>
      </c>
      <c r="O15" s="1">
        <v>0</v>
      </c>
      <c r="P15" s="1">
        <v>0</v>
      </c>
      <c r="Q15" s="1">
        <f t="shared" si="0"/>
        <v>16</v>
      </c>
    </row>
    <row r="16" spans="1:17" ht="15.75" customHeight="1">
      <c r="A16" s="1" t="s">
        <v>79</v>
      </c>
      <c r="B16" s="1" t="s">
        <v>69</v>
      </c>
      <c r="C16" s="1">
        <v>33.937999730000001</v>
      </c>
      <c r="D16" s="1">
        <v>97.499000550000005</v>
      </c>
      <c r="E16" s="1">
        <v>100</v>
      </c>
      <c r="F16" s="1">
        <v>0</v>
      </c>
      <c r="G16" s="1">
        <v>0</v>
      </c>
      <c r="H16" s="1">
        <v>0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>
        <f t="shared" si="0"/>
        <v>16</v>
      </c>
    </row>
    <row r="17" spans="1:17" ht="15.75" customHeight="1">
      <c r="A17" s="1" t="s">
        <v>85</v>
      </c>
      <c r="B17" s="1" t="s">
        <v>69</v>
      </c>
      <c r="C17" s="1">
        <v>38.137001040000001</v>
      </c>
      <c r="D17" s="1">
        <v>14.416000370000001</v>
      </c>
      <c r="E17" s="1">
        <v>100</v>
      </c>
      <c r="F17" s="1">
        <v>0</v>
      </c>
      <c r="G17" s="1">
        <v>0</v>
      </c>
      <c r="H17" s="1">
        <v>0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  <c r="Q17" s="1">
        <f t="shared" si="0"/>
        <v>16</v>
      </c>
    </row>
    <row r="18" spans="1:17" ht="15.75" customHeight="1">
      <c r="A18" s="1" t="s">
        <v>43</v>
      </c>
      <c r="B18" s="1" t="s">
        <v>69</v>
      </c>
      <c r="C18" s="1">
        <v>38.658999999999999</v>
      </c>
      <c r="D18" s="1">
        <v>100</v>
      </c>
      <c r="E18" s="1">
        <v>99.999271390000004</v>
      </c>
      <c r="F18" s="1">
        <v>0</v>
      </c>
      <c r="G18" s="1">
        <v>7.2861055070000001E-4</v>
      </c>
      <c r="H18" s="1">
        <v>0</v>
      </c>
      <c r="I18" s="1" t="s">
        <v>29</v>
      </c>
      <c r="J18" s="1" t="s">
        <v>29</v>
      </c>
      <c r="K18" s="1" t="s">
        <v>29</v>
      </c>
      <c r="L18" s="1" t="s">
        <v>29</v>
      </c>
      <c r="M18" s="1">
        <v>99.999271390000004</v>
      </c>
      <c r="N18" s="1">
        <v>0</v>
      </c>
      <c r="O18" s="1">
        <v>7.2861055070000001E-4</v>
      </c>
      <c r="P18" s="1">
        <v>0</v>
      </c>
      <c r="Q18" s="1">
        <f t="shared" si="0"/>
        <v>16</v>
      </c>
    </row>
    <row r="19" spans="1:17" ht="15.75" customHeight="1">
      <c r="A19" s="1" t="s">
        <v>45</v>
      </c>
      <c r="B19" s="1" t="s">
        <v>69</v>
      </c>
      <c r="C19" s="1">
        <v>39.243999479999999</v>
      </c>
      <c r="D19" s="1">
        <v>100</v>
      </c>
      <c r="E19" s="1">
        <v>100</v>
      </c>
      <c r="F19" s="1">
        <v>0</v>
      </c>
      <c r="G19" s="1">
        <v>0</v>
      </c>
      <c r="H19" s="1">
        <v>0</v>
      </c>
      <c r="I19" s="1" t="s">
        <v>29</v>
      </c>
      <c r="J19" s="1" t="s">
        <v>29</v>
      </c>
      <c r="K19" s="1" t="s">
        <v>29</v>
      </c>
      <c r="L19" s="1" t="s">
        <v>29</v>
      </c>
      <c r="M19" s="1">
        <v>100</v>
      </c>
      <c r="N19" s="1">
        <v>0</v>
      </c>
      <c r="O19" s="1">
        <v>0</v>
      </c>
      <c r="P19" s="1">
        <v>0</v>
      </c>
      <c r="Q19" s="1">
        <f t="shared" si="0"/>
        <v>16</v>
      </c>
    </row>
    <row r="20" spans="1:17" ht="12.5">
      <c r="A20" s="1" t="s">
        <v>89</v>
      </c>
      <c r="B20" s="1" t="s">
        <v>69</v>
      </c>
      <c r="C20" s="1">
        <v>48.865001679999999</v>
      </c>
      <c r="D20" s="1">
        <v>42.397998809999997</v>
      </c>
      <c r="E20" s="1">
        <v>100</v>
      </c>
      <c r="F20" s="1">
        <v>0</v>
      </c>
      <c r="G20" s="1">
        <v>0</v>
      </c>
      <c r="H20" s="1">
        <v>0</v>
      </c>
      <c r="I20" s="1" t="s">
        <v>29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29</v>
      </c>
      <c r="O20" s="1" t="s">
        <v>29</v>
      </c>
      <c r="P20" s="1" t="s">
        <v>29</v>
      </c>
      <c r="Q20" s="1">
        <f t="shared" si="0"/>
        <v>16</v>
      </c>
    </row>
    <row r="21" spans="1:17" ht="12.5">
      <c r="A21" s="1" t="s">
        <v>91</v>
      </c>
      <c r="B21" s="1" t="s">
        <v>74</v>
      </c>
      <c r="C21" s="1">
        <v>55.196998600000001</v>
      </c>
      <c r="D21" s="1">
        <v>87.152999879999996</v>
      </c>
      <c r="E21" s="1">
        <v>99.773771659999994</v>
      </c>
      <c r="F21" s="1">
        <v>0</v>
      </c>
      <c r="G21" s="1">
        <v>0.22622834150000001</v>
      </c>
      <c r="H21" s="1">
        <v>0</v>
      </c>
      <c r="I21" s="1" t="s">
        <v>29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29</v>
      </c>
      <c r="O21" s="1" t="s">
        <v>29</v>
      </c>
      <c r="P21" s="1" t="s">
        <v>29</v>
      </c>
      <c r="Q21" s="1">
        <f t="shared" si="0"/>
        <v>16</v>
      </c>
    </row>
    <row r="22" spans="1:17" ht="12.5">
      <c r="A22" s="1" t="s">
        <v>93</v>
      </c>
      <c r="B22" s="1" t="s">
        <v>69</v>
      </c>
      <c r="C22" s="1">
        <v>56.771999360000002</v>
      </c>
      <c r="D22" s="1">
        <v>87.282005310000002</v>
      </c>
      <c r="E22" s="1">
        <v>100.0000017</v>
      </c>
      <c r="F22" s="1">
        <v>0</v>
      </c>
      <c r="G22" s="1">
        <v>0</v>
      </c>
      <c r="H22" s="1">
        <v>0</v>
      </c>
      <c r="I22" s="1">
        <v>100</v>
      </c>
      <c r="J22" s="1">
        <v>0</v>
      </c>
      <c r="K22" s="1">
        <v>0</v>
      </c>
      <c r="L22" s="1">
        <v>0</v>
      </c>
      <c r="M22" s="1">
        <v>100</v>
      </c>
      <c r="N22" s="1">
        <v>0</v>
      </c>
      <c r="O22" s="1">
        <v>0</v>
      </c>
      <c r="P22" s="1">
        <v>0</v>
      </c>
      <c r="Q22" s="1">
        <f t="shared" si="0"/>
        <v>16</v>
      </c>
    </row>
    <row r="23" spans="1:17" ht="12.5">
      <c r="A23" s="1" t="s">
        <v>90</v>
      </c>
      <c r="B23" s="1" t="s">
        <v>69</v>
      </c>
      <c r="C23" s="1">
        <v>57.556999210000001</v>
      </c>
      <c r="D23" s="1">
        <v>91.797996519999998</v>
      </c>
      <c r="E23" s="1">
        <v>100</v>
      </c>
      <c r="F23" s="1">
        <v>0</v>
      </c>
      <c r="G23" s="1">
        <v>0</v>
      </c>
      <c r="H23" s="1">
        <v>0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>
        <f t="shared" si="0"/>
        <v>16</v>
      </c>
    </row>
    <row r="24" spans="1:17" ht="12.5">
      <c r="A24" s="1" t="s">
        <v>97</v>
      </c>
      <c r="B24" s="1" t="s">
        <v>74</v>
      </c>
      <c r="C24" s="1">
        <v>59.194000240000001</v>
      </c>
      <c r="D24" s="8">
        <v>77.793991090000006</v>
      </c>
      <c r="E24" s="8">
        <v>88.572046979999996</v>
      </c>
      <c r="F24" s="8">
        <v>11.387979</v>
      </c>
      <c r="G24" s="8">
        <v>3.9974025849999997E-2</v>
      </c>
      <c r="H24" s="8">
        <v>0</v>
      </c>
      <c r="I24" s="8">
        <v>94.429720000000003</v>
      </c>
      <c r="J24" s="8">
        <v>5.3902799999999997</v>
      </c>
      <c r="K24" s="1">
        <v>0.18</v>
      </c>
      <c r="L24" s="8">
        <v>0</v>
      </c>
      <c r="M24" s="8">
        <v>86.9</v>
      </c>
      <c r="N24" s="8">
        <v>13.1</v>
      </c>
      <c r="O24" s="8">
        <v>0</v>
      </c>
      <c r="P24" s="8">
        <v>0</v>
      </c>
      <c r="Q24" s="1">
        <f t="shared" si="0"/>
        <v>16</v>
      </c>
    </row>
    <row r="25" spans="1:17" ht="12.5">
      <c r="A25" s="1" t="s">
        <v>47</v>
      </c>
      <c r="B25" s="1" t="s">
        <v>69</v>
      </c>
      <c r="C25" s="1">
        <v>62.272998809999997</v>
      </c>
      <c r="D25" s="1">
        <v>100</v>
      </c>
      <c r="E25" s="1">
        <v>99.903140019999995</v>
      </c>
      <c r="F25" s="1">
        <v>0</v>
      </c>
      <c r="G25" s="1">
        <v>9.6859982940000006E-2</v>
      </c>
      <c r="H25" s="1">
        <v>0</v>
      </c>
      <c r="I25" s="1" t="s">
        <v>29</v>
      </c>
      <c r="J25" s="1" t="s">
        <v>29</v>
      </c>
      <c r="K25" s="1" t="s">
        <v>29</v>
      </c>
      <c r="L25" s="1" t="s">
        <v>29</v>
      </c>
      <c r="M25" s="1">
        <v>99.903140019999995</v>
      </c>
      <c r="N25" s="1">
        <v>0</v>
      </c>
      <c r="O25" s="1">
        <v>9.6859982940000006E-2</v>
      </c>
      <c r="P25" s="1">
        <v>0</v>
      </c>
      <c r="Q25" s="1">
        <f t="shared" si="0"/>
        <v>16</v>
      </c>
    </row>
    <row r="26" spans="1:17" ht="12.5">
      <c r="A26" s="1" t="s">
        <v>99</v>
      </c>
      <c r="B26" s="1" t="s">
        <v>69</v>
      </c>
      <c r="C26" s="1">
        <v>77.26499939</v>
      </c>
      <c r="D26" s="1">
        <v>87.916000370000006</v>
      </c>
      <c r="E26" s="1">
        <v>100.00000369999999</v>
      </c>
      <c r="F26" s="1">
        <v>0</v>
      </c>
      <c r="G26" s="1">
        <v>0</v>
      </c>
      <c r="H26" s="1">
        <v>0</v>
      </c>
      <c r="I26" s="1">
        <v>100</v>
      </c>
      <c r="J26" s="1">
        <v>0</v>
      </c>
      <c r="K26" s="1">
        <v>0</v>
      </c>
      <c r="L26" s="1">
        <v>0</v>
      </c>
      <c r="M26" s="1">
        <v>100</v>
      </c>
      <c r="N26" s="1">
        <v>0</v>
      </c>
      <c r="O26" s="1">
        <v>0</v>
      </c>
      <c r="P26" s="1">
        <v>0</v>
      </c>
      <c r="Q26" s="1">
        <f t="shared" si="0"/>
        <v>16</v>
      </c>
    </row>
    <row r="27" spans="1:17" ht="12.5">
      <c r="A27" s="1" t="s">
        <v>101</v>
      </c>
      <c r="B27" s="1" t="s">
        <v>69</v>
      </c>
      <c r="C27" s="1">
        <v>85.031997680000003</v>
      </c>
      <c r="D27" s="1">
        <v>52.89800262</v>
      </c>
      <c r="E27" s="1">
        <v>99.075000000000003</v>
      </c>
      <c r="F27" s="1">
        <v>0</v>
      </c>
      <c r="G27" s="1">
        <v>0.92500000000000004</v>
      </c>
      <c r="H27" s="1">
        <v>0</v>
      </c>
      <c r="I27" s="1" t="s">
        <v>29</v>
      </c>
      <c r="J27" s="1" t="s">
        <v>29</v>
      </c>
      <c r="K27" s="1" t="s">
        <v>29</v>
      </c>
      <c r="L27" s="1" t="s">
        <v>29</v>
      </c>
      <c r="M27" s="1" t="s">
        <v>29</v>
      </c>
      <c r="N27" s="1" t="s">
        <v>29</v>
      </c>
      <c r="O27" s="1" t="s">
        <v>29</v>
      </c>
      <c r="P27" s="1" t="s">
        <v>29</v>
      </c>
      <c r="Q27" s="1">
        <f t="shared" si="0"/>
        <v>16</v>
      </c>
    </row>
    <row r="28" spans="1:17" ht="12.5">
      <c r="A28" s="1" t="s">
        <v>81</v>
      </c>
      <c r="B28" s="1" t="s">
        <v>69</v>
      </c>
      <c r="C28" s="1">
        <v>104.4229965</v>
      </c>
      <c r="D28" s="1">
        <v>95.939002990000006</v>
      </c>
      <c r="E28" s="1">
        <v>98.71826738</v>
      </c>
      <c r="F28" s="1">
        <v>0</v>
      </c>
      <c r="G28" s="1">
        <v>1.281732624</v>
      </c>
      <c r="H28" s="1">
        <v>0</v>
      </c>
      <c r="I28" s="1" t="s">
        <v>29</v>
      </c>
      <c r="J28" s="1" t="s">
        <v>29</v>
      </c>
      <c r="K28" s="1" t="s">
        <v>29</v>
      </c>
      <c r="L28" s="1" t="s">
        <v>29</v>
      </c>
      <c r="M28" s="1" t="s">
        <v>29</v>
      </c>
      <c r="N28" s="1" t="s">
        <v>29</v>
      </c>
      <c r="O28" s="1" t="s">
        <v>29</v>
      </c>
      <c r="P28" s="1" t="s">
        <v>29</v>
      </c>
      <c r="Q28" s="1">
        <f t="shared" si="0"/>
        <v>16</v>
      </c>
    </row>
    <row r="29" spans="1:17" ht="12.5">
      <c r="A29" s="1" t="s">
        <v>105</v>
      </c>
      <c r="B29" s="1" t="s">
        <v>74</v>
      </c>
      <c r="C29" s="1">
        <v>105.6969986</v>
      </c>
      <c r="D29" s="1">
        <v>23.098999020000001</v>
      </c>
      <c r="E29" s="1">
        <v>98.731080829999996</v>
      </c>
      <c r="F29" s="1">
        <v>0.88149729619999995</v>
      </c>
      <c r="G29" s="1">
        <v>0.38742187769999997</v>
      </c>
      <c r="H29" s="1">
        <v>0</v>
      </c>
      <c r="I29" s="1">
        <v>98.468078539999993</v>
      </c>
      <c r="J29" s="1">
        <v>1.103159706</v>
      </c>
      <c r="K29" s="1">
        <v>0.42876175509999997</v>
      </c>
      <c r="L29" s="1">
        <v>0</v>
      </c>
      <c r="M29" s="1">
        <v>99.606658190000005</v>
      </c>
      <c r="N29" s="1">
        <v>0.143540536</v>
      </c>
      <c r="O29" s="1">
        <v>0.2498012758</v>
      </c>
      <c r="P29" s="1">
        <v>0</v>
      </c>
      <c r="Q29" s="1">
        <f t="shared" si="0"/>
        <v>16</v>
      </c>
    </row>
    <row r="30" spans="1:17" ht="12.5">
      <c r="A30" s="1" t="s">
        <v>106</v>
      </c>
      <c r="B30" s="1" t="s">
        <v>107</v>
      </c>
      <c r="C30" s="1">
        <v>119.44599909999999</v>
      </c>
      <c r="D30" s="1">
        <v>55.593997960000003</v>
      </c>
      <c r="E30" s="1">
        <v>77.970920849999999</v>
      </c>
      <c r="F30" s="1">
        <v>4.0768996250000002</v>
      </c>
      <c r="G30" s="1">
        <v>17.952179529999999</v>
      </c>
      <c r="H30" s="1">
        <v>0</v>
      </c>
      <c r="I30" s="1">
        <v>60.99418489</v>
      </c>
      <c r="J30" s="1">
        <v>2.0966097989999999</v>
      </c>
      <c r="K30" s="1">
        <v>36.909205319999998</v>
      </c>
      <c r="L30" s="1">
        <v>0</v>
      </c>
      <c r="M30" s="1">
        <v>91.531174849999999</v>
      </c>
      <c r="N30" s="1">
        <v>5.6586664610000001</v>
      </c>
      <c r="O30" s="1">
        <v>2.8101586909999998</v>
      </c>
      <c r="P30" s="1">
        <v>0</v>
      </c>
      <c r="Q30" s="1">
        <f t="shared" si="0"/>
        <v>16</v>
      </c>
    </row>
    <row r="31" spans="1:17" ht="12.5">
      <c r="A31" s="1" t="s">
        <v>83</v>
      </c>
      <c r="B31" s="1" t="s">
        <v>69</v>
      </c>
      <c r="C31" s="1">
        <v>168.78300479999999</v>
      </c>
      <c r="D31" s="1">
        <v>94.938003539999997</v>
      </c>
      <c r="E31" s="1">
        <v>99.6952</v>
      </c>
      <c r="F31" s="1">
        <v>0</v>
      </c>
      <c r="G31" s="1">
        <v>0.30480000000000002</v>
      </c>
      <c r="H31" s="1">
        <v>0</v>
      </c>
      <c r="I31" s="1" t="s">
        <v>29</v>
      </c>
      <c r="J31" s="1" t="s">
        <v>29</v>
      </c>
      <c r="K31" s="1" t="s">
        <v>29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29</v>
      </c>
      <c r="Q31" s="1">
        <f t="shared" si="0"/>
        <v>16</v>
      </c>
    </row>
    <row r="32" spans="1:17" ht="12.5">
      <c r="A32" s="1" t="s">
        <v>110</v>
      </c>
      <c r="B32" s="1" t="s">
        <v>74</v>
      </c>
      <c r="C32" s="1">
        <v>183.62899780000001</v>
      </c>
      <c r="D32" s="1">
        <v>18.8409996</v>
      </c>
      <c r="E32" s="1">
        <v>96.887844569999999</v>
      </c>
      <c r="F32" s="1">
        <v>1.815652166</v>
      </c>
      <c r="G32" s="1">
        <v>1.296503269</v>
      </c>
      <c r="H32" s="1">
        <v>0</v>
      </c>
      <c r="I32" s="1">
        <v>96.814023829999996</v>
      </c>
      <c r="J32" s="1">
        <v>1.7341522549999999</v>
      </c>
      <c r="K32" s="1">
        <v>1.4518239180000001</v>
      </c>
      <c r="L32" s="1">
        <v>0</v>
      </c>
      <c r="M32" s="1">
        <v>97.205822190000006</v>
      </c>
      <c r="N32" s="1">
        <v>2.166718886</v>
      </c>
      <c r="O32" s="1">
        <v>0.6274589237</v>
      </c>
      <c r="P32" s="1">
        <v>0</v>
      </c>
      <c r="Q32" s="1">
        <f t="shared" si="0"/>
        <v>16</v>
      </c>
    </row>
    <row r="33" spans="1:17" ht="12.5">
      <c r="A33" s="1" t="s">
        <v>112</v>
      </c>
      <c r="B33" s="1" t="s">
        <v>107</v>
      </c>
      <c r="C33" s="1">
        <v>198.4100037</v>
      </c>
      <c r="D33" s="1">
        <v>17.888999940000001</v>
      </c>
      <c r="E33" s="1">
        <v>91.837724550000004</v>
      </c>
      <c r="F33" s="1">
        <v>6.5208999519999997</v>
      </c>
      <c r="G33" s="1">
        <v>1.4186234280000001</v>
      </c>
      <c r="H33" s="1">
        <v>0.22275206789999999</v>
      </c>
      <c r="I33" s="1">
        <v>91.780322870000006</v>
      </c>
      <c r="J33" s="1">
        <v>6.2207033389999999</v>
      </c>
      <c r="K33" s="1">
        <v>1.7276921599999999</v>
      </c>
      <c r="L33" s="1">
        <v>0.2712816327</v>
      </c>
      <c r="M33" s="1">
        <v>92.101190000000003</v>
      </c>
      <c r="N33" s="1">
        <v>7.8988100000000001</v>
      </c>
      <c r="O33" s="1">
        <v>0</v>
      </c>
      <c r="P33" s="1">
        <v>0</v>
      </c>
      <c r="Q33" s="1">
        <f t="shared" si="0"/>
        <v>16</v>
      </c>
    </row>
    <row r="34" spans="1:17" ht="12.5">
      <c r="A34" s="1" t="s">
        <v>114</v>
      </c>
      <c r="B34" s="1" t="s">
        <v>107</v>
      </c>
      <c r="C34" s="1">
        <v>219.16099550000001</v>
      </c>
      <c r="D34" s="1">
        <v>74.354003910000003</v>
      </c>
      <c r="E34" s="1">
        <v>78.22645516</v>
      </c>
      <c r="F34" s="1">
        <v>20.237982980000002</v>
      </c>
      <c r="G34" s="1">
        <v>0.44351992839999999</v>
      </c>
      <c r="H34" s="1">
        <v>1.0920419299999999</v>
      </c>
      <c r="I34" s="1">
        <v>74.300614490000001</v>
      </c>
      <c r="J34" s="1">
        <v>19.711842579999999</v>
      </c>
      <c r="K34" s="1">
        <v>1.7294057039999999</v>
      </c>
      <c r="L34" s="1">
        <v>4.2581372279999998</v>
      </c>
      <c r="M34" s="1">
        <v>79.580542899999998</v>
      </c>
      <c r="N34" s="1">
        <v>20.419457099999999</v>
      </c>
      <c r="O34" s="1">
        <v>0</v>
      </c>
      <c r="P34" s="1">
        <v>0</v>
      </c>
      <c r="Q34" s="1">
        <f t="shared" si="0"/>
        <v>16</v>
      </c>
    </row>
    <row r="35" spans="1:17" ht="12.5">
      <c r="A35" s="1" t="s">
        <v>115</v>
      </c>
      <c r="B35" s="1" t="s">
        <v>29</v>
      </c>
      <c r="C35" s="1">
        <v>272.81298829999997</v>
      </c>
      <c r="D35" s="1">
        <v>45.750999450000002</v>
      </c>
      <c r="E35" s="1">
        <v>96.371179710000007</v>
      </c>
      <c r="F35" s="1">
        <v>0</v>
      </c>
      <c r="G35" s="1">
        <v>3.6288202950000001</v>
      </c>
      <c r="H35" s="1" t="s">
        <v>29</v>
      </c>
      <c r="I35" s="1" t="s">
        <v>29</v>
      </c>
      <c r="J35" s="1" t="s">
        <v>29</v>
      </c>
      <c r="K35" s="1" t="s">
        <v>29</v>
      </c>
      <c r="L35" s="1" t="s">
        <v>29</v>
      </c>
      <c r="M35" s="1" t="s">
        <v>29</v>
      </c>
      <c r="N35" s="1" t="s">
        <v>29</v>
      </c>
      <c r="O35" s="1" t="s">
        <v>29</v>
      </c>
      <c r="P35" s="1" t="s">
        <v>29</v>
      </c>
      <c r="Q35" s="1">
        <f t="shared" si="0"/>
        <v>16</v>
      </c>
    </row>
    <row r="36" spans="1:17" ht="12.5">
      <c r="A36" s="1" t="s">
        <v>117</v>
      </c>
      <c r="B36" s="1" t="s">
        <v>69</v>
      </c>
      <c r="C36" s="1">
        <v>280.90399170000001</v>
      </c>
      <c r="D36" s="1">
        <v>61.975002289999999</v>
      </c>
      <c r="E36" s="1">
        <v>100</v>
      </c>
      <c r="F36" s="1">
        <v>0</v>
      </c>
      <c r="G36" s="1">
        <v>0</v>
      </c>
      <c r="H36" s="1">
        <v>0</v>
      </c>
      <c r="I36" s="1" t="s">
        <v>29</v>
      </c>
      <c r="J36" s="1" t="s">
        <v>29</v>
      </c>
      <c r="K36" s="1" t="s">
        <v>29</v>
      </c>
      <c r="L36" s="1" t="s">
        <v>29</v>
      </c>
      <c r="M36" s="1" t="s">
        <v>29</v>
      </c>
      <c r="N36" s="1" t="s">
        <v>29</v>
      </c>
      <c r="O36" s="1" t="s">
        <v>29</v>
      </c>
      <c r="P36" s="1" t="s">
        <v>29</v>
      </c>
      <c r="Q36" s="1">
        <f t="shared" si="0"/>
        <v>16</v>
      </c>
    </row>
    <row r="37" spans="1:17" ht="12.5">
      <c r="A37" s="1" t="s">
        <v>120</v>
      </c>
      <c r="B37" s="1" t="s">
        <v>69</v>
      </c>
      <c r="C37" s="1">
        <v>285.4909973</v>
      </c>
      <c r="D37" s="1">
        <v>71.517997739999998</v>
      </c>
      <c r="E37" s="1">
        <v>99.305320570000006</v>
      </c>
      <c r="F37" s="1">
        <v>0</v>
      </c>
      <c r="G37" s="1">
        <v>0.69467942780000003</v>
      </c>
      <c r="H37" s="1">
        <v>0</v>
      </c>
      <c r="I37" s="1" t="s">
        <v>29</v>
      </c>
      <c r="J37" s="1" t="s">
        <v>29</v>
      </c>
      <c r="K37" s="1" t="s">
        <v>29</v>
      </c>
      <c r="L37" s="1" t="s">
        <v>29</v>
      </c>
      <c r="M37" s="1" t="s">
        <v>29</v>
      </c>
      <c r="N37" s="1" t="s">
        <v>29</v>
      </c>
      <c r="O37" s="1" t="s">
        <v>29</v>
      </c>
      <c r="P37" s="1" t="s">
        <v>29</v>
      </c>
      <c r="Q37" s="1">
        <f t="shared" si="0"/>
        <v>16</v>
      </c>
    </row>
    <row r="38" spans="1:17" ht="12.5">
      <c r="A38" s="1" t="s">
        <v>122</v>
      </c>
      <c r="B38" s="1" t="s">
        <v>69</v>
      </c>
      <c r="C38" s="1">
        <v>287.37100220000002</v>
      </c>
      <c r="D38" s="1">
        <v>31.190999980000001</v>
      </c>
      <c r="E38" s="1">
        <v>98.514450420000003</v>
      </c>
      <c r="F38" s="1">
        <v>0.26760057609999999</v>
      </c>
      <c r="G38" s="1">
        <v>1.2179490049999999</v>
      </c>
      <c r="H38" s="1">
        <v>0</v>
      </c>
      <c r="I38" s="1" t="s">
        <v>29</v>
      </c>
      <c r="J38" s="1" t="s">
        <v>29</v>
      </c>
      <c r="K38" s="1" t="s">
        <v>29</v>
      </c>
      <c r="L38" s="1" t="s">
        <v>29</v>
      </c>
      <c r="M38" s="1" t="s">
        <v>29</v>
      </c>
      <c r="N38" s="1" t="s">
        <v>29</v>
      </c>
      <c r="O38" s="1" t="s">
        <v>29</v>
      </c>
      <c r="P38" s="1" t="s">
        <v>29</v>
      </c>
      <c r="Q38" s="1">
        <f t="shared" si="0"/>
        <v>16</v>
      </c>
    </row>
    <row r="39" spans="1:17" ht="12.5">
      <c r="A39" s="1" t="s">
        <v>121</v>
      </c>
      <c r="B39" s="1" t="s">
        <v>29</v>
      </c>
      <c r="C39" s="1">
        <v>298.68200680000001</v>
      </c>
      <c r="D39" s="1">
        <v>85.819999690000003</v>
      </c>
      <c r="E39" s="1">
        <v>93.782216349999999</v>
      </c>
      <c r="F39" s="1">
        <v>0</v>
      </c>
      <c r="G39" s="1">
        <v>6.2177836519999996</v>
      </c>
      <c r="H39" s="1">
        <v>0</v>
      </c>
      <c r="I39" s="1" t="s">
        <v>29</v>
      </c>
      <c r="J39" s="1" t="s">
        <v>29</v>
      </c>
      <c r="K39" s="1" t="s">
        <v>29</v>
      </c>
      <c r="L39" s="1" t="s">
        <v>29</v>
      </c>
      <c r="M39" s="1" t="s">
        <v>29</v>
      </c>
      <c r="N39" s="1" t="s">
        <v>29</v>
      </c>
      <c r="O39" s="1" t="s">
        <v>29</v>
      </c>
      <c r="P39" s="1" t="s">
        <v>29</v>
      </c>
      <c r="Q39" s="1">
        <f t="shared" si="0"/>
        <v>16</v>
      </c>
    </row>
    <row r="40" spans="1:17" ht="12.5">
      <c r="A40" s="1" t="s">
        <v>125</v>
      </c>
      <c r="B40" s="1" t="s">
        <v>107</v>
      </c>
      <c r="C40" s="1">
        <v>307.14999390000003</v>
      </c>
      <c r="D40" s="1">
        <v>25.525001530000001</v>
      </c>
      <c r="E40" s="1">
        <v>91.231190749999996</v>
      </c>
      <c r="F40" s="1">
        <v>1.0623850500000001</v>
      </c>
      <c r="G40" s="1">
        <v>0</v>
      </c>
      <c r="H40" s="1">
        <v>7.706424202</v>
      </c>
      <c r="I40" s="1">
        <v>88.397201229999993</v>
      </c>
      <c r="J40" s="1">
        <v>1.255132675</v>
      </c>
      <c r="K40" s="1">
        <v>0</v>
      </c>
      <c r="L40" s="1">
        <v>10.3476661</v>
      </c>
      <c r="M40" s="1">
        <v>99.5</v>
      </c>
      <c r="N40" s="1">
        <v>0.5</v>
      </c>
      <c r="O40" s="1">
        <v>0</v>
      </c>
      <c r="P40" s="1">
        <v>0</v>
      </c>
      <c r="Q40" s="1">
        <f t="shared" si="0"/>
        <v>16</v>
      </c>
    </row>
    <row r="41" spans="1:17" ht="12.5">
      <c r="A41" s="1" t="s">
        <v>86</v>
      </c>
      <c r="B41" s="1" t="s">
        <v>69</v>
      </c>
      <c r="C41" s="1">
        <v>341.25</v>
      </c>
      <c r="D41" s="1">
        <v>93.897994999999995</v>
      </c>
      <c r="E41" s="1">
        <v>99.999997210000004</v>
      </c>
      <c r="F41" s="1">
        <v>0</v>
      </c>
      <c r="G41" s="1">
        <v>2.7946500150000002E-6</v>
      </c>
      <c r="H41" s="1">
        <v>0</v>
      </c>
      <c r="I41" s="1">
        <v>100</v>
      </c>
      <c r="J41" s="1">
        <v>0</v>
      </c>
      <c r="K41" s="1">
        <v>0</v>
      </c>
      <c r="L41" s="1">
        <v>0</v>
      </c>
      <c r="M41" s="1">
        <v>100</v>
      </c>
      <c r="N41" s="1">
        <v>0</v>
      </c>
      <c r="O41" s="1">
        <v>0</v>
      </c>
      <c r="P41" s="1">
        <v>0</v>
      </c>
      <c r="Q41" s="1">
        <f t="shared" si="0"/>
        <v>16</v>
      </c>
    </row>
    <row r="42" spans="1:17" ht="12.5">
      <c r="A42" s="1" t="s">
        <v>103</v>
      </c>
      <c r="B42" s="1" t="s">
        <v>29</v>
      </c>
      <c r="C42" s="1">
        <v>375.26501459999997</v>
      </c>
      <c r="D42" s="1">
        <v>89.13999939</v>
      </c>
      <c r="E42" s="1">
        <v>99.841970779999997</v>
      </c>
      <c r="F42" s="1">
        <v>0</v>
      </c>
      <c r="G42" s="1">
        <v>0.15802921580000001</v>
      </c>
      <c r="H42" s="1">
        <v>0</v>
      </c>
      <c r="I42" s="1" t="s">
        <v>29</v>
      </c>
      <c r="J42" s="1" t="s">
        <v>29</v>
      </c>
      <c r="K42" s="1" t="s">
        <v>29</v>
      </c>
      <c r="L42" s="1" t="s">
        <v>29</v>
      </c>
      <c r="M42" s="1" t="s">
        <v>29</v>
      </c>
      <c r="N42" s="1" t="s">
        <v>29</v>
      </c>
      <c r="O42" s="1" t="s">
        <v>29</v>
      </c>
      <c r="P42" s="1" t="s">
        <v>29</v>
      </c>
      <c r="Q42" s="1">
        <f t="shared" si="0"/>
        <v>16</v>
      </c>
    </row>
    <row r="43" spans="1:17" ht="12.5">
      <c r="A43" s="1" t="s">
        <v>130</v>
      </c>
      <c r="B43" s="1" t="s">
        <v>74</v>
      </c>
      <c r="C43" s="1">
        <v>397.62100220000002</v>
      </c>
      <c r="D43" s="1">
        <v>46.025001529999997</v>
      </c>
      <c r="E43" s="1">
        <v>98.401954630000006</v>
      </c>
      <c r="F43" s="1">
        <v>1.249110629</v>
      </c>
      <c r="G43" s="1">
        <v>0.3489347411</v>
      </c>
      <c r="H43" s="1">
        <v>0</v>
      </c>
      <c r="I43" s="1">
        <v>97.995207579999999</v>
      </c>
      <c r="J43" s="1">
        <v>1.358317682</v>
      </c>
      <c r="K43" s="1">
        <v>0.64647473929999999</v>
      </c>
      <c r="L43" s="1">
        <v>0</v>
      </c>
      <c r="M43" s="1">
        <v>98.878960000000006</v>
      </c>
      <c r="N43" s="1">
        <v>1.12104</v>
      </c>
      <c r="O43" s="1">
        <v>0</v>
      </c>
      <c r="P43" s="1">
        <v>0</v>
      </c>
      <c r="Q43" s="1">
        <f t="shared" si="0"/>
        <v>16</v>
      </c>
    </row>
    <row r="44" spans="1:17" ht="12.5">
      <c r="A44" s="1" t="s">
        <v>75</v>
      </c>
      <c r="B44" s="1" t="s">
        <v>29</v>
      </c>
      <c r="C44" s="1">
        <v>400.12701420000002</v>
      </c>
      <c r="D44" s="1">
        <v>98.498992920000006</v>
      </c>
      <c r="E44" s="1">
        <v>99.803126039999995</v>
      </c>
      <c r="F44" s="1">
        <v>0</v>
      </c>
      <c r="G44" s="1">
        <v>0.19687396130000001</v>
      </c>
      <c r="H44" s="1">
        <v>0</v>
      </c>
      <c r="I44" s="1" t="s">
        <v>29</v>
      </c>
      <c r="J44" s="1" t="s">
        <v>29</v>
      </c>
      <c r="K44" s="1" t="s">
        <v>29</v>
      </c>
      <c r="L44" s="1" t="s">
        <v>29</v>
      </c>
      <c r="M44" s="1" t="s">
        <v>29</v>
      </c>
      <c r="N44" s="1" t="s">
        <v>29</v>
      </c>
      <c r="O44" s="1" t="s">
        <v>29</v>
      </c>
      <c r="P44" s="1" t="s">
        <v>29</v>
      </c>
      <c r="Q44" s="1">
        <f t="shared" si="0"/>
        <v>16</v>
      </c>
    </row>
    <row r="45" spans="1:17" ht="12.5">
      <c r="A45" s="1" t="s">
        <v>133</v>
      </c>
      <c r="B45" s="1" t="s">
        <v>69</v>
      </c>
      <c r="C45" s="1">
        <v>437.48300169999999</v>
      </c>
      <c r="D45" s="1">
        <v>78.250007629999999</v>
      </c>
      <c r="E45" s="1">
        <v>99.900036799999995</v>
      </c>
      <c r="F45" s="1">
        <v>0</v>
      </c>
      <c r="G45" s="1">
        <v>9.9963200360000004E-2</v>
      </c>
      <c r="H45" s="1">
        <v>0</v>
      </c>
      <c r="I45" s="1" t="s">
        <v>29</v>
      </c>
      <c r="J45" s="1" t="s">
        <v>29</v>
      </c>
      <c r="K45" s="1" t="s">
        <v>29</v>
      </c>
      <c r="L45" s="1" t="s">
        <v>29</v>
      </c>
      <c r="M45" s="1">
        <v>99.65</v>
      </c>
      <c r="N45" s="1">
        <v>0</v>
      </c>
      <c r="O45" s="1">
        <v>0.35</v>
      </c>
      <c r="P45" s="1">
        <v>0</v>
      </c>
      <c r="Q45" s="1">
        <f t="shared" si="0"/>
        <v>16</v>
      </c>
    </row>
    <row r="46" spans="1:17" ht="12.5">
      <c r="A46" s="1" t="s">
        <v>84</v>
      </c>
      <c r="B46" s="1" t="s">
        <v>69</v>
      </c>
      <c r="C46" s="1">
        <v>441.53900149999998</v>
      </c>
      <c r="D46" s="1">
        <v>94.744003300000003</v>
      </c>
      <c r="E46" s="1">
        <v>100.0000004</v>
      </c>
      <c r="F46" s="1">
        <v>0</v>
      </c>
      <c r="G46" s="1">
        <v>0</v>
      </c>
      <c r="H46" s="1">
        <v>0</v>
      </c>
      <c r="I46" s="1">
        <v>100</v>
      </c>
      <c r="J46" s="1">
        <v>0</v>
      </c>
      <c r="K46" s="1">
        <v>0</v>
      </c>
      <c r="L46" s="1">
        <v>0</v>
      </c>
      <c r="M46" s="1">
        <v>100</v>
      </c>
      <c r="N46" s="1">
        <v>0</v>
      </c>
      <c r="O46" s="1">
        <v>0</v>
      </c>
      <c r="P46" s="1">
        <v>0</v>
      </c>
      <c r="Q46" s="1">
        <f t="shared" si="0"/>
        <v>16</v>
      </c>
    </row>
    <row r="47" spans="1:17" ht="12.5">
      <c r="A47" s="1" t="s">
        <v>135</v>
      </c>
      <c r="B47" s="1" t="s">
        <v>74</v>
      </c>
      <c r="C47" s="1">
        <v>540.54199219999998</v>
      </c>
      <c r="D47" s="1">
        <v>40.668998719999998</v>
      </c>
      <c r="E47" s="1">
        <v>99.544438600000007</v>
      </c>
      <c r="F47" s="1">
        <v>4.8050691299999997E-2</v>
      </c>
      <c r="G47" s="1">
        <v>0.40751070499999997</v>
      </c>
      <c r="H47" s="1">
        <v>0</v>
      </c>
      <c r="I47" s="1">
        <v>99.919012499999994</v>
      </c>
      <c r="J47" s="1">
        <v>8.0987500000000004E-2</v>
      </c>
      <c r="K47" s="1">
        <v>0</v>
      </c>
      <c r="L47" s="1">
        <v>0</v>
      </c>
      <c r="M47" s="1">
        <v>98.997988930000005</v>
      </c>
      <c r="N47" s="1">
        <v>0</v>
      </c>
      <c r="O47" s="1">
        <v>1.0020110689999999</v>
      </c>
      <c r="P47" s="1">
        <v>0</v>
      </c>
      <c r="Q47" s="1">
        <f t="shared" si="0"/>
        <v>16</v>
      </c>
    </row>
    <row r="48" spans="1:17" ht="12.5">
      <c r="A48" s="1" t="s">
        <v>137</v>
      </c>
      <c r="B48" s="1" t="s">
        <v>107</v>
      </c>
      <c r="C48" s="1">
        <v>555.98797609999997</v>
      </c>
      <c r="D48" s="1">
        <v>66.652000430000001</v>
      </c>
      <c r="E48" s="1">
        <v>88.769606420000002</v>
      </c>
      <c r="F48" s="1">
        <v>7.9041508460000003</v>
      </c>
      <c r="G48" s="1">
        <v>3.2091477159999999</v>
      </c>
      <c r="H48" s="1">
        <v>0.1170950144</v>
      </c>
      <c r="I48" s="1">
        <v>80.114525439999994</v>
      </c>
      <c r="J48" s="1">
        <v>9.9111270220000005</v>
      </c>
      <c r="K48" s="1">
        <v>9.6232170030000006</v>
      </c>
      <c r="L48" s="1">
        <v>0.35113053970000002</v>
      </c>
      <c r="M48" s="1">
        <v>93.1</v>
      </c>
      <c r="N48" s="1">
        <v>6.9</v>
      </c>
      <c r="O48" s="1">
        <v>0</v>
      </c>
      <c r="P48" s="1">
        <v>0</v>
      </c>
      <c r="Q48" s="1">
        <f t="shared" si="0"/>
        <v>16</v>
      </c>
    </row>
    <row r="49" spans="1:17" ht="12.5">
      <c r="A49" s="1" t="s">
        <v>139</v>
      </c>
      <c r="B49" s="1" t="s">
        <v>74</v>
      </c>
      <c r="C49" s="1">
        <v>586.63397220000002</v>
      </c>
      <c r="D49" s="1">
        <v>66.149002080000002</v>
      </c>
      <c r="E49" s="1">
        <v>97.989631669999994</v>
      </c>
      <c r="F49" s="1">
        <v>1.0672469410000001</v>
      </c>
      <c r="G49" s="1">
        <v>0.37933650730000001</v>
      </c>
      <c r="H49" s="1">
        <v>0.56378488400000004</v>
      </c>
      <c r="I49" s="1">
        <v>96.574412629999998</v>
      </c>
      <c r="J49" s="1">
        <v>1.6002958599999999</v>
      </c>
      <c r="K49" s="1">
        <v>0.1598017947</v>
      </c>
      <c r="L49" s="1">
        <v>1.6654897200000001</v>
      </c>
      <c r="M49" s="1">
        <v>98.713853869999994</v>
      </c>
      <c r="N49" s="1">
        <v>0.79446523710000005</v>
      </c>
      <c r="O49" s="1">
        <v>0.49168089250000002</v>
      </c>
      <c r="P49" s="1">
        <v>0</v>
      </c>
      <c r="Q49" s="1">
        <f t="shared" si="0"/>
        <v>16</v>
      </c>
    </row>
    <row r="50" spans="1:17" ht="12.5">
      <c r="A50" s="1" t="s">
        <v>96</v>
      </c>
      <c r="B50" s="1" t="s">
        <v>69</v>
      </c>
      <c r="C50" s="1">
        <v>625.97601320000001</v>
      </c>
      <c r="D50" s="1">
        <v>91.452995299999998</v>
      </c>
      <c r="E50" s="1">
        <v>99.879932539999999</v>
      </c>
      <c r="F50" s="1">
        <v>0</v>
      </c>
      <c r="G50" s="1">
        <v>0.1200674649</v>
      </c>
      <c r="H50" s="1">
        <v>0</v>
      </c>
      <c r="I50" s="1">
        <v>98.595238100000003</v>
      </c>
      <c r="J50" s="1">
        <v>0</v>
      </c>
      <c r="K50" s="1">
        <v>1.404761905</v>
      </c>
      <c r="L50" s="1">
        <v>0</v>
      </c>
      <c r="M50" s="1">
        <v>100</v>
      </c>
      <c r="N50" s="1">
        <v>0</v>
      </c>
      <c r="O50" s="1">
        <v>0</v>
      </c>
      <c r="P50" s="1">
        <v>0</v>
      </c>
      <c r="Q50" s="1">
        <f t="shared" si="0"/>
        <v>16</v>
      </c>
    </row>
    <row r="51" spans="1:17" ht="12.5">
      <c r="A51" s="1" t="s">
        <v>142</v>
      </c>
      <c r="B51" s="1" t="s">
        <v>74</v>
      </c>
      <c r="C51" s="1">
        <v>628.06201169999997</v>
      </c>
      <c r="D51" s="1">
        <v>67.488006589999998</v>
      </c>
      <c r="E51" s="1">
        <v>98.856916519999999</v>
      </c>
      <c r="F51" s="1">
        <v>0.54547882039999995</v>
      </c>
      <c r="G51" s="1">
        <v>0.59231201099999997</v>
      </c>
      <c r="H51" s="1">
        <v>5.2926508940000002E-3</v>
      </c>
      <c r="I51" s="1">
        <v>98.161887539999995</v>
      </c>
      <c r="J51" s="1">
        <v>0</v>
      </c>
      <c r="K51" s="1">
        <v>1.821833386</v>
      </c>
      <c r="L51" s="1">
        <v>1.6279069770000001E-2</v>
      </c>
      <c r="M51" s="1">
        <v>99.191739589999997</v>
      </c>
      <c r="N51" s="1">
        <v>0.80826041280000005</v>
      </c>
      <c r="O51" s="1">
        <v>0</v>
      </c>
      <c r="P51" s="1">
        <v>0</v>
      </c>
      <c r="Q51" s="1">
        <f t="shared" si="0"/>
        <v>16</v>
      </c>
    </row>
    <row r="52" spans="1:17" ht="12.5">
      <c r="A52" s="1" t="s">
        <v>54</v>
      </c>
      <c r="B52" s="1" t="s">
        <v>69</v>
      </c>
      <c r="C52" s="1">
        <v>649.34198000000004</v>
      </c>
      <c r="D52" s="1">
        <v>100</v>
      </c>
      <c r="E52" s="1">
        <v>100</v>
      </c>
      <c r="F52" s="1">
        <v>0</v>
      </c>
      <c r="G52" s="1">
        <v>0</v>
      </c>
      <c r="H52" s="1">
        <v>0</v>
      </c>
      <c r="I52" s="1" t="s">
        <v>29</v>
      </c>
      <c r="J52" s="1" t="s">
        <v>29</v>
      </c>
      <c r="K52" s="1" t="s">
        <v>29</v>
      </c>
      <c r="L52" s="1" t="s">
        <v>29</v>
      </c>
      <c r="M52" s="1">
        <v>100</v>
      </c>
      <c r="N52" s="1">
        <v>0</v>
      </c>
      <c r="O52" s="1">
        <v>0</v>
      </c>
      <c r="P52" s="1">
        <v>0</v>
      </c>
      <c r="Q52" s="1">
        <f t="shared" si="0"/>
        <v>16</v>
      </c>
    </row>
    <row r="53" spans="1:17" ht="12.5">
      <c r="A53" s="1" t="s">
        <v>146</v>
      </c>
      <c r="B53" s="1" t="s">
        <v>107</v>
      </c>
      <c r="C53" s="1">
        <v>686.87799070000005</v>
      </c>
      <c r="D53" s="1">
        <v>24.670000080000001</v>
      </c>
      <c r="E53" s="1">
        <v>67.301025539999998</v>
      </c>
      <c r="F53" s="1">
        <v>5.79547831</v>
      </c>
      <c r="G53" s="1">
        <v>21.267843129999999</v>
      </c>
      <c r="H53" s="1">
        <v>5.6356530249999999</v>
      </c>
      <c r="I53" s="1">
        <v>59.40526749</v>
      </c>
      <c r="J53" s="1">
        <v>6.5285236490000003</v>
      </c>
      <c r="K53" s="1">
        <v>26.955911</v>
      </c>
      <c r="L53" s="1">
        <v>7.1102978569999999</v>
      </c>
      <c r="M53" s="1">
        <v>91.410776889999994</v>
      </c>
      <c r="N53" s="1">
        <v>3.5571204249999999</v>
      </c>
      <c r="O53" s="1">
        <v>3.8992861369999998</v>
      </c>
      <c r="P53" s="1">
        <v>1.1328165530000001</v>
      </c>
      <c r="Q53" s="1">
        <f t="shared" si="0"/>
        <v>16</v>
      </c>
    </row>
    <row r="54" spans="1:17" ht="12.5">
      <c r="A54" s="1" t="s">
        <v>148</v>
      </c>
      <c r="B54" s="1" t="s">
        <v>107</v>
      </c>
      <c r="C54" s="1">
        <v>771.61199950000002</v>
      </c>
      <c r="D54" s="1">
        <v>42.31599808</v>
      </c>
      <c r="E54" s="1">
        <v>97.313222629999999</v>
      </c>
      <c r="F54" s="1">
        <v>2.4607126070000001</v>
      </c>
      <c r="G54" s="1">
        <v>0.17642421829999999</v>
      </c>
      <c r="H54" s="1">
        <v>4.9640541420000003E-2</v>
      </c>
      <c r="I54" s="1">
        <v>96.731193649999994</v>
      </c>
      <c r="J54" s="1">
        <v>3.2688063509999998</v>
      </c>
      <c r="K54" s="1">
        <v>0</v>
      </c>
      <c r="L54" s="1">
        <v>0</v>
      </c>
      <c r="M54" s="1">
        <v>98.106628490000006</v>
      </c>
      <c r="N54" s="1">
        <v>1.3591415</v>
      </c>
      <c r="O54" s="1">
        <v>0.41692084750000002</v>
      </c>
      <c r="P54" s="1">
        <v>0.1173091586</v>
      </c>
      <c r="Q54" s="1">
        <f t="shared" si="0"/>
        <v>16</v>
      </c>
    </row>
    <row r="55" spans="1:17" ht="12.5">
      <c r="A55" s="1" t="s">
        <v>149</v>
      </c>
      <c r="B55" s="1" t="s">
        <v>74</v>
      </c>
      <c r="C55" s="1">
        <v>786.55902100000003</v>
      </c>
      <c r="D55" s="1">
        <v>26.7859993</v>
      </c>
      <c r="E55" s="1">
        <v>95.554806850000006</v>
      </c>
      <c r="F55" s="1">
        <v>1.205244408</v>
      </c>
      <c r="G55" s="1">
        <v>1.143069849</v>
      </c>
      <c r="H55" s="1">
        <v>2.0968788969999999</v>
      </c>
      <c r="I55" s="1">
        <v>93.928490499999995</v>
      </c>
      <c r="J55" s="1">
        <v>1.6461938620000001</v>
      </c>
      <c r="K55" s="1">
        <v>1.5612748329999999</v>
      </c>
      <c r="L55" s="1">
        <v>2.864040809</v>
      </c>
      <c r="M55" s="1">
        <v>100</v>
      </c>
      <c r="N55" s="1">
        <v>0</v>
      </c>
      <c r="O55" s="1">
        <v>0</v>
      </c>
      <c r="P55" s="1">
        <v>0</v>
      </c>
      <c r="Q55" s="1">
        <f t="shared" si="0"/>
        <v>16</v>
      </c>
    </row>
    <row r="56" spans="1:17" ht="12.5">
      <c r="A56" s="1" t="s">
        <v>60</v>
      </c>
      <c r="B56" s="1" t="s">
        <v>29</v>
      </c>
      <c r="C56" s="1">
        <v>895.30798340000001</v>
      </c>
      <c r="D56" s="1">
        <v>99.659004210000006</v>
      </c>
      <c r="E56" s="1">
        <v>100</v>
      </c>
      <c r="F56" s="1">
        <v>0</v>
      </c>
      <c r="G56" s="1">
        <v>0</v>
      </c>
      <c r="H56" s="1">
        <v>0</v>
      </c>
      <c r="I56" s="1" t="s">
        <v>29</v>
      </c>
      <c r="J56" s="1" t="s">
        <v>29</v>
      </c>
      <c r="K56" s="1" t="s">
        <v>29</v>
      </c>
      <c r="L56" s="1" t="s">
        <v>29</v>
      </c>
      <c r="M56" s="1" t="s">
        <v>29</v>
      </c>
      <c r="N56" s="1" t="s">
        <v>29</v>
      </c>
      <c r="O56" s="1" t="s">
        <v>29</v>
      </c>
      <c r="P56" s="1" t="s">
        <v>29</v>
      </c>
      <c r="Q56" s="1">
        <f t="shared" si="0"/>
        <v>16</v>
      </c>
    </row>
    <row r="57" spans="1:17" ht="12.5">
      <c r="A57" s="1" t="s">
        <v>151</v>
      </c>
      <c r="B57" s="1" t="s">
        <v>74</v>
      </c>
      <c r="C57" s="1">
        <v>896.44396970000003</v>
      </c>
      <c r="D57" s="1">
        <v>57.247005459999997</v>
      </c>
      <c r="E57" s="1">
        <v>94.30106524</v>
      </c>
      <c r="F57" s="1">
        <v>0</v>
      </c>
      <c r="G57" s="1">
        <v>3.3186027660000001</v>
      </c>
      <c r="H57" s="1">
        <v>2.380331999</v>
      </c>
      <c r="I57" s="1">
        <v>89.088024050000001</v>
      </c>
      <c r="J57" s="1">
        <v>0</v>
      </c>
      <c r="K57" s="1">
        <v>5.7598979379999999</v>
      </c>
      <c r="L57" s="1">
        <v>5.1520780119999996</v>
      </c>
      <c r="M57" s="1">
        <v>98.194244060000003</v>
      </c>
      <c r="N57" s="1">
        <v>0</v>
      </c>
      <c r="O57" s="1">
        <v>1.495409344</v>
      </c>
      <c r="P57" s="1">
        <v>0.31034659219999999</v>
      </c>
      <c r="Q57" s="1">
        <f t="shared" si="0"/>
        <v>16</v>
      </c>
    </row>
    <row r="58" spans="1:17" ht="12.5">
      <c r="A58" s="1" t="s">
        <v>152</v>
      </c>
      <c r="B58" s="1" t="s">
        <v>107</v>
      </c>
      <c r="C58" s="1">
        <v>988.00201419999996</v>
      </c>
      <c r="D58" s="1">
        <v>78.061996460000003</v>
      </c>
      <c r="E58" s="1">
        <v>76.049920209999996</v>
      </c>
      <c r="F58" s="1">
        <v>14.7574817</v>
      </c>
      <c r="G58" s="1">
        <v>7.0158760510000002</v>
      </c>
      <c r="H58" s="1">
        <v>2.1767220379999999</v>
      </c>
      <c r="I58" s="1">
        <v>47.280732929999999</v>
      </c>
      <c r="J58" s="1">
        <v>12.061610140000001</v>
      </c>
      <c r="K58" s="1">
        <v>30.735504679999998</v>
      </c>
      <c r="L58" s="1">
        <v>9.9221522489999998</v>
      </c>
      <c r="M58" s="1">
        <v>84.135014929999997</v>
      </c>
      <c r="N58" s="1">
        <v>15.51511107</v>
      </c>
      <c r="O58" s="1">
        <v>0.34987400289999998</v>
      </c>
      <c r="P58" s="1">
        <v>0</v>
      </c>
      <c r="Q58" s="1">
        <f t="shared" si="0"/>
        <v>16</v>
      </c>
    </row>
    <row r="59" spans="1:17" ht="12.5">
      <c r="A59" s="1" t="s">
        <v>154</v>
      </c>
      <c r="B59" s="1" t="s">
        <v>107</v>
      </c>
      <c r="C59" s="1">
        <v>1160.1639399999999</v>
      </c>
      <c r="D59" s="1">
        <v>24.17100143</v>
      </c>
      <c r="E59" s="1">
        <v>70.753070949999994</v>
      </c>
      <c r="F59" s="1">
        <v>9.5070671630000003</v>
      </c>
      <c r="G59" s="1">
        <v>9.8355679309999999</v>
      </c>
      <c r="H59" s="1">
        <v>9.9042939590000003</v>
      </c>
      <c r="I59" s="1">
        <v>62.466448739999997</v>
      </c>
      <c r="J59" s="1">
        <v>12.29969513</v>
      </c>
      <c r="K59" s="1">
        <v>12.45046093</v>
      </c>
      <c r="L59" s="1">
        <v>12.78339519</v>
      </c>
      <c r="M59" s="1">
        <v>96.749763049999999</v>
      </c>
      <c r="N59" s="1">
        <v>0.74606447310000001</v>
      </c>
      <c r="O59" s="1">
        <v>1.6321642439999999</v>
      </c>
      <c r="P59" s="1">
        <v>0.8720082294</v>
      </c>
      <c r="Q59" s="1">
        <f t="shared" si="0"/>
        <v>16</v>
      </c>
    </row>
    <row r="60" spans="1:17" ht="12.5">
      <c r="A60" s="1" t="s">
        <v>156</v>
      </c>
      <c r="B60" s="1" t="s">
        <v>69</v>
      </c>
      <c r="C60" s="1">
        <v>1207.360962</v>
      </c>
      <c r="D60" s="1">
        <v>66.820999150000006</v>
      </c>
      <c r="E60" s="1">
        <v>99.765173180000005</v>
      </c>
      <c r="F60" s="1">
        <v>0</v>
      </c>
      <c r="G60" s="1">
        <v>0.2348268167</v>
      </c>
      <c r="H60" s="1">
        <v>0</v>
      </c>
      <c r="I60" s="1">
        <v>99.845761719999999</v>
      </c>
      <c r="J60" s="1">
        <v>0</v>
      </c>
      <c r="K60" s="1">
        <v>0.1542382836</v>
      </c>
      <c r="L60" s="1">
        <v>0</v>
      </c>
      <c r="M60" s="1">
        <v>99.725158120000003</v>
      </c>
      <c r="N60" s="1">
        <v>0</v>
      </c>
      <c r="O60" s="1">
        <v>0.27484188250000002</v>
      </c>
      <c r="P60" s="1">
        <v>0</v>
      </c>
      <c r="Q60" s="1">
        <f t="shared" si="0"/>
        <v>16</v>
      </c>
    </row>
    <row r="61" spans="1:17" ht="12.5">
      <c r="A61" s="1" t="s">
        <v>158</v>
      </c>
      <c r="B61" s="1" t="s">
        <v>74</v>
      </c>
      <c r="C61" s="1">
        <v>1271.7669679999999</v>
      </c>
      <c r="D61" s="1">
        <v>40.759998320000001</v>
      </c>
      <c r="E61" s="1">
        <v>99.866254699999999</v>
      </c>
      <c r="F61" s="1">
        <v>0</v>
      </c>
      <c r="G61" s="1">
        <v>0.13374530139999999</v>
      </c>
      <c r="H61" s="1">
        <v>0</v>
      </c>
      <c r="I61" s="1">
        <v>99.827682339999996</v>
      </c>
      <c r="J61" s="1">
        <v>0</v>
      </c>
      <c r="K61" s="1">
        <v>0.17231766179999999</v>
      </c>
      <c r="L61" s="1">
        <v>0</v>
      </c>
      <c r="M61" s="1">
        <v>99.922315220000002</v>
      </c>
      <c r="N61" s="1">
        <v>0</v>
      </c>
      <c r="O61" s="1">
        <v>7.7684781189999996E-2</v>
      </c>
      <c r="P61" s="1">
        <v>0</v>
      </c>
      <c r="Q61" s="1">
        <f t="shared" si="0"/>
        <v>16</v>
      </c>
    </row>
    <row r="62" spans="1:17" ht="12.5">
      <c r="A62" s="1" t="s">
        <v>160</v>
      </c>
      <c r="B62" s="1" t="s">
        <v>107</v>
      </c>
      <c r="C62" s="1">
        <v>1318.4420170000001</v>
      </c>
      <c r="D62" s="1">
        <v>31.31999969</v>
      </c>
      <c r="E62" s="1">
        <v>85.495601199999996</v>
      </c>
      <c r="F62" s="1">
        <v>1.88586597</v>
      </c>
      <c r="G62" s="1">
        <v>8.3600293969999999</v>
      </c>
      <c r="H62" s="1">
        <v>4.2585034329999996</v>
      </c>
      <c r="I62" s="1">
        <v>80.48779562</v>
      </c>
      <c r="J62" s="1">
        <v>2.0493646750000001</v>
      </c>
      <c r="K62" s="1">
        <v>11.26233968</v>
      </c>
      <c r="L62" s="1">
        <v>6.2005000179999996</v>
      </c>
      <c r="M62" s="1">
        <v>96.476957920000004</v>
      </c>
      <c r="N62" s="1">
        <v>1.527338152</v>
      </c>
      <c r="O62" s="1">
        <v>1.995703929</v>
      </c>
      <c r="P62" s="1">
        <v>0</v>
      </c>
      <c r="Q62" s="1">
        <f t="shared" si="0"/>
        <v>16</v>
      </c>
    </row>
    <row r="63" spans="1:17" ht="12.5">
      <c r="A63" s="1" t="s">
        <v>163</v>
      </c>
      <c r="B63" s="1" t="s">
        <v>69</v>
      </c>
      <c r="C63" s="1">
        <v>1326.5389399999999</v>
      </c>
      <c r="D63" s="1">
        <v>69.229003910000003</v>
      </c>
      <c r="E63" s="1">
        <v>99.59078178</v>
      </c>
      <c r="F63" s="1">
        <v>0</v>
      </c>
      <c r="G63" s="1">
        <v>0.40921822320000001</v>
      </c>
      <c r="H63" s="1">
        <v>0</v>
      </c>
      <c r="I63" s="1" t="s">
        <v>29</v>
      </c>
      <c r="J63" s="1" t="s">
        <v>29</v>
      </c>
      <c r="K63" s="1" t="s">
        <v>29</v>
      </c>
      <c r="L63" s="1" t="s">
        <v>29</v>
      </c>
      <c r="M63" s="1">
        <v>99.98545421</v>
      </c>
      <c r="N63" s="1">
        <v>0</v>
      </c>
      <c r="O63" s="1">
        <v>1.454579307E-2</v>
      </c>
      <c r="P63" s="1">
        <v>0</v>
      </c>
      <c r="Q63" s="1">
        <f t="shared" si="0"/>
        <v>16</v>
      </c>
    </row>
    <row r="64" spans="1:17" ht="12.5">
      <c r="A64" s="1" t="s">
        <v>165</v>
      </c>
      <c r="B64" s="1" t="s">
        <v>69</v>
      </c>
      <c r="C64" s="1">
        <v>1399.490967</v>
      </c>
      <c r="D64" s="1">
        <v>53.2140007</v>
      </c>
      <c r="E64" s="1">
        <v>98.875170769999997</v>
      </c>
      <c r="F64" s="1">
        <v>1.1248292310000001</v>
      </c>
      <c r="G64" s="1">
        <v>0</v>
      </c>
      <c r="H64" s="1">
        <v>0</v>
      </c>
      <c r="I64" s="1" t="s">
        <v>29</v>
      </c>
      <c r="J64" s="1" t="s">
        <v>29</v>
      </c>
      <c r="K64" s="1" t="s">
        <v>29</v>
      </c>
      <c r="L64" s="1" t="s">
        <v>29</v>
      </c>
      <c r="M64" s="1" t="s">
        <v>29</v>
      </c>
      <c r="N64" s="1" t="s">
        <v>29</v>
      </c>
      <c r="O64" s="1" t="s">
        <v>29</v>
      </c>
      <c r="P64" s="1" t="s">
        <v>29</v>
      </c>
      <c r="Q64" s="1">
        <f t="shared" si="0"/>
        <v>16</v>
      </c>
    </row>
    <row r="65" spans="1:17" ht="12.5">
      <c r="A65" s="1" t="s">
        <v>100</v>
      </c>
      <c r="B65" s="1" t="s">
        <v>69</v>
      </c>
      <c r="C65" s="1">
        <v>1701.5830080000001</v>
      </c>
      <c r="D65" s="1">
        <v>89.506004329999996</v>
      </c>
      <c r="E65" s="1">
        <v>100</v>
      </c>
      <c r="F65" s="1">
        <v>0</v>
      </c>
      <c r="G65" s="1">
        <v>0</v>
      </c>
      <c r="H65" s="1">
        <v>0</v>
      </c>
      <c r="I65" s="1" t="s">
        <v>29</v>
      </c>
      <c r="J65" s="1" t="s">
        <v>29</v>
      </c>
      <c r="K65" s="1" t="s">
        <v>29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29</v>
      </c>
      <c r="Q65" s="1">
        <f t="shared" si="0"/>
        <v>16</v>
      </c>
    </row>
    <row r="66" spans="1:17" ht="12.5">
      <c r="A66" s="1" t="s">
        <v>167</v>
      </c>
      <c r="B66" s="1" t="s">
        <v>69</v>
      </c>
      <c r="C66" s="1">
        <v>1886.2020259999999</v>
      </c>
      <c r="D66" s="1">
        <v>68.315002440000001</v>
      </c>
      <c r="E66" s="1">
        <v>98.782601150000005</v>
      </c>
      <c r="F66" s="1">
        <v>0.68230074240000005</v>
      </c>
      <c r="G66" s="1">
        <v>0.53509810369999999</v>
      </c>
      <c r="H66" s="1">
        <v>0</v>
      </c>
      <c r="I66" s="1">
        <v>98.579223139999996</v>
      </c>
      <c r="J66" s="1">
        <v>0</v>
      </c>
      <c r="K66" s="1">
        <v>1.4207768599999999</v>
      </c>
      <c r="L66" s="1">
        <v>0</v>
      </c>
      <c r="M66" s="1">
        <v>98.876924689999996</v>
      </c>
      <c r="N66" s="1">
        <v>0.99875681510000003</v>
      </c>
      <c r="O66" s="1">
        <v>0.1243184908</v>
      </c>
      <c r="P66" s="1">
        <v>0</v>
      </c>
      <c r="Q66" s="1">
        <f t="shared" si="0"/>
        <v>16</v>
      </c>
    </row>
    <row r="67" spans="1:17" ht="12.5">
      <c r="A67" s="1" t="s">
        <v>169</v>
      </c>
      <c r="B67" s="1" t="s">
        <v>170</v>
      </c>
      <c r="C67" s="1">
        <v>1967.998047</v>
      </c>
      <c r="D67" s="1">
        <v>44.195999149999999</v>
      </c>
      <c r="E67" s="1">
        <v>59.016912210000001</v>
      </c>
      <c r="F67" s="1">
        <v>14.03457137</v>
      </c>
      <c r="G67" s="1">
        <v>26.6263769</v>
      </c>
      <c r="H67" s="1">
        <v>0.3221395192</v>
      </c>
      <c r="I67" s="1">
        <v>49.831905300000003</v>
      </c>
      <c r="J67" s="1">
        <v>9.2857730259999993</v>
      </c>
      <c r="K67" s="1">
        <v>40.316451290000003</v>
      </c>
      <c r="L67" s="1">
        <v>0.56587038450000005</v>
      </c>
      <c r="M67" s="1">
        <v>70.614347910000006</v>
      </c>
      <c r="N67" s="1">
        <v>20.03063358</v>
      </c>
      <c r="O67" s="1">
        <v>9.3406252839999997</v>
      </c>
      <c r="P67" s="1">
        <v>1.4393226929999999E-2</v>
      </c>
      <c r="Q67" s="1">
        <f t="shared" si="0"/>
        <v>16</v>
      </c>
    </row>
    <row r="68" spans="1:17" ht="12.5">
      <c r="A68" s="1" t="s">
        <v>171</v>
      </c>
      <c r="B68" s="1" t="s">
        <v>69</v>
      </c>
      <c r="C68" s="1">
        <v>2078.931885</v>
      </c>
      <c r="D68" s="1">
        <v>55.118003850000001</v>
      </c>
      <c r="E68" s="1">
        <v>99.5</v>
      </c>
      <c r="F68" s="1">
        <v>0</v>
      </c>
      <c r="G68" s="1">
        <v>0.5</v>
      </c>
      <c r="H68" s="1">
        <v>0</v>
      </c>
      <c r="I68" s="1" t="s">
        <v>29</v>
      </c>
      <c r="J68" s="1" t="s">
        <v>29</v>
      </c>
      <c r="K68" s="1" t="s">
        <v>29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29</v>
      </c>
      <c r="Q68" s="1">
        <f t="shared" si="0"/>
        <v>16</v>
      </c>
    </row>
    <row r="69" spans="1:17" ht="12.5">
      <c r="A69" s="1" t="s">
        <v>174</v>
      </c>
      <c r="B69" s="1" t="s">
        <v>74</v>
      </c>
      <c r="C69" s="1">
        <v>2083.3798830000001</v>
      </c>
      <c r="D69" s="1">
        <v>58.481998439999998</v>
      </c>
      <c r="E69" s="1">
        <v>97.742815789999995</v>
      </c>
      <c r="F69" s="1">
        <v>1.6349941400000001</v>
      </c>
      <c r="G69" s="1">
        <v>0.57422847619999995</v>
      </c>
      <c r="H69" s="1">
        <v>4.796159706E-2</v>
      </c>
      <c r="I69" s="1">
        <v>97.468714570000003</v>
      </c>
      <c r="J69" s="1">
        <v>1.505202232</v>
      </c>
      <c r="K69" s="1">
        <v>0.91056319819999998</v>
      </c>
      <c r="L69" s="1">
        <v>0.11552</v>
      </c>
      <c r="M69" s="1">
        <v>97.937402989999995</v>
      </c>
      <c r="N69" s="1">
        <v>1.7271369539999999</v>
      </c>
      <c r="O69" s="1">
        <v>0.33546005629999998</v>
      </c>
      <c r="P69" s="1">
        <v>0</v>
      </c>
      <c r="Q69" s="1">
        <f t="shared" si="0"/>
        <v>16</v>
      </c>
    </row>
    <row r="70" spans="1:17" ht="12.5">
      <c r="A70" s="1" t="s">
        <v>176</v>
      </c>
      <c r="B70" s="1" t="s">
        <v>107</v>
      </c>
      <c r="C70" s="1">
        <v>2142.251953</v>
      </c>
      <c r="D70" s="1">
        <v>29.027999879999999</v>
      </c>
      <c r="E70" s="1">
        <v>72.176039270000004</v>
      </c>
      <c r="F70" s="1">
        <v>10.40592597</v>
      </c>
      <c r="G70" s="1">
        <v>12.21725464</v>
      </c>
      <c r="H70" s="1">
        <v>5.2007801159999998</v>
      </c>
      <c r="I70" s="1">
        <v>63.650354819999997</v>
      </c>
      <c r="J70" s="1">
        <v>13.55843013</v>
      </c>
      <c r="K70" s="1">
        <v>15.73132479</v>
      </c>
      <c r="L70" s="1">
        <v>7.0598902539999999</v>
      </c>
      <c r="M70" s="1">
        <v>93.020908550000001</v>
      </c>
      <c r="N70" s="1">
        <v>2.698211997</v>
      </c>
      <c r="O70" s="1">
        <v>3.625530038</v>
      </c>
      <c r="P70" s="1">
        <v>0.65534941999999996</v>
      </c>
      <c r="Q70" s="1">
        <f t="shared" si="0"/>
        <v>16</v>
      </c>
    </row>
    <row r="71" spans="1:17" ht="12.5">
      <c r="A71" s="1" t="s">
        <v>102</v>
      </c>
      <c r="B71" s="1" t="s">
        <v>74</v>
      </c>
      <c r="C71" s="1">
        <v>2225.7280270000001</v>
      </c>
      <c r="D71" s="1">
        <v>90.092002870000002</v>
      </c>
      <c r="E71" s="1">
        <v>85.341930599999998</v>
      </c>
      <c r="F71" s="1">
        <v>7.7352631030000003</v>
      </c>
      <c r="G71" s="1">
        <v>6.9228083570000001</v>
      </c>
      <c r="H71" s="1" t="s">
        <v>29</v>
      </c>
      <c r="I71" s="1">
        <v>44.745889009999999</v>
      </c>
      <c r="J71" s="1">
        <v>10.511148589999999</v>
      </c>
      <c r="K71" s="1">
        <v>44.742962400000003</v>
      </c>
      <c r="L71" s="1" t="s">
        <v>29</v>
      </c>
      <c r="M71" s="1">
        <v>89.806539169999994</v>
      </c>
      <c r="N71" s="1">
        <v>7.4299807600000003</v>
      </c>
      <c r="O71" s="1">
        <v>2.7634800720000001</v>
      </c>
      <c r="P71" s="1" t="s">
        <v>29</v>
      </c>
      <c r="Q71" s="1">
        <f t="shared" si="0"/>
        <v>16</v>
      </c>
    </row>
    <row r="72" spans="1:17" ht="12.5">
      <c r="A72" s="1" t="s">
        <v>178</v>
      </c>
      <c r="B72" s="1" t="s">
        <v>74</v>
      </c>
      <c r="C72" s="1">
        <v>2351.625</v>
      </c>
      <c r="D72" s="1">
        <v>70.876998900000004</v>
      </c>
      <c r="E72" s="1">
        <v>92.213563070000006</v>
      </c>
      <c r="F72" s="1">
        <v>4.7230389700000002</v>
      </c>
      <c r="G72" s="1">
        <v>1.7325264760000001</v>
      </c>
      <c r="H72" s="1">
        <v>1.330871481</v>
      </c>
      <c r="I72" s="1">
        <v>79.04372386</v>
      </c>
      <c r="J72" s="1">
        <v>15.154947180000001</v>
      </c>
      <c r="K72" s="1">
        <v>1.5961191560000001</v>
      </c>
      <c r="L72" s="1">
        <v>4.2052098100000004</v>
      </c>
      <c r="M72" s="1">
        <v>97.624980579999999</v>
      </c>
      <c r="N72" s="1">
        <v>0.43662003220000001</v>
      </c>
      <c r="O72" s="1">
        <v>1.788579159</v>
      </c>
      <c r="P72" s="1">
        <v>0.14982022810000001</v>
      </c>
      <c r="Q72" s="1">
        <f t="shared" si="0"/>
        <v>16</v>
      </c>
    </row>
    <row r="73" spans="1:17" ht="12.5">
      <c r="A73" s="1" t="s">
        <v>180</v>
      </c>
      <c r="B73" s="1" t="s">
        <v>170</v>
      </c>
      <c r="C73" s="1">
        <v>2416.6640630000002</v>
      </c>
      <c r="D73" s="1">
        <v>62.581996920000002</v>
      </c>
      <c r="E73" s="1">
        <v>80.940407140000005</v>
      </c>
      <c r="F73" s="1">
        <v>8.5973913910000004</v>
      </c>
      <c r="G73" s="1">
        <v>10.352852070000001</v>
      </c>
      <c r="H73" s="1">
        <v>0.10934939270000001</v>
      </c>
      <c r="I73" s="1">
        <v>69.18852321</v>
      </c>
      <c r="J73" s="1">
        <v>16.497832389999999</v>
      </c>
      <c r="K73" s="1">
        <v>14.24376547</v>
      </c>
      <c r="L73" s="1">
        <v>6.9878936799999999E-2</v>
      </c>
      <c r="M73" s="1">
        <v>87.966904270000001</v>
      </c>
      <c r="N73" s="1">
        <v>3.8736895219999998</v>
      </c>
      <c r="O73" s="1">
        <v>8.0264572780000005</v>
      </c>
      <c r="P73" s="1">
        <v>0.13294892529999999</v>
      </c>
      <c r="Q73" s="1">
        <f t="shared" si="0"/>
        <v>16</v>
      </c>
    </row>
    <row r="74" spans="1:17" ht="12.5">
      <c r="A74" s="1" t="s">
        <v>181</v>
      </c>
      <c r="B74" s="1" t="s">
        <v>74</v>
      </c>
      <c r="C74" s="1">
        <v>2540.9160160000001</v>
      </c>
      <c r="D74" s="1">
        <v>52.033000950000002</v>
      </c>
      <c r="E74" s="1">
        <v>84.270036279999999</v>
      </c>
      <c r="F74" s="1">
        <v>7.0876275099999999</v>
      </c>
      <c r="G74" s="1">
        <v>3.740143722</v>
      </c>
      <c r="H74" s="1">
        <v>4.9021924849999996</v>
      </c>
      <c r="I74" s="1">
        <v>71.256167430000005</v>
      </c>
      <c r="J74" s="1">
        <v>11.97218925</v>
      </c>
      <c r="K74" s="1">
        <v>7.0818037589999996</v>
      </c>
      <c r="L74" s="1">
        <v>9.6898395629999996</v>
      </c>
      <c r="M74" s="1">
        <v>96.266965350000007</v>
      </c>
      <c r="N74" s="1">
        <v>2.5847589649999998</v>
      </c>
      <c r="O74" s="1">
        <v>0.65961026379999999</v>
      </c>
      <c r="P74" s="1">
        <v>0.4886654211</v>
      </c>
      <c r="Q74" s="1">
        <f t="shared" si="0"/>
        <v>16</v>
      </c>
    </row>
    <row r="75" spans="1:17" ht="12.5">
      <c r="A75" s="1" t="s">
        <v>183</v>
      </c>
      <c r="B75" s="1" t="s">
        <v>69</v>
      </c>
      <c r="C75" s="1">
        <v>2722.2910160000001</v>
      </c>
      <c r="D75" s="1">
        <v>68.045997619999994</v>
      </c>
      <c r="E75" s="1">
        <v>98.013347240000002</v>
      </c>
      <c r="F75" s="1">
        <v>0</v>
      </c>
      <c r="G75" s="1">
        <v>1.9866527599999999</v>
      </c>
      <c r="H75" s="1">
        <v>0</v>
      </c>
      <c r="I75" s="1">
        <v>93.78278023</v>
      </c>
      <c r="J75" s="1">
        <v>0</v>
      </c>
      <c r="K75" s="1">
        <v>6.2172197709999999</v>
      </c>
      <c r="L75" s="1">
        <v>0</v>
      </c>
      <c r="M75" s="1">
        <v>100</v>
      </c>
      <c r="N75" s="1">
        <v>0</v>
      </c>
      <c r="O75" s="1">
        <v>0</v>
      </c>
      <c r="P75" s="1">
        <v>0</v>
      </c>
      <c r="Q75" s="1">
        <f t="shared" si="0"/>
        <v>16</v>
      </c>
    </row>
    <row r="76" spans="1:17" ht="12.5">
      <c r="A76" s="1" t="s">
        <v>87</v>
      </c>
      <c r="B76" s="1" t="s">
        <v>69</v>
      </c>
      <c r="C76" s="1">
        <v>2860.8400879999999</v>
      </c>
      <c r="D76" s="1">
        <v>93.581001279999995</v>
      </c>
      <c r="E76" s="1">
        <v>100</v>
      </c>
      <c r="F76" s="1">
        <v>0</v>
      </c>
      <c r="G76" s="1">
        <v>0</v>
      </c>
      <c r="H76" s="1">
        <v>0</v>
      </c>
      <c r="I76" s="1" t="s">
        <v>29</v>
      </c>
      <c r="J76" s="1" t="s">
        <v>29</v>
      </c>
      <c r="K76" s="1" t="s">
        <v>29</v>
      </c>
      <c r="L76" s="1" t="s">
        <v>29</v>
      </c>
      <c r="M76" s="1" t="s">
        <v>29</v>
      </c>
      <c r="N76" s="1" t="s">
        <v>29</v>
      </c>
      <c r="O76" s="1" t="s">
        <v>29</v>
      </c>
      <c r="P76" s="1" t="s">
        <v>29</v>
      </c>
      <c r="Q76" s="1">
        <f t="shared" si="0"/>
        <v>16</v>
      </c>
    </row>
    <row r="77" spans="1:17" ht="12.5">
      <c r="A77" s="1" t="s">
        <v>185</v>
      </c>
      <c r="B77" s="1" t="s">
        <v>74</v>
      </c>
      <c r="C77" s="1">
        <v>2877.8000489999999</v>
      </c>
      <c r="D77" s="1">
        <v>62.111999509999997</v>
      </c>
      <c r="E77" s="1">
        <v>95.068038830000006</v>
      </c>
      <c r="F77" s="1">
        <v>1.8846560919999999</v>
      </c>
      <c r="G77" s="1">
        <v>3.0473050810000002</v>
      </c>
      <c r="H77" s="1">
        <v>0</v>
      </c>
      <c r="I77" s="1">
        <v>94.091358060000005</v>
      </c>
      <c r="J77" s="1">
        <v>2.3052649550000002</v>
      </c>
      <c r="K77" s="1">
        <v>3.6033769859999998</v>
      </c>
      <c r="L77" s="1">
        <v>0</v>
      </c>
      <c r="M77" s="1">
        <v>95.663809119999996</v>
      </c>
      <c r="N77" s="1">
        <v>1.62808683</v>
      </c>
      <c r="O77" s="1">
        <v>2.7081040540000001</v>
      </c>
      <c r="P77" s="1">
        <v>0</v>
      </c>
      <c r="Q77" s="1">
        <f t="shared" si="0"/>
        <v>16</v>
      </c>
    </row>
    <row r="78" spans="1:17" ht="12.5">
      <c r="A78" s="1" t="s">
        <v>72</v>
      </c>
      <c r="B78" s="1" t="s">
        <v>69</v>
      </c>
      <c r="C78" s="1">
        <v>2881.0600589999999</v>
      </c>
      <c r="D78" s="1">
        <v>99.23500061</v>
      </c>
      <c r="E78" s="1">
        <v>99.568101940000005</v>
      </c>
      <c r="F78" s="1">
        <v>0</v>
      </c>
      <c r="G78" s="1">
        <v>0.4318980637</v>
      </c>
      <c r="H78" s="1">
        <v>0</v>
      </c>
      <c r="I78" s="1" t="s">
        <v>29</v>
      </c>
      <c r="J78" s="1" t="s">
        <v>29</v>
      </c>
      <c r="K78" s="1" t="s">
        <v>29</v>
      </c>
      <c r="L78" s="1" t="s">
        <v>29</v>
      </c>
      <c r="M78" s="1" t="s">
        <v>29</v>
      </c>
      <c r="N78" s="1" t="s">
        <v>29</v>
      </c>
      <c r="O78" s="1" t="s">
        <v>29</v>
      </c>
      <c r="P78" s="1" t="s">
        <v>29</v>
      </c>
      <c r="Q78" s="1">
        <f t="shared" si="0"/>
        <v>16</v>
      </c>
    </row>
    <row r="79" spans="1:17" ht="12.5">
      <c r="A79" s="1" t="s">
        <v>188</v>
      </c>
      <c r="B79" s="1" t="s">
        <v>74</v>
      </c>
      <c r="C79" s="1">
        <v>2961.1608890000002</v>
      </c>
      <c r="D79" s="1">
        <v>56.311000819999997</v>
      </c>
      <c r="E79" s="1">
        <v>91.029944499999999</v>
      </c>
      <c r="F79" s="1">
        <v>5.3675709139999999</v>
      </c>
      <c r="G79" s="1">
        <v>1.8640102030000001</v>
      </c>
      <c r="H79" s="1">
        <v>1.7384743789999999</v>
      </c>
      <c r="I79" s="1">
        <v>85.39991216</v>
      </c>
      <c r="J79" s="1">
        <v>8.4907373709999998</v>
      </c>
      <c r="K79" s="1">
        <v>2.5689718949999998</v>
      </c>
      <c r="L79" s="1">
        <v>3.540378574</v>
      </c>
      <c r="M79" s="1">
        <v>95.398015909999998</v>
      </c>
      <c r="N79" s="1">
        <v>2.944456223</v>
      </c>
      <c r="O79" s="1">
        <v>1.317064322</v>
      </c>
      <c r="P79" s="1">
        <v>0.34046355</v>
      </c>
      <c r="Q79" s="1">
        <f t="shared" si="0"/>
        <v>16</v>
      </c>
    </row>
    <row r="80" spans="1:17" ht="12.5">
      <c r="A80" s="1" t="s">
        <v>190</v>
      </c>
      <c r="B80" s="1" t="s">
        <v>74</v>
      </c>
      <c r="C80" s="1">
        <v>2963.2338869999999</v>
      </c>
      <c r="D80" s="1">
        <v>63.312999730000001</v>
      </c>
      <c r="E80" s="1">
        <v>99.971180689999997</v>
      </c>
      <c r="F80" s="1">
        <v>0</v>
      </c>
      <c r="G80" s="1">
        <v>2.8819308009999999E-2</v>
      </c>
      <c r="H80" s="1">
        <v>0</v>
      </c>
      <c r="I80" s="1">
        <v>100</v>
      </c>
      <c r="J80" s="1">
        <v>0</v>
      </c>
      <c r="K80" s="1">
        <v>0</v>
      </c>
      <c r="L80" s="1">
        <v>0</v>
      </c>
      <c r="M80" s="1">
        <v>99.954481220000005</v>
      </c>
      <c r="N80" s="1">
        <v>0</v>
      </c>
      <c r="O80" s="1">
        <v>4.5518783639999998E-2</v>
      </c>
      <c r="P80" s="1">
        <v>0</v>
      </c>
      <c r="Q80" s="1">
        <f t="shared" si="0"/>
        <v>16</v>
      </c>
    </row>
    <row r="81" spans="1:17" ht="12.5">
      <c r="A81" s="1" t="s">
        <v>191</v>
      </c>
      <c r="B81" s="1" t="s">
        <v>107</v>
      </c>
      <c r="C81" s="1">
        <v>3278.2919919999999</v>
      </c>
      <c r="D81" s="1">
        <v>68.656997680000003</v>
      </c>
      <c r="E81" s="1">
        <v>85.495625270000005</v>
      </c>
      <c r="F81" s="1">
        <v>2.1464289299999999</v>
      </c>
      <c r="G81" s="1">
        <v>6.6333667140000001</v>
      </c>
      <c r="H81" s="1">
        <v>5.7245790809999999</v>
      </c>
      <c r="I81" s="1">
        <v>61.070751139999999</v>
      </c>
      <c r="J81" s="1">
        <v>3.0841705720000001</v>
      </c>
      <c r="K81" s="1">
        <v>17.580781160000001</v>
      </c>
      <c r="L81" s="1">
        <v>18.264297129999999</v>
      </c>
      <c r="M81" s="1">
        <v>96.645965579999995</v>
      </c>
      <c r="N81" s="1">
        <v>1.718335079</v>
      </c>
      <c r="O81" s="1">
        <v>1.635699341</v>
      </c>
      <c r="P81" s="1">
        <v>0</v>
      </c>
      <c r="Q81" s="1">
        <f t="shared" si="0"/>
        <v>16</v>
      </c>
    </row>
    <row r="82" spans="1:17" ht="12.5">
      <c r="A82" s="1" t="s">
        <v>192</v>
      </c>
      <c r="B82" s="1" t="s">
        <v>74</v>
      </c>
      <c r="C82" s="1">
        <v>3280.8149410000001</v>
      </c>
      <c r="D82" s="1">
        <v>49.020000459999999</v>
      </c>
      <c r="E82" s="1">
        <v>96.113897620000003</v>
      </c>
      <c r="F82" s="1">
        <v>3.8236639380000002</v>
      </c>
      <c r="G82" s="1">
        <v>6.2438437520000001E-2</v>
      </c>
      <c r="H82" s="1">
        <v>0</v>
      </c>
      <c r="I82" s="1">
        <v>97.333333330000002</v>
      </c>
      <c r="J82" s="1">
        <v>2.6666666669999999</v>
      </c>
      <c r="K82" s="1">
        <v>0</v>
      </c>
      <c r="L82" s="1">
        <v>0</v>
      </c>
      <c r="M82" s="1">
        <v>94.845704400000002</v>
      </c>
      <c r="N82" s="1">
        <v>5.0269222060000001</v>
      </c>
      <c r="O82" s="1">
        <v>0.12737339280000001</v>
      </c>
      <c r="P82" s="1">
        <v>0</v>
      </c>
      <c r="Q82" s="1">
        <f t="shared" si="0"/>
        <v>16</v>
      </c>
    </row>
    <row r="83" spans="1:17" ht="12.5">
      <c r="A83" s="1" t="s">
        <v>82</v>
      </c>
      <c r="B83" s="1" t="s">
        <v>69</v>
      </c>
      <c r="C83" s="1">
        <v>3473.7270509999998</v>
      </c>
      <c r="D83" s="1">
        <v>95.51499939</v>
      </c>
      <c r="E83" s="1">
        <v>99.495757560000001</v>
      </c>
      <c r="F83" s="1">
        <v>0.50424244119999995</v>
      </c>
      <c r="G83" s="1">
        <v>0</v>
      </c>
      <c r="H83" s="1">
        <v>0</v>
      </c>
      <c r="I83" s="1">
        <v>95.300830000000005</v>
      </c>
      <c r="J83" s="1">
        <v>4.6991699999999996</v>
      </c>
      <c r="K83" s="1">
        <v>0</v>
      </c>
      <c r="L83" s="1">
        <v>0</v>
      </c>
      <c r="M83" s="1">
        <v>99.692734439999995</v>
      </c>
      <c r="N83" s="1">
        <v>0.30726556170000002</v>
      </c>
      <c r="O83" s="1">
        <v>0</v>
      </c>
      <c r="P83" s="1">
        <v>0</v>
      </c>
      <c r="Q83" s="1">
        <f t="shared" si="0"/>
        <v>16</v>
      </c>
    </row>
    <row r="84" spans="1:17" ht="12.5">
      <c r="A84" s="1" t="s">
        <v>193</v>
      </c>
      <c r="B84" s="1" t="s">
        <v>74</v>
      </c>
      <c r="C84" s="1">
        <v>3989.1750489999999</v>
      </c>
      <c r="D84" s="1">
        <v>59.452995299999998</v>
      </c>
      <c r="E84" s="1">
        <v>97.348139700000004</v>
      </c>
      <c r="F84" s="1">
        <v>0</v>
      </c>
      <c r="G84" s="1">
        <v>2.6327613790000002</v>
      </c>
      <c r="H84" s="1">
        <v>1.9098923269999998E-2</v>
      </c>
      <c r="I84" s="1">
        <v>94.271884200000002</v>
      </c>
      <c r="J84" s="1">
        <v>0</v>
      </c>
      <c r="K84" s="1">
        <v>5.7039236180000001</v>
      </c>
      <c r="L84" s="1">
        <v>2.4192183450000002E-2</v>
      </c>
      <c r="M84" s="1">
        <v>99.446153940000002</v>
      </c>
      <c r="N84" s="1">
        <v>0</v>
      </c>
      <c r="O84" s="1">
        <v>0.53822074200000003</v>
      </c>
      <c r="P84" s="1">
        <v>1.5625315859999999E-2</v>
      </c>
      <c r="Q84" s="1">
        <f t="shared" si="0"/>
        <v>16</v>
      </c>
    </row>
    <row r="85" spans="1:17" ht="12.5">
      <c r="A85" s="1" t="s">
        <v>194</v>
      </c>
      <c r="B85" s="1" t="s">
        <v>74</v>
      </c>
      <c r="C85" s="1">
        <v>4033.9628910000001</v>
      </c>
      <c r="D85" s="1">
        <v>42.849002839999997</v>
      </c>
      <c r="E85" s="1">
        <v>90.569962239999995</v>
      </c>
      <c r="F85" s="1">
        <v>1.519776762</v>
      </c>
      <c r="G85" s="1">
        <v>7.910260997</v>
      </c>
      <c r="H85" s="1">
        <v>0</v>
      </c>
      <c r="I85" s="1">
        <v>85.481038119999994</v>
      </c>
      <c r="J85" s="1">
        <v>1.52256302</v>
      </c>
      <c r="K85" s="1">
        <v>12.996398859999999</v>
      </c>
      <c r="L85" s="1">
        <v>0</v>
      </c>
      <c r="M85" s="1">
        <v>97.357444479999998</v>
      </c>
      <c r="N85" s="1">
        <v>1.516060408</v>
      </c>
      <c r="O85" s="1">
        <v>1.1264951110000001</v>
      </c>
      <c r="P85" s="1">
        <v>0</v>
      </c>
      <c r="Q85" s="1">
        <f t="shared" si="0"/>
        <v>16</v>
      </c>
    </row>
    <row r="86" spans="1:17" ht="12.5">
      <c r="A86" s="1" t="s">
        <v>196</v>
      </c>
      <c r="B86" s="1" t="s">
        <v>69</v>
      </c>
      <c r="C86" s="1">
        <v>4105.2680659999996</v>
      </c>
      <c r="D86" s="1">
        <v>57.552997589999997</v>
      </c>
      <c r="E86" s="1" t="s">
        <v>29</v>
      </c>
      <c r="F86" s="1" t="s">
        <v>29</v>
      </c>
      <c r="G86" s="1" t="s">
        <v>29</v>
      </c>
      <c r="H86" s="1" t="s">
        <v>29</v>
      </c>
      <c r="I86" s="1" t="s">
        <v>29</v>
      </c>
      <c r="J86" s="1" t="s">
        <v>29</v>
      </c>
      <c r="K86" s="1" t="s">
        <v>29</v>
      </c>
      <c r="L86" s="1" t="s">
        <v>29</v>
      </c>
      <c r="M86" s="1">
        <v>100</v>
      </c>
      <c r="N86" s="1">
        <v>0</v>
      </c>
      <c r="O86" s="1">
        <v>0</v>
      </c>
      <c r="P86" s="1">
        <v>0</v>
      </c>
      <c r="Q86" s="1">
        <f t="shared" si="0"/>
        <v>16</v>
      </c>
    </row>
    <row r="87" spans="1:17" ht="12.5">
      <c r="A87" s="1" t="s">
        <v>64</v>
      </c>
      <c r="B87" s="1" t="s">
        <v>69</v>
      </c>
      <c r="C87" s="1">
        <v>4270.5629879999997</v>
      </c>
      <c r="D87" s="1">
        <v>100</v>
      </c>
      <c r="E87" s="1">
        <v>100</v>
      </c>
      <c r="F87" s="1">
        <v>0</v>
      </c>
      <c r="G87" s="1">
        <v>0</v>
      </c>
      <c r="H87" s="1">
        <v>0</v>
      </c>
      <c r="I87" s="1" t="s">
        <v>29</v>
      </c>
      <c r="J87" s="1" t="s">
        <v>29</v>
      </c>
      <c r="K87" s="1" t="s">
        <v>29</v>
      </c>
      <c r="L87" s="1" t="s">
        <v>29</v>
      </c>
      <c r="M87" s="1" t="s">
        <v>29</v>
      </c>
      <c r="N87" s="1" t="s">
        <v>29</v>
      </c>
      <c r="O87" s="1" t="s">
        <v>29</v>
      </c>
      <c r="P87" s="1" t="s">
        <v>29</v>
      </c>
      <c r="Q87" s="1">
        <f t="shared" si="0"/>
        <v>16</v>
      </c>
    </row>
    <row r="88" spans="1:17" ht="12.5">
      <c r="A88" s="1" t="s">
        <v>195</v>
      </c>
      <c r="B88" s="1" t="s">
        <v>69</v>
      </c>
      <c r="C88" s="1">
        <v>4314.7680659999996</v>
      </c>
      <c r="D88" s="1">
        <v>68.414001459999994</v>
      </c>
      <c r="E88" s="1">
        <v>94.372544360000006</v>
      </c>
      <c r="F88" s="1">
        <v>1.8734805919999999</v>
      </c>
      <c r="G88" s="1">
        <v>2.2623042469999999</v>
      </c>
      <c r="H88" s="1">
        <v>1.491670799</v>
      </c>
      <c r="I88" s="1">
        <v>86.323083260000004</v>
      </c>
      <c r="J88" s="1">
        <v>1.791982583</v>
      </c>
      <c r="K88" s="1">
        <v>7.1623643420000001</v>
      </c>
      <c r="L88" s="1">
        <v>4.7225698109999996</v>
      </c>
      <c r="M88" s="1">
        <v>98.088892670000007</v>
      </c>
      <c r="N88" s="1">
        <v>1.9111073329999999</v>
      </c>
      <c r="O88" s="1">
        <v>0</v>
      </c>
      <c r="P88" s="1">
        <v>0</v>
      </c>
      <c r="Q88" s="1">
        <f t="shared" si="0"/>
        <v>16</v>
      </c>
    </row>
    <row r="89" spans="1:17" ht="12.5">
      <c r="A89" s="1" t="s">
        <v>198</v>
      </c>
      <c r="B89" s="1" t="s">
        <v>107</v>
      </c>
      <c r="C89" s="1">
        <v>4649.6601559999999</v>
      </c>
      <c r="D89" s="1">
        <v>55.326995850000003</v>
      </c>
      <c r="E89" s="1">
        <v>71.681049229999999</v>
      </c>
      <c r="F89" s="1">
        <v>13.476891930000001</v>
      </c>
      <c r="G89" s="1">
        <v>14.820326809999999</v>
      </c>
      <c r="H89" s="1">
        <v>2.173203433E-2</v>
      </c>
      <c r="I89" s="1">
        <v>49.911338899999997</v>
      </c>
      <c r="J89" s="1">
        <v>18.49039689</v>
      </c>
      <c r="K89" s="1">
        <v>31.549617300000001</v>
      </c>
      <c r="L89" s="1">
        <v>4.8646907220000001E-2</v>
      </c>
      <c r="M89" s="1">
        <v>89.258694649999995</v>
      </c>
      <c r="N89" s="1">
        <v>9.4288080829999998</v>
      </c>
      <c r="O89" s="1">
        <v>1.3124972699999999</v>
      </c>
      <c r="P89" s="1">
        <v>0</v>
      </c>
      <c r="Q89" s="1">
        <f t="shared" si="0"/>
        <v>16</v>
      </c>
    </row>
    <row r="90" spans="1:17" ht="12.5">
      <c r="A90" s="1" t="s">
        <v>116</v>
      </c>
      <c r="B90" s="1" t="s">
        <v>69</v>
      </c>
      <c r="C90" s="1">
        <v>4822.2329099999997</v>
      </c>
      <c r="D90" s="1">
        <v>86.698997500000004</v>
      </c>
      <c r="E90" s="1">
        <v>100.00000129999999</v>
      </c>
      <c r="F90" s="1">
        <v>0</v>
      </c>
      <c r="G90" s="1">
        <v>0</v>
      </c>
      <c r="H90" s="1">
        <v>0</v>
      </c>
      <c r="I90" s="1">
        <v>100</v>
      </c>
      <c r="J90" s="1">
        <v>0</v>
      </c>
      <c r="K90" s="1">
        <v>0</v>
      </c>
      <c r="L90" s="1">
        <v>0</v>
      </c>
      <c r="M90" s="1">
        <v>100</v>
      </c>
      <c r="N90" s="1">
        <v>0</v>
      </c>
      <c r="O90" s="1">
        <v>0</v>
      </c>
      <c r="P90" s="1">
        <v>0</v>
      </c>
      <c r="Q90" s="1">
        <f t="shared" si="0"/>
        <v>16</v>
      </c>
    </row>
    <row r="91" spans="1:17" ht="12.5">
      <c r="A91" s="1" t="s">
        <v>200</v>
      </c>
      <c r="B91" s="1" t="s">
        <v>170</v>
      </c>
      <c r="C91" s="1">
        <v>4829.7641599999997</v>
      </c>
      <c r="D91" s="1">
        <v>42.197998050000002</v>
      </c>
      <c r="E91" s="1">
        <v>37.202402050000003</v>
      </c>
      <c r="F91" s="1">
        <v>25.682373479999999</v>
      </c>
      <c r="G91" s="1">
        <v>33.53911377</v>
      </c>
      <c r="H91" s="1">
        <v>3.5761107079999999</v>
      </c>
      <c r="I91" s="1">
        <v>28.106594149999999</v>
      </c>
      <c r="J91" s="1">
        <v>19.405889899999998</v>
      </c>
      <c r="K91" s="1">
        <v>46.373073009999999</v>
      </c>
      <c r="L91" s="1">
        <v>6.1144429440000003</v>
      </c>
      <c r="M91" s="1">
        <v>49.661664950000002</v>
      </c>
      <c r="N91" s="1">
        <v>34.279780090000003</v>
      </c>
      <c r="O91" s="1">
        <v>15.95940214</v>
      </c>
      <c r="P91" s="1">
        <v>9.915281712E-2</v>
      </c>
      <c r="Q91" s="1">
        <f t="shared" si="0"/>
        <v>16</v>
      </c>
    </row>
    <row r="92" spans="1:17" ht="12.5">
      <c r="A92" s="1" t="s">
        <v>201</v>
      </c>
      <c r="B92" s="1" t="s">
        <v>69</v>
      </c>
      <c r="C92" s="1">
        <v>4937.7958980000003</v>
      </c>
      <c r="D92" s="1">
        <v>63.652999880000003</v>
      </c>
      <c r="E92" s="1">
        <v>97.399706510000001</v>
      </c>
      <c r="F92" s="1">
        <v>0</v>
      </c>
      <c r="G92" s="1">
        <v>2.6002934849999999</v>
      </c>
      <c r="H92" s="1">
        <v>0</v>
      </c>
      <c r="I92" s="1">
        <v>98.134920750000006</v>
      </c>
      <c r="J92" s="1">
        <v>0</v>
      </c>
      <c r="K92" s="1">
        <v>1.8650792469999999</v>
      </c>
      <c r="L92" s="1">
        <v>0</v>
      </c>
      <c r="M92" s="1">
        <v>96.979886030000003</v>
      </c>
      <c r="N92" s="1">
        <v>0</v>
      </c>
      <c r="O92" s="1">
        <v>3.0201139659999998</v>
      </c>
      <c r="P92" s="1">
        <v>0</v>
      </c>
      <c r="Q92" s="1">
        <f t="shared" si="0"/>
        <v>16</v>
      </c>
    </row>
    <row r="93" spans="1:17" ht="12.5">
      <c r="A93" s="1" t="s">
        <v>203</v>
      </c>
      <c r="B93" s="1" t="s">
        <v>170</v>
      </c>
      <c r="C93" s="1">
        <v>5057.6767579999996</v>
      </c>
      <c r="D93" s="1">
        <v>52.088996889999997</v>
      </c>
      <c r="E93" s="1">
        <v>75.261791590000001</v>
      </c>
      <c r="F93" s="1">
        <v>8.7006574749999999</v>
      </c>
      <c r="G93" s="1">
        <v>3.488080869</v>
      </c>
      <c r="H93" s="1">
        <v>12.549470060000001</v>
      </c>
      <c r="I93" s="1">
        <v>64.100216889999999</v>
      </c>
      <c r="J93" s="1">
        <v>6.5377757970000001</v>
      </c>
      <c r="K93" s="1">
        <v>3.3837098750000001</v>
      </c>
      <c r="L93" s="1">
        <v>25.978297439999999</v>
      </c>
      <c r="M93" s="1">
        <v>85.528109630000003</v>
      </c>
      <c r="N93" s="1">
        <v>10.69005698</v>
      </c>
      <c r="O93" s="1">
        <v>3.58408039</v>
      </c>
      <c r="P93" s="1">
        <v>0.19775300060000001</v>
      </c>
      <c r="Q93" s="1">
        <f t="shared" si="0"/>
        <v>16</v>
      </c>
    </row>
    <row r="94" spans="1:17" ht="12.5">
      <c r="A94" s="1" t="s">
        <v>136</v>
      </c>
      <c r="B94" s="1" t="s">
        <v>74</v>
      </c>
      <c r="C94" s="1">
        <v>5094.1137699999999</v>
      </c>
      <c r="D94" s="1">
        <v>80.770996089999997</v>
      </c>
      <c r="E94" s="1">
        <v>99.810536929999998</v>
      </c>
      <c r="F94" s="1">
        <v>0.18945947460000001</v>
      </c>
      <c r="G94" s="1">
        <v>3.5944518969999999E-6</v>
      </c>
      <c r="H94" s="1">
        <v>0</v>
      </c>
      <c r="I94" s="1">
        <v>99.646249999999995</v>
      </c>
      <c r="J94" s="1">
        <v>0.35375000000000001</v>
      </c>
      <c r="K94" s="1">
        <v>0</v>
      </c>
      <c r="L94" s="1">
        <v>0</v>
      </c>
      <c r="M94" s="1">
        <v>99.849652860000006</v>
      </c>
      <c r="N94" s="1">
        <v>0.15034714290000001</v>
      </c>
      <c r="O94" s="1">
        <v>0</v>
      </c>
      <c r="P94" s="1">
        <v>0</v>
      </c>
      <c r="Q94" s="1">
        <f t="shared" si="0"/>
        <v>16</v>
      </c>
    </row>
    <row r="95" spans="1:17" ht="12.5">
      <c r="A95" s="1" t="s">
        <v>155</v>
      </c>
      <c r="B95" s="1" t="s">
        <v>107</v>
      </c>
      <c r="C95" s="1">
        <v>5101.4160160000001</v>
      </c>
      <c r="D95" s="1">
        <v>76.718994140000007</v>
      </c>
      <c r="E95" s="1">
        <v>97.880397220000006</v>
      </c>
      <c r="F95" s="1">
        <v>1.029979486</v>
      </c>
      <c r="G95" s="1">
        <v>1.089623295</v>
      </c>
      <c r="H95" s="1" t="s">
        <v>29</v>
      </c>
      <c r="I95" s="1">
        <v>98.715556419999999</v>
      </c>
      <c r="J95" s="1">
        <v>0.31740062730000002</v>
      </c>
      <c r="K95" s="1">
        <v>0.96704295760000003</v>
      </c>
      <c r="L95" s="1" t="s">
        <v>29</v>
      </c>
      <c r="M95" s="1">
        <v>97.626964430000001</v>
      </c>
      <c r="N95" s="1">
        <v>1.246217358</v>
      </c>
      <c r="O95" s="1">
        <v>1.126818208</v>
      </c>
      <c r="P95" s="1" t="s">
        <v>29</v>
      </c>
      <c r="Q95" s="1">
        <f t="shared" si="0"/>
        <v>16</v>
      </c>
    </row>
    <row r="96" spans="1:17" ht="12.5">
      <c r="A96" s="1" t="s">
        <v>123</v>
      </c>
      <c r="B96" s="1" t="s">
        <v>69</v>
      </c>
      <c r="C96" s="1">
        <v>5106.6220700000003</v>
      </c>
      <c r="D96" s="1">
        <v>86.275993349999993</v>
      </c>
      <c r="E96" s="1">
        <v>92.168024689999996</v>
      </c>
      <c r="F96" s="1">
        <v>7.5414198929999996</v>
      </c>
      <c r="G96" s="1">
        <v>0.26040520360000002</v>
      </c>
      <c r="H96" s="1">
        <v>3.0150217449999999E-2</v>
      </c>
      <c r="I96" s="1">
        <v>76.250779910000006</v>
      </c>
      <c r="J96" s="1">
        <v>21.632121130000002</v>
      </c>
      <c r="K96" s="1">
        <v>1.897409218</v>
      </c>
      <c r="L96" s="1">
        <v>0.21968973750000001</v>
      </c>
      <c r="M96" s="1">
        <v>94.7</v>
      </c>
      <c r="N96" s="1">
        <v>5.3</v>
      </c>
      <c r="O96" s="1">
        <v>0</v>
      </c>
      <c r="P96" s="1">
        <v>0</v>
      </c>
      <c r="Q96" s="1">
        <f t="shared" si="0"/>
        <v>16</v>
      </c>
    </row>
    <row r="97" spans="1:17" ht="12.5">
      <c r="A97" s="1" t="s">
        <v>129</v>
      </c>
      <c r="B97" s="1" t="s">
        <v>69</v>
      </c>
      <c r="C97" s="1">
        <v>5421.2421880000002</v>
      </c>
      <c r="D97" s="1">
        <v>82.973991389999995</v>
      </c>
      <c r="E97" s="1">
        <v>99.999995499999997</v>
      </c>
      <c r="F97" s="1">
        <v>0</v>
      </c>
      <c r="G97" s="1">
        <v>4.5034074529999998E-6</v>
      </c>
      <c r="H97" s="1">
        <v>0</v>
      </c>
      <c r="I97" s="1">
        <v>100</v>
      </c>
      <c r="J97" s="1">
        <v>0</v>
      </c>
      <c r="K97" s="1">
        <v>0</v>
      </c>
      <c r="L97" s="1">
        <v>0</v>
      </c>
      <c r="M97" s="1">
        <v>100</v>
      </c>
      <c r="N97" s="1">
        <v>0</v>
      </c>
      <c r="O97" s="1">
        <v>0</v>
      </c>
      <c r="P97" s="1">
        <v>0</v>
      </c>
      <c r="Q97" s="1">
        <f t="shared" si="0"/>
        <v>16</v>
      </c>
    </row>
    <row r="98" spans="1:17" ht="12.5">
      <c r="A98" s="1" t="s">
        <v>205</v>
      </c>
      <c r="B98" s="1" t="s">
        <v>69</v>
      </c>
      <c r="C98" s="1">
        <v>5459.6430659999996</v>
      </c>
      <c r="D98" s="1">
        <v>53.759998320000001</v>
      </c>
      <c r="E98" s="1">
        <v>99.787698579999997</v>
      </c>
      <c r="F98" s="1">
        <v>0.2123014241</v>
      </c>
      <c r="G98" s="1">
        <v>0</v>
      </c>
      <c r="H98" s="1">
        <v>0</v>
      </c>
      <c r="I98" s="1">
        <v>100</v>
      </c>
      <c r="J98" s="1">
        <v>0</v>
      </c>
      <c r="K98" s="1">
        <v>0</v>
      </c>
      <c r="L98" s="1">
        <v>0</v>
      </c>
      <c r="M98" s="1">
        <v>99.605094059999999</v>
      </c>
      <c r="N98" s="1">
        <v>0.39490593740000002</v>
      </c>
      <c r="O98" s="1">
        <v>0</v>
      </c>
      <c r="P98" s="1">
        <v>0</v>
      </c>
      <c r="Q98" s="1">
        <f t="shared" si="0"/>
        <v>16</v>
      </c>
    </row>
    <row r="99" spans="1:17" ht="12.5">
      <c r="A99" s="1" t="s">
        <v>197</v>
      </c>
      <c r="B99" s="1" t="s">
        <v>107</v>
      </c>
      <c r="C99" s="1">
        <v>5518.091797</v>
      </c>
      <c r="D99" s="1">
        <v>67.829002380000006</v>
      </c>
      <c r="E99" s="1">
        <v>73.78451158</v>
      </c>
      <c r="F99" s="1">
        <v>10.46117203</v>
      </c>
      <c r="G99" s="1">
        <v>9.5591807220000007</v>
      </c>
      <c r="H99" s="1">
        <v>6.1951356640000004</v>
      </c>
      <c r="I99" s="1">
        <v>45.724413179999999</v>
      </c>
      <c r="J99" s="1">
        <v>10.6323901</v>
      </c>
      <c r="K99" s="1">
        <v>24.405169730000001</v>
      </c>
      <c r="L99" s="1">
        <v>19.238026990000002</v>
      </c>
      <c r="M99" s="1">
        <v>87.093296159999994</v>
      </c>
      <c r="N99" s="1">
        <v>10.37996439</v>
      </c>
      <c r="O99" s="1">
        <v>2.5177899969999999</v>
      </c>
      <c r="P99" s="1">
        <v>8.9494520549999994E-3</v>
      </c>
      <c r="Q99" s="1">
        <f t="shared" si="0"/>
        <v>16</v>
      </c>
    </row>
    <row r="100" spans="1:17" ht="12.5">
      <c r="A100" s="1" t="s">
        <v>124</v>
      </c>
      <c r="B100" s="1" t="s">
        <v>69</v>
      </c>
      <c r="C100" s="1">
        <v>5540.7177730000003</v>
      </c>
      <c r="D100" s="1">
        <v>85.517005920000003</v>
      </c>
      <c r="E100" s="1">
        <v>100.0000033</v>
      </c>
      <c r="F100" s="1">
        <v>0</v>
      </c>
      <c r="G100" s="1">
        <v>0</v>
      </c>
      <c r="H100" s="1">
        <v>0</v>
      </c>
      <c r="I100" s="1">
        <v>100</v>
      </c>
      <c r="J100" s="1">
        <v>0</v>
      </c>
      <c r="K100" s="1">
        <v>0</v>
      </c>
      <c r="L100" s="1">
        <v>0</v>
      </c>
      <c r="M100" s="1">
        <v>100</v>
      </c>
      <c r="N100" s="1">
        <v>0</v>
      </c>
      <c r="O100" s="1">
        <v>0</v>
      </c>
      <c r="P100" s="1">
        <v>0</v>
      </c>
      <c r="Q100" s="1">
        <f t="shared" si="0"/>
        <v>16</v>
      </c>
    </row>
    <row r="101" spans="1:17" ht="12.5">
      <c r="A101" s="1" t="s">
        <v>108</v>
      </c>
      <c r="B101" s="1" t="s">
        <v>69</v>
      </c>
      <c r="C101" s="1">
        <v>5792.203125</v>
      </c>
      <c r="D101" s="1">
        <v>88.116004939999996</v>
      </c>
      <c r="E101" s="1">
        <v>100.00000110000001</v>
      </c>
      <c r="F101" s="1">
        <v>0</v>
      </c>
      <c r="G101" s="1">
        <v>0</v>
      </c>
      <c r="H101" s="1">
        <v>0</v>
      </c>
      <c r="I101" s="1">
        <v>100</v>
      </c>
      <c r="J101" s="1">
        <v>0</v>
      </c>
      <c r="K101" s="1">
        <v>0</v>
      </c>
      <c r="L101" s="1">
        <v>0</v>
      </c>
      <c r="M101" s="1">
        <v>100</v>
      </c>
      <c r="N101" s="1">
        <v>0</v>
      </c>
      <c r="O101" s="1">
        <v>0</v>
      </c>
      <c r="P101" s="1">
        <v>0</v>
      </c>
      <c r="Q101" s="1">
        <f t="shared" si="0"/>
        <v>16</v>
      </c>
    </row>
    <row r="102" spans="1:17" ht="12.5">
      <c r="A102" s="1" t="s">
        <v>68</v>
      </c>
      <c r="B102" s="1" t="s">
        <v>69</v>
      </c>
      <c r="C102" s="1">
        <v>5850.3427730000003</v>
      </c>
      <c r="D102" s="1">
        <v>100</v>
      </c>
      <c r="E102" s="1">
        <v>100</v>
      </c>
      <c r="F102" s="1">
        <v>0</v>
      </c>
      <c r="G102" s="1">
        <v>0</v>
      </c>
      <c r="H102" s="1">
        <v>0</v>
      </c>
      <c r="I102" s="1" t="s">
        <v>29</v>
      </c>
      <c r="J102" s="1" t="s">
        <v>29</v>
      </c>
      <c r="K102" s="1" t="s">
        <v>29</v>
      </c>
      <c r="L102" s="1" t="s">
        <v>29</v>
      </c>
      <c r="M102" s="1">
        <v>100</v>
      </c>
      <c r="N102" s="1">
        <v>0</v>
      </c>
      <c r="O102" s="1">
        <v>0</v>
      </c>
      <c r="P102" s="1">
        <v>0</v>
      </c>
      <c r="Q102" s="1">
        <f t="shared" si="0"/>
        <v>16</v>
      </c>
    </row>
    <row r="103" spans="1:17" ht="12.5">
      <c r="A103" s="1" t="s">
        <v>208</v>
      </c>
      <c r="B103" s="1" t="s">
        <v>74</v>
      </c>
      <c r="C103" s="1">
        <v>6031.1870120000003</v>
      </c>
      <c r="D103" s="1">
        <v>52.516002659999998</v>
      </c>
      <c r="E103" s="1">
        <v>100</v>
      </c>
      <c r="F103" s="1">
        <v>0</v>
      </c>
      <c r="G103" s="1">
        <v>0</v>
      </c>
      <c r="H103" s="1">
        <v>0</v>
      </c>
      <c r="I103" s="1">
        <v>100</v>
      </c>
      <c r="J103" s="1">
        <v>0</v>
      </c>
      <c r="K103" s="1">
        <v>0</v>
      </c>
      <c r="L103" s="1">
        <v>0</v>
      </c>
      <c r="M103" s="1">
        <v>100</v>
      </c>
      <c r="N103" s="1">
        <v>0</v>
      </c>
      <c r="O103" s="1">
        <v>0</v>
      </c>
      <c r="P103" s="1">
        <v>0</v>
      </c>
      <c r="Q103" s="1">
        <f t="shared" si="0"/>
        <v>16</v>
      </c>
    </row>
    <row r="104" spans="1:17" ht="12.5">
      <c r="A104" s="1" t="s">
        <v>177</v>
      </c>
      <c r="B104" s="1" t="s">
        <v>107</v>
      </c>
      <c r="C104" s="1">
        <v>6486.201172</v>
      </c>
      <c r="D104" s="1">
        <v>73.444000239999994</v>
      </c>
      <c r="E104" s="1">
        <v>97.946575409999994</v>
      </c>
      <c r="F104" s="1">
        <v>0.20726323190000001</v>
      </c>
      <c r="G104" s="1">
        <v>0.31517399689999998</v>
      </c>
      <c r="H104" s="1">
        <v>1.530987366</v>
      </c>
      <c r="I104" s="1">
        <v>93.454395079999998</v>
      </c>
      <c r="J104" s="1">
        <v>0.78047620490000003</v>
      </c>
      <c r="K104" s="1">
        <v>0</v>
      </c>
      <c r="L104" s="1">
        <v>5.7651287120000001</v>
      </c>
      <c r="M104" s="1">
        <v>99.570870009999993</v>
      </c>
      <c r="N104" s="1">
        <v>0</v>
      </c>
      <c r="O104" s="1">
        <v>0.42912999439999999</v>
      </c>
      <c r="P104" s="1">
        <v>0</v>
      </c>
      <c r="Q104" s="1">
        <f t="shared" si="0"/>
        <v>16</v>
      </c>
    </row>
    <row r="105" spans="1:17" ht="12.5">
      <c r="A105" s="1" t="s">
        <v>211</v>
      </c>
      <c r="B105" s="1" t="s">
        <v>29</v>
      </c>
      <c r="C105" s="1">
        <v>6524.1909180000002</v>
      </c>
      <c r="D105" s="1">
        <v>36.855998990000003</v>
      </c>
      <c r="E105" s="1">
        <v>91.699305219999999</v>
      </c>
      <c r="F105" s="1">
        <v>1.900734111</v>
      </c>
      <c r="G105" s="1">
        <v>1.8656486999999999</v>
      </c>
      <c r="H105" s="1">
        <v>4.5343119649999997</v>
      </c>
      <c r="I105" s="1">
        <v>87.258429000000007</v>
      </c>
      <c r="J105" s="1">
        <v>2.606070485</v>
      </c>
      <c r="K105" s="1">
        <v>2.9545936840000002</v>
      </c>
      <c r="L105" s="1">
        <v>7.1809068319999998</v>
      </c>
      <c r="M105" s="1">
        <v>99.307692309999993</v>
      </c>
      <c r="N105" s="1">
        <v>0.6923076923</v>
      </c>
      <c r="O105" s="1">
        <v>0</v>
      </c>
      <c r="P105" s="1">
        <v>0</v>
      </c>
      <c r="Q105" s="1">
        <f t="shared" si="0"/>
        <v>16</v>
      </c>
    </row>
    <row r="106" spans="1:17" ht="12.5">
      <c r="A106" s="1" t="s">
        <v>214</v>
      </c>
      <c r="B106" s="1" t="s">
        <v>107</v>
      </c>
      <c r="C106" s="1">
        <v>6624.5541990000002</v>
      </c>
      <c r="D106" s="1">
        <v>59.012001040000001</v>
      </c>
      <c r="E106" s="1">
        <v>81.708753799999997</v>
      </c>
      <c r="F106" s="1">
        <v>1.506645682</v>
      </c>
      <c r="G106" s="1">
        <v>13.530531140000001</v>
      </c>
      <c r="H106" s="1">
        <v>3.2540693780000001</v>
      </c>
      <c r="I106" s="1">
        <v>59.107446629999998</v>
      </c>
      <c r="J106" s="1">
        <v>3.5209742849999999</v>
      </c>
      <c r="K106" s="1">
        <v>29.780173680000001</v>
      </c>
      <c r="L106" s="1">
        <v>7.5914054000000002</v>
      </c>
      <c r="M106" s="1">
        <v>97.406956609999995</v>
      </c>
      <c r="N106" s="1">
        <v>0.10755231429999999</v>
      </c>
      <c r="O106" s="1">
        <v>2.244007656</v>
      </c>
      <c r="P106" s="1">
        <v>0.24148342289999999</v>
      </c>
      <c r="Q106" s="1">
        <f t="shared" si="0"/>
        <v>16</v>
      </c>
    </row>
    <row r="107" spans="1:17" ht="12.5">
      <c r="A107" s="1" t="s">
        <v>104</v>
      </c>
      <c r="B107" s="1" t="s">
        <v>107</v>
      </c>
      <c r="C107" s="1">
        <v>6825.4418949999999</v>
      </c>
      <c r="D107" s="1">
        <v>88.924995420000002</v>
      </c>
      <c r="E107" s="1">
        <v>92.6</v>
      </c>
      <c r="F107" s="1">
        <v>7.4</v>
      </c>
      <c r="G107" s="1">
        <v>0</v>
      </c>
      <c r="H107" s="1">
        <v>0</v>
      </c>
      <c r="I107" s="1" t="s">
        <v>29</v>
      </c>
      <c r="J107" s="1" t="s">
        <v>29</v>
      </c>
      <c r="K107" s="1" t="s">
        <v>29</v>
      </c>
      <c r="L107" s="1" t="s">
        <v>29</v>
      </c>
      <c r="M107" s="1" t="s">
        <v>29</v>
      </c>
      <c r="N107" s="1" t="s">
        <v>29</v>
      </c>
      <c r="O107" s="1" t="s">
        <v>29</v>
      </c>
      <c r="P107" s="1" t="s">
        <v>29</v>
      </c>
      <c r="Q107" s="1">
        <f t="shared" si="0"/>
        <v>16</v>
      </c>
    </row>
    <row r="108" spans="1:17" ht="12.5">
      <c r="A108" s="1" t="s">
        <v>138</v>
      </c>
      <c r="B108" s="1" t="s">
        <v>74</v>
      </c>
      <c r="C108" s="1">
        <v>6871.2871089999999</v>
      </c>
      <c r="D108" s="1">
        <v>80.691001889999995</v>
      </c>
      <c r="E108" s="1">
        <v>99.891523800000002</v>
      </c>
      <c r="F108" s="1">
        <v>0</v>
      </c>
      <c r="G108" s="1">
        <v>0.1084762012</v>
      </c>
      <c r="H108" s="1">
        <v>0</v>
      </c>
      <c r="I108" s="1" t="s">
        <v>29</v>
      </c>
      <c r="J108" s="1" t="s">
        <v>29</v>
      </c>
      <c r="K108" s="1" t="s">
        <v>29</v>
      </c>
      <c r="L108" s="1" t="s">
        <v>29</v>
      </c>
      <c r="M108" s="1" t="s">
        <v>29</v>
      </c>
      <c r="N108" s="1" t="s">
        <v>29</v>
      </c>
      <c r="O108" s="1" t="s">
        <v>29</v>
      </c>
      <c r="P108" s="1" t="s">
        <v>29</v>
      </c>
      <c r="Q108" s="1">
        <f t="shared" si="0"/>
        <v>16</v>
      </c>
    </row>
    <row r="109" spans="1:17" ht="12.5">
      <c r="A109" s="1" t="s">
        <v>162</v>
      </c>
      <c r="B109" s="1" t="s">
        <v>74</v>
      </c>
      <c r="C109" s="1">
        <v>6948.4448240000002</v>
      </c>
      <c r="D109" s="1">
        <v>75.685997009999994</v>
      </c>
      <c r="E109" s="1">
        <v>99.011416940000004</v>
      </c>
      <c r="F109" s="1">
        <v>0</v>
      </c>
      <c r="G109" s="1">
        <v>0.98858306070000002</v>
      </c>
      <c r="H109" s="1">
        <v>0</v>
      </c>
      <c r="I109" s="1">
        <v>97.401287969999998</v>
      </c>
      <c r="J109" s="1">
        <v>0</v>
      </c>
      <c r="K109" s="1">
        <v>2.5987120309999998</v>
      </c>
      <c r="L109" s="1">
        <v>0</v>
      </c>
      <c r="M109" s="1">
        <v>99.528670399999996</v>
      </c>
      <c r="N109" s="1">
        <v>0</v>
      </c>
      <c r="O109" s="1">
        <v>0.47132960070000002</v>
      </c>
      <c r="P109" s="1">
        <v>0</v>
      </c>
      <c r="Q109" s="1">
        <f t="shared" si="0"/>
        <v>16</v>
      </c>
    </row>
    <row r="110" spans="1:17" ht="12.5">
      <c r="A110" s="1" t="s">
        <v>209</v>
      </c>
      <c r="B110" s="1" t="s">
        <v>74</v>
      </c>
      <c r="C110" s="1">
        <v>7132.5297849999997</v>
      </c>
      <c r="D110" s="1">
        <v>62.182994839999999</v>
      </c>
      <c r="E110" s="1">
        <v>99.593466329999998</v>
      </c>
      <c r="F110" s="1">
        <v>0.40653024389999998</v>
      </c>
      <c r="G110" s="1">
        <v>3.4229177000000001E-6</v>
      </c>
      <c r="H110" s="1">
        <v>0</v>
      </c>
      <c r="I110" s="1">
        <v>99.111227529999994</v>
      </c>
      <c r="J110" s="1">
        <v>0.88877246840000002</v>
      </c>
      <c r="K110" s="1">
        <v>0</v>
      </c>
      <c r="L110" s="1">
        <v>0</v>
      </c>
      <c r="M110" s="1">
        <v>99.886748539999999</v>
      </c>
      <c r="N110" s="1">
        <v>0.11325146429999999</v>
      </c>
      <c r="O110" s="1">
        <v>0</v>
      </c>
      <c r="P110" s="1">
        <v>0</v>
      </c>
      <c r="Q110" s="1">
        <f t="shared" si="0"/>
        <v>16</v>
      </c>
    </row>
    <row r="111" spans="1:17" ht="12.5">
      <c r="A111" s="1" t="s">
        <v>216</v>
      </c>
      <c r="B111" s="1" t="s">
        <v>107</v>
      </c>
      <c r="C111" s="1">
        <v>7275.5561520000001</v>
      </c>
      <c r="D111" s="1">
        <v>36.290000919999997</v>
      </c>
      <c r="E111" s="1">
        <v>85.219743179999995</v>
      </c>
      <c r="F111" s="1">
        <v>3.566857739</v>
      </c>
      <c r="G111" s="1">
        <v>10.62886799</v>
      </c>
      <c r="H111" s="1">
        <v>0.58453109380000001</v>
      </c>
      <c r="I111" s="1">
        <v>78.472959419999995</v>
      </c>
      <c r="J111" s="1">
        <v>5.5985837859999998</v>
      </c>
      <c r="K111" s="1">
        <v>15.010969599999999</v>
      </c>
      <c r="L111" s="1">
        <v>0.91748719570000004</v>
      </c>
      <c r="M111" s="1">
        <v>97.064262220000003</v>
      </c>
      <c r="N111" s="1">
        <v>0</v>
      </c>
      <c r="O111" s="1">
        <v>2.935737778</v>
      </c>
      <c r="P111" s="1">
        <v>0</v>
      </c>
      <c r="Q111" s="1">
        <f t="shared" si="0"/>
        <v>16</v>
      </c>
    </row>
    <row r="112" spans="1:17" ht="12.5">
      <c r="A112" s="1" t="s">
        <v>70</v>
      </c>
      <c r="B112" s="1" t="s">
        <v>69</v>
      </c>
      <c r="C112" s="1">
        <v>7496.9877930000002</v>
      </c>
      <c r="D112" s="1">
        <v>100</v>
      </c>
      <c r="E112" s="1">
        <v>100</v>
      </c>
      <c r="F112" s="1">
        <v>0</v>
      </c>
      <c r="G112" s="1">
        <v>0</v>
      </c>
      <c r="H112" s="1">
        <v>0</v>
      </c>
      <c r="I112" s="1" t="s">
        <v>29</v>
      </c>
      <c r="J112" s="1" t="s">
        <v>29</v>
      </c>
      <c r="K112" s="1" t="s">
        <v>29</v>
      </c>
      <c r="L112" s="1" t="s">
        <v>29</v>
      </c>
      <c r="M112" s="1">
        <v>100</v>
      </c>
      <c r="N112" s="1">
        <v>0</v>
      </c>
      <c r="O112" s="1">
        <v>0</v>
      </c>
      <c r="P112" s="1">
        <v>0</v>
      </c>
      <c r="Q112" s="1">
        <f t="shared" si="0"/>
        <v>16</v>
      </c>
    </row>
    <row r="113" spans="1:17" ht="12.5">
      <c r="A113" s="1" t="s">
        <v>218</v>
      </c>
      <c r="B113" s="1" t="s">
        <v>170</v>
      </c>
      <c r="C113" s="1">
        <v>7976.9848629999997</v>
      </c>
      <c r="D113" s="1">
        <v>42.923000340000002</v>
      </c>
      <c r="E113" s="1">
        <v>63.766285619999998</v>
      </c>
      <c r="F113" s="1">
        <v>9.0233163570000006</v>
      </c>
      <c r="G113" s="1">
        <v>15.5639457</v>
      </c>
      <c r="H113" s="1">
        <v>11.646452330000001</v>
      </c>
      <c r="I113" s="1">
        <v>52.752702669999998</v>
      </c>
      <c r="J113" s="1">
        <v>5.2211368890000003</v>
      </c>
      <c r="K113" s="1">
        <v>23.142949089999998</v>
      </c>
      <c r="L113" s="1">
        <v>18.88321135</v>
      </c>
      <c r="M113" s="1">
        <v>78.411637659999997</v>
      </c>
      <c r="N113" s="1">
        <v>14.079277429999999</v>
      </c>
      <c r="O113" s="1">
        <v>5.4857354369999998</v>
      </c>
      <c r="P113" s="1">
        <v>2.0233494749999998</v>
      </c>
      <c r="Q113" s="1">
        <f t="shared" si="0"/>
        <v>16</v>
      </c>
    </row>
    <row r="114" spans="1:17" ht="12.5">
      <c r="A114" s="1" t="s">
        <v>220</v>
      </c>
      <c r="B114" s="1" t="s">
        <v>170</v>
      </c>
      <c r="C114" s="1">
        <v>8278.7373050000006</v>
      </c>
      <c r="D114" s="1">
        <v>42.799999239999998</v>
      </c>
      <c r="E114" s="1">
        <v>68.58372009</v>
      </c>
      <c r="F114" s="1">
        <v>6.065434765</v>
      </c>
      <c r="G114" s="1">
        <v>14.16432245</v>
      </c>
      <c r="H114" s="1">
        <v>11.18652269</v>
      </c>
      <c r="I114" s="1">
        <v>52.117552750000002</v>
      </c>
      <c r="J114" s="1">
        <v>8.1875420190000003</v>
      </c>
      <c r="K114" s="1">
        <v>20.7910842</v>
      </c>
      <c r="L114" s="1">
        <v>18.90382103</v>
      </c>
      <c r="M114" s="1">
        <v>90.589910009999997</v>
      </c>
      <c r="N114" s="1">
        <v>3.2293480560000001</v>
      </c>
      <c r="O114" s="1">
        <v>5.3079905280000004</v>
      </c>
      <c r="P114" s="1">
        <v>0.87275140490000003</v>
      </c>
      <c r="Q114" s="1">
        <f t="shared" si="0"/>
        <v>16</v>
      </c>
    </row>
    <row r="115" spans="1:17" ht="12.5">
      <c r="A115" s="1" t="s">
        <v>172</v>
      </c>
      <c r="B115" s="1" t="s">
        <v>69</v>
      </c>
      <c r="C115" s="1">
        <v>8654.6181639999995</v>
      </c>
      <c r="D115" s="1">
        <v>73.915000919999997</v>
      </c>
      <c r="E115" s="1">
        <v>100.0000028</v>
      </c>
      <c r="F115" s="1">
        <v>0</v>
      </c>
      <c r="G115" s="1">
        <v>0</v>
      </c>
      <c r="H115" s="1">
        <v>0</v>
      </c>
      <c r="I115" s="1">
        <v>100</v>
      </c>
      <c r="J115" s="1">
        <v>0</v>
      </c>
      <c r="K115" s="1">
        <v>0</v>
      </c>
      <c r="L115" s="1">
        <v>0</v>
      </c>
      <c r="M115" s="1">
        <v>100</v>
      </c>
      <c r="N115" s="1">
        <v>0</v>
      </c>
      <c r="O115" s="1">
        <v>0</v>
      </c>
      <c r="P115" s="1">
        <v>0</v>
      </c>
      <c r="Q115" s="1">
        <f t="shared" si="0"/>
        <v>16</v>
      </c>
    </row>
    <row r="116" spans="1:17" ht="12.5">
      <c r="A116" s="1" t="s">
        <v>88</v>
      </c>
      <c r="B116" s="1" t="s">
        <v>69</v>
      </c>
      <c r="C116" s="1">
        <v>8655.5410159999992</v>
      </c>
      <c r="D116" s="1">
        <v>92.58699799</v>
      </c>
      <c r="E116" s="1">
        <v>100</v>
      </c>
      <c r="F116" s="1">
        <v>0</v>
      </c>
      <c r="G116" s="1">
        <v>0</v>
      </c>
      <c r="H116" s="1">
        <v>0</v>
      </c>
      <c r="I116" s="1">
        <v>100</v>
      </c>
      <c r="J116" s="1">
        <v>0</v>
      </c>
      <c r="K116" s="1">
        <v>0</v>
      </c>
      <c r="L116" s="1">
        <v>0</v>
      </c>
      <c r="M116" s="1">
        <v>100</v>
      </c>
      <c r="N116" s="1">
        <v>0</v>
      </c>
      <c r="O116" s="1">
        <v>0</v>
      </c>
      <c r="P116" s="1">
        <v>0</v>
      </c>
      <c r="Q116" s="1">
        <f t="shared" si="0"/>
        <v>16</v>
      </c>
    </row>
    <row r="117" spans="1:17" ht="12.5">
      <c r="A117" s="1" t="s">
        <v>223</v>
      </c>
      <c r="B117" s="1" t="s">
        <v>74</v>
      </c>
      <c r="C117" s="1">
        <v>8737.3701170000004</v>
      </c>
      <c r="D117" s="1">
        <v>56.445999149999999</v>
      </c>
      <c r="E117" s="1">
        <v>95.29552932</v>
      </c>
      <c r="F117" s="1">
        <v>4.244199279</v>
      </c>
      <c r="G117" s="1">
        <v>0.44372047780000001</v>
      </c>
      <c r="H117" s="1">
        <v>1.6550926470000001E-2</v>
      </c>
      <c r="I117" s="1">
        <v>95.844974750000006</v>
      </c>
      <c r="J117" s="1">
        <v>3.545864028</v>
      </c>
      <c r="K117" s="1">
        <v>0.57116028659999996</v>
      </c>
      <c r="L117" s="1">
        <v>3.8000931410000001E-2</v>
      </c>
      <c r="M117" s="1">
        <v>94.871569890000004</v>
      </c>
      <c r="N117" s="1">
        <v>4.7830378649999998</v>
      </c>
      <c r="O117" s="1">
        <v>0.3453922445</v>
      </c>
      <c r="P117" s="1">
        <v>0</v>
      </c>
      <c r="Q117" s="1">
        <f t="shared" si="0"/>
        <v>16</v>
      </c>
    </row>
    <row r="118" spans="1:17" ht="12.5">
      <c r="A118" s="1" t="s">
        <v>225</v>
      </c>
      <c r="B118" s="1" t="s">
        <v>107</v>
      </c>
      <c r="C118" s="1">
        <v>8947.0273440000001</v>
      </c>
      <c r="D118" s="1">
        <v>13.34500027</v>
      </c>
      <c r="E118" s="1">
        <v>45.344017520000001</v>
      </c>
      <c r="F118" s="1">
        <v>2.128564452</v>
      </c>
      <c r="G118" s="1">
        <v>22.157624949999999</v>
      </c>
      <c r="H118" s="1">
        <v>30.369793080000001</v>
      </c>
      <c r="I118" s="1">
        <v>39.071343669999997</v>
      </c>
      <c r="J118" s="1">
        <v>2.4298502929999999</v>
      </c>
      <c r="K118" s="1">
        <v>24.431800859999999</v>
      </c>
      <c r="L118" s="1">
        <v>34.067005170000002</v>
      </c>
      <c r="M118" s="1">
        <v>86.075271639999997</v>
      </c>
      <c r="N118" s="1">
        <v>0.17218226079999999</v>
      </c>
      <c r="O118" s="1">
        <v>7.3903855639999998</v>
      </c>
      <c r="P118" s="1">
        <v>6.3621605319999999</v>
      </c>
      <c r="Q118" s="1">
        <f t="shared" si="0"/>
        <v>16</v>
      </c>
    </row>
    <row r="119" spans="1:17" ht="12.5">
      <c r="A119" s="1" t="s">
        <v>215</v>
      </c>
      <c r="B119" s="1" t="s">
        <v>69</v>
      </c>
      <c r="C119" s="1">
        <v>9006.4003909999992</v>
      </c>
      <c r="D119" s="1">
        <v>58.748001100000003</v>
      </c>
      <c r="E119" s="1">
        <v>100</v>
      </c>
      <c r="F119" s="1">
        <v>0</v>
      </c>
      <c r="G119" s="1">
        <v>0</v>
      </c>
      <c r="H119" s="1">
        <v>0</v>
      </c>
      <c r="I119" s="1">
        <v>100</v>
      </c>
      <c r="J119" s="1">
        <v>0</v>
      </c>
      <c r="K119" s="1">
        <v>0</v>
      </c>
      <c r="L119" s="1">
        <v>0</v>
      </c>
      <c r="M119" s="1">
        <v>100</v>
      </c>
      <c r="N119" s="1">
        <v>0</v>
      </c>
      <c r="O119" s="1">
        <v>0</v>
      </c>
      <c r="P119" s="1">
        <v>0</v>
      </c>
      <c r="Q119" s="1">
        <f t="shared" si="0"/>
        <v>16</v>
      </c>
    </row>
    <row r="120" spans="1:17" ht="12.5">
      <c r="A120" s="1" t="s">
        <v>150</v>
      </c>
      <c r="B120" s="1" t="s">
        <v>74</v>
      </c>
      <c r="C120" s="1">
        <v>9449.3212889999995</v>
      </c>
      <c r="D120" s="1">
        <v>79.483001709999996</v>
      </c>
      <c r="E120" s="1">
        <v>96.534726079999999</v>
      </c>
      <c r="F120" s="1">
        <v>3.3721195499999999</v>
      </c>
      <c r="G120" s="1">
        <v>9.3154368370000004E-2</v>
      </c>
      <c r="H120" s="1">
        <v>0</v>
      </c>
      <c r="I120" s="1">
        <v>98.564122310000002</v>
      </c>
      <c r="J120" s="1">
        <v>0.9955971951</v>
      </c>
      <c r="K120" s="1">
        <v>0.4402804931</v>
      </c>
      <c r="L120" s="1">
        <v>0</v>
      </c>
      <c r="M120" s="1">
        <v>96.010873619999998</v>
      </c>
      <c r="N120" s="1">
        <v>3.9855726439999999</v>
      </c>
      <c r="O120" s="1">
        <v>3.5537319770000001E-3</v>
      </c>
      <c r="P120" s="1">
        <v>0</v>
      </c>
      <c r="Q120" s="1">
        <f t="shared" si="0"/>
        <v>16</v>
      </c>
    </row>
    <row r="121" spans="1:17" ht="12.5">
      <c r="A121" s="1" t="s">
        <v>227</v>
      </c>
      <c r="B121" s="1" t="s">
        <v>107</v>
      </c>
      <c r="C121" s="1">
        <v>9537.6416019999997</v>
      </c>
      <c r="D121" s="1">
        <v>27.505998609999999</v>
      </c>
      <c r="E121" s="1">
        <v>81.852415019999995</v>
      </c>
      <c r="F121" s="1">
        <v>2.5683639349999998</v>
      </c>
      <c r="G121" s="1">
        <v>3.4218570050000001</v>
      </c>
      <c r="H121" s="1">
        <v>12.157364039999999</v>
      </c>
      <c r="I121" s="1">
        <v>76.643599199999997</v>
      </c>
      <c r="J121" s="1">
        <v>3.2071439279999998</v>
      </c>
      <c r="K121" s="1">
        <v>4.1407069480000001</v>
      </c>
      <c r="L121" s="1">
        <v>16.00854992</v>
      </c>
      <c r="M121" s="1">
        <v>95.580623860000003</v>
      </c>
      <c r="N121" s="1">
        <v>0.88481447629999999</v>
      </c>
      <c r="O121" s="1">
        <v>1.5272683229999999</v>
      </c>
      <c r="P121" s="1">
        <v>2.0072933389999998</v>
      </c>
      <c r="Q121" s="1">
        <f t="shared" si="0"/>
        <v>16</v>
      </c>
    </row>
    <row r="122" spans="1:17" ht="12.5">
      <c r="A122" s="1" t="s">
        <v>179</v>
      </c>
      <c r="B122" s="1" t="s">
        <v>69</v>
      </c>
      <c r="C122" s="1">
        <v>9660.3496090000008</v>
      </c>
      <c r="D122" s="1">
        <v>71.942001340000004</v>
      </c>
      <c r="E122" s="1">
        <v>99.999997469999997</v>
      </c>
      <c r="F122" s="1">
        <v>0</v>
      </c>
      <c r="G122" s="1">
        <v>2.5272441919999999E-6</v>
      </c>
      <c r="H122" s="1">
        <v>0</v>
      </c>
      <c r="I122" s="1">
        <v>100</v>
      </c>
      <c r="J122" s="1">
        <v>0</v>
      </c>
      <c r="K122" s="1">
        <v>0</v>
      </c>
      <c r="L122" s="1">
        <v>0</v>
      </c>
      <c r="M122" s="1">
        <v>100</v>
      </c>
      <c r="N122" s="1">
        <v>0</v>
      </c>
      <c r="O122" s="1">
        <v>0</v>
      </c>
      <c r="P122" s="1">
        <v>0</v>
      </c>
      <c r="Q122" s="1">
        <f t="shared" si="0"/>
        <v>16</v>
      </c>
    </row>
    <row r="123" spans="1:17" ht="12.5">
      <c r="A123" s="1" t="s">
        <v>118</v>
      </c>
      <c r="B123" s="1" t="s">
        <v>69</v>
      </c>
      <c r="C123" s="1">
        <v>9890.4003909999992</v>
      </c>
      <c r="D123" s="1">
        <v>87.047996519999998</v>
      </c>
      <c r="E123" s="1">
        <v>99.965596000000005</v>
      </c>
      <c r="F123" s="1">
        <v>0</v>
      </c>
      <c r="G123" s="1">
        <v>3.4403999999999997E-2</v>
      </c>
      <c r="H123" s="1">
        <v>0</v>
      </c>
      <c r="I123" s="1" t="s">
        <v>29</v>
      </c>
      <c r="J123" s="1" t="s">
        <v>29</v>
      </c>
      <c r="K123" s="1" t="s">
        <v>29</v>
      </c>
      <c r="L123" s="1" t="s">
        <v>29</v>
      </c>
      <c r="M123" s="1" t="s">
        <v>29</v>
      </c>
      <c r="N123" s="1" t="s">
        <v>29</v>
      </c>
      <c r="O123" s="1" t="s">
        <v>29</v>
      </c>
      <c r="P123" s="1" t="s">
        <v>29</v>
      </c>
      <c r="Q123" s="1">
        <f t="shared" si="0"/>
        <v>16</v>
      </c>
    </row>
    <row r="124" spans="1:17" ht="12.5">
      <c r="A124" s="1" t="s">
        <v>217</v>
      </c>
      <c r="B124" s="1" t="s">
        <v>107</v>
      </c>
      <c r="C124" s="1">
        <v>9904.6083980000003</v>
      </c>
      <c r="D124" s="1">
        <v>58.358997340000002</v>
      </c>
      <c r="E124" s="1">
        <v>95.689221130000007</v>
      </c>
      <c r="F124" s="1">
        <v>0.4256206085</v>
      </c>
      <c r="G124" s="1">
        <v>3.8851582640000002</v>
      </c>
      <c r="H124" s="1">
        <v>0</v>
      </c>
      <c r="I124" s="1">
        <v>89.875799549999996</v>
      </c>
      <c r="J124" s="1">
        <v>0.80670950789999996</v>
      </c>
      <c r="K124" s="1">
        <v>9.3174909459999995</v>
      </c>
      <c r="L124" s="1">
        <v>0</v>
      </c>
      <c r="M124" s="1">
        <v>99.837282810000005</v>
      </c>
      <c r="N124" s="1">
        <v>0.15370152619999999</v>
      </c>
      <c r="O124" s="1">
        <v>9.0156632960000007E-3</v>
      </c>
      <c r="P124" s="1">
        <v>0</v>
      </c>
      <c r="Q124" s="1">
        <f t="shared" si="0"/>
        <v>16</v>
      </c>
    </row>
    <row r="125" spans="1:17" ht="12.5">
      <c r="A125" s="1" t="s">
        <v>109</v>
      </c>
      <c r="B125" s="1" t="s">
        <v>69</v>
      </c>
      <c r="C125" s="1">
        <v>10099.26953</v>
      </c>
      <c r="D125" s="1">
        <v>87.97699738</v>
      </c>
      <c r="E125" s="1">
        <v>99.826867629999995</v>
      </c>
      <c r="F125" s="1">
        <v>0</v>
      </c>
      <c r="G125" s="1">
        <v>0.17313237349999999</v>
      </c>
      <c r="H125" s="1">
        <v>0</v>
      </c>
      <c r="I125" s="1">
        <v>99.719374740000006</v>
      </c>
      <c r="J125" s="1">
        <v>0</v>
      </c>
      <c r="K125" s="1">
        <v>0.28062526259999998</v>
      </c>
      <c r="L125" s="1">
        <v>0</v>
      </c>
      <c r="M125" s="1">
        <v>99.841557679999994</v>
      </c>
      <c r="N125" s="1">
        <v>0</v>
      </c>
      <c r="O125" s="1">
        <v>0.1584423157</v>
      </c>
      <c r="P125" s="1">
        <v>0</v>
      </c>
      <c r="Q125" s="1">
        <f t="shared" si="0"/>
        <v>16</v>
      </c>
    </row>
    <row r="126" spans="1:17" ht="12.5">
      <c r="A126" s="1" t="s">
        <v>228</v>
      </c>
      <c r="B126" s="1" t="s">
        <v>74</v>
      </c>
      <c r="C126" s="1">
        <v>10139.174800000001</v>
      </c>
      <c r="D126" s="1">
        <v>56.397003169999998</v>
      </c>
      <c r="E126" s="1">
        <v>96.043376129999999</v>
      </c>
      <c r="F126" s="1">
        <v>1.04278118</v>
      </c>
      <c r="G126" s="1">
        <v>2.9138426879999999</v>
      </c>
      <c r="H126" s="1">
        <v>0</v>
      </c>
      <c r="I126" s="1">
        <v>90.925797950000003</v>
      </c>
      <c r="J126" s="1">
        <v>2.3915356710000002</v>
      </c>
      <c r="K126" s="1">
        <v>6.6826663770000003</v>
      </c>
      <c r="L126" s="1">
        <v>0</v>
      </c>
      <c r="M126" s="1">
        <v>100</v>
      </c>
      <c r="N126" s="1">
        <v>0</v>
      </c>
      <c r="O126" s="1">
        <v>0</v>
      </c>
      <c r="P126" s="1">
        <v>0</v>
      </c>
      <c r="Q126" s="1">
        <f t="shared" si="0"/>
        <v>16</v>
      </c>
    </row>
    <row r="127" spans="1:17" ht="12.5">
      <c r="A127" s="1" t="s">
        <v>204</v>
      </c>
      <c r="B127" s="1" t="s">
        <v>69</v>
      </c>
      <c r="C127" s="1">
        <v>10196.70703</v>
      </c>
      <c r="D127" s="1">
        <v>66.309997559999999</v>
      </c>
      <c r="E127" s="1">
        <v>99.911993670000001</v>
      </c>
      <c r="F127" s="1">
        <v>0</v>
      </c>
      <c r="G127" s="1">
        <v>8.8006333689999994E-2</v>
      </c>
      <c r="H127" s="1">
        <v>0</v>
      </c>
      <c r="I127" s="1">
        <v>99.738776090000002</v>
      </c>
      <c r="J127" s="1">
        <v>0</v>
      </c>
      <c r="K127" s="1">
        <v>0.26122391220000002</v>
      </c>
      <c r="L127" s="1">
        <v>0</v>
      </c>
      <c r="M127" s="1">
        <v>100</v>
      </c>
      <c r="N127" s="1">
        <v>0</v>
      </c>
      <c r="O127" s="1">
        <v>0</v>
      </c>
      <c r="P127" s="1">
        <v>0</v>
      </c>
      <c r="Q127" s="1">
        <f t="shared" si="0"/>
        <v>16</v>
      </c>
    </row>
    <row r="128" spans="1:17" ht="12.5">
      <c r="A128" s="1" t="s">
        <v>98</v>
      </c>
      <c r="B128" s="1" t="s">
        <v>74</v>
      </c>
      <c r="C128" s="1">
        <v>10203.139649999999</v>
      </c>
      <c r="D128" s="1">
        <v>91.417999269999996</v>
      </c>
      <c r="E128" s="1">
        <v>98.940302959999997</v>
      </c>
      <c r="F128" s="1">
        <v>0.1462147369</v>
      </c>
      <c r="G128" s="1">
        <v>0.8536474704</v>
      </c>
      <c r="H128" s="1">
        <v>5.9834831790000001E-2</v>
      </c>
      <c r="I128" s="1">
        <v>97.311478690000001</v>
      </c>
      <c r="J128" s="1">
        <v>0.62394659450000001</v>
      </c>
      <c r="K128" s="1">
        <v>2.0247147160000001</v>
      </c>
      <c r="L128" s="1">
        <v>3.986E-2</v>
      </c>
      <c r="M128" s="1">
        <v>99.093212589999993</v>
      </c>
      <c r="N128" s="1">
        <v>0.1013669408</v>
      </c>
      <c r="O128" s="1">
        <v>0.74371047069999996</v>
      </c>
      <c r="P128" s="1">
        <v>6.1710000000000001E-2</v>
      </c>
      <c r="Q128" s="1">
        <f t="shared" si="0"/>
        <v>16</v>
      </c>
    </row>
    <row r="129" spans="1:17" ht="12.5">
      <c r="A129" s="1" t="s">
        <v>147</v>
      </c>
      <c r="B129" s="1" t="s">
        <v>69</v>
      </c>
      <c r="C129" s="1">
        <v>10423.05566</v>
      </c>
      <c r="D129" s="1">
        <v>79.715003969999998</v>
      </c>
      <c r="E129" s="1">
        <v>100.00000230000001</v>
      </c>
      <c r="F129" s="1">
        <v>0</v>
      </c>
      <c r="G129" s="1">
        <v>0</v>
      </c>
      <c r="H129" s="1">
        <v>0</v>
      </c>
      <c r="I129" s="1">
        <v>100</v>
      </c>
      <c r="J129" s="1">
        <v>0</v>
      </c>
      <c r="K129" s="1">
        <v>0</v>
      </c>
      <c r="L129" s="1">
        <v>0</v>
      </c>
      <c r="M129" s="1">
        <v>100</v>
      </c>
      <c r="N129" s="1">
        <v>0</v>
      </c>
      <c r="O129" s="1">
        <v>0</v>
      </c>
      <c r="P129" s="1">
        <v>0</v>
      </c>
      <c r="Q129" s="1">
        <f t="shared" si="0"/>
        <v>16</v>
      </c>
    </row>
    <row r="130" spans="1:17" ht="12.5">
      <c r="A130" s="1" t="s">
        <v>173</v>
      </c>
      <c r="B130" s="1" t="s">
        <v>69</v>
      </c>
      <c r="C130" s="1">
        <v>10708.98242</v>
      </c>
      <c r="D130" s="1">
        <v>74.061004639999993</v>
      </c>
      <c r="E130" s="1">
        <v>99.880591670000001</v>
      </c>
      <c r="F130" s="1">
        <v>0</v>
      </c>
      <c r="G130" s="1">
        <v>0.11940833250000001</v>
      </c>
      <c r="H130" s="1">
        <v>0</v>
      </c>
      <c r="I130" s="1">
        <v>99.817599299999998</v>
      </c>
      <c r="J130" s="1">
        <v>0</v>
      </c>
      <c r="K130" s="1">
        <v>0.18240069649999999</v>
      </c>
      <c r="L130" s="1">
        <v>0</v>
      </c>
      <c r="M130" s="1">
        <v>99.902650929999993</v>
      </c>
      <c r="N130" s="1">
        <v>0</v>
      </c>
      <c r="O130" s="1">
        <v>9.7349067900000003E-2</v>
      </c>
      <c r="P130" s="1">
        <v>0</v>
      </c>
      <c r="Q130" s="1">
        <f t="shared" si="0"/>
        <v>16</v>
      </c>
    </row>
    <row r="131" spans="1:17" ht="12.5">
      <c r="A131" s="1" t="s">
        <v>131</v>
      </c>
      <c r="B131" s="1" t="s">
        <v>74</v>
      </c>
      <c r="C131" s="1">
        <v>10847.9043</v>
      </c>
      <c r="D131" s="1">
        <v>82.540000919999997</v>
      </c>
      <c r="E131" s="1">
        <v>96.686811919999997</v>
      </c>
      <c r="F131" s="1">
        <v>0.46703865039999998</v>
      </c>
      <c r="G131" s="1">
        <v>1.2694287829999999</v>
      </c>
      <c r="H131" s="1">
        <v>1.5767206439999999</v>
      </c>
      <c r="I131" s="1">
        <v>90.304464370000005</v>
      </c>
      <c r="J131" s="1">
        <v>1.3853155079999999</v>
      </c>
      <c r="K131" s="1">
        <v>1.1151181269999999</v>
      </c>
      <c r="L131" s="1">
        <v>7.1951019909999996</v>
      </c>
      <c r="M131" s="1">
        <v>98.036891580000002</v>
      </c>
      <c r="N131" s="1">
        <v>0.27279203590000001</v>
      </c>
      <c r="O131" s="1">
        <v>1.3020733959999999</v>
      </c>
      <c r="P131" s="1">
        <v>0.38824299220000003</v>
      </c>
      <c r="Q131" s="1">
        <f t="shared" si="0"/>
        <v>16</v>
      </c>
    </row>
    <row r="132" spans="1:17" ht="12.5">
      <c r="A132" s="1" t="s">
        <v>231</v>
      </c>
      <c r="B132" s="1" t="s">
        <v>170</v>
      </c>
      <c r="C132" s="1">
        <v>11193.728520000001</v>
      </c>
      <c r="D132" s="1">
        <v>20.198999400000002</v>
      </c>
      <c r="E132" s="1">
        <v>40.95092717</v>
      </c>
      <c r="F132" s="1">
        <v>37.426962869999997</v>
      </c>
      <c r="G132" s="1">
        <v>13.537555190000001</v>
      </c>
      <c r="H132" s="1">
        <v>8.0845547619999998</v>
      </c>
      <c r="I132" s="1">
        <v>33.593628809999998</v>
      </c>
      <c r="J132" s="1">
        <v>42.164380680000001</v>
      </c>
      <c r="K132" s="1">
        <v>14.111096160000001</v>
      </c>
      <c r="L132" s="1">
        <v>10.13089435</v>
      </c>
      <c r="M132" s="1">
        <v>70.017704449999997</v>
      </c>
      <c r="N132" s="1">
        <v>18.710660919999999</v>
      </c>
      <c r="O132" s="1">
        <v>11.27163464</v>
      </c>
      <c r="P132" s="1">
        <v>0</v>
      </c>
      <c r="Q132" s="1">
        <f t="shared" si="0"/>
        <v>16</v>
      </c>
    </row>
    <row r="133" spans="1:17" ht="12.5">
      <c r="A133" s="1" t="s">
        <v>157</v>
      </c>
      <c r="B133" s="1" t="s">
        <v>74</v>
      </c>
      <c r="C133" s="1">
        <v>11326.61621</v>
      </c>
      <c r="D133" s="1">
        <v>77.194000239999994</v>
      </c>
      <c r="E133" s="1">
        <v>97.002696159999999</v>
      </c>
      <c r="F133" s="1">
        <v>1.471384542</v>
      </c>
      <c r="G133" s="1">
        <v>1.252811506</v>
      </c>
      <c r="H133" s="1">
        <v>0.27310779629999998</v>
      </c>
      <c r="I133" s="1">
        <v>94.386651139999998</v>
      </c>
      <c r="J133" s="1">
        <v>2.591752445</v>
      </c>
      <c r="K133" s="1">
        <v>1.9059729350000001</v>
      </c>
      <c r="L133" s="1">
        <v>1.115623477</v>
      </c>
      <c r="M133" s="1">
        <v>97.775576639999997</v>
      </c>
      <c r="N133" s="1">
        <v>1.1403859000000001</v>
      </c>
      <c r="O133" s="1">
        <v>1.059840374</v>
      </c>
      <c r="P133" s="1">
        <v>2.4197084109999999E-2</v>
      </c>
      <c r="Q133" s="1">
        <f t="shared" si="0"/>
        <v>16</v>
      </c>
    </row>
    <row r="134" spans="1:17" ht="12.5">
      <c r="A134" s="1" t="s">
        <v>222</v>
      </c>
      <c r="B134" s="1" t="s">
        <v>107</v>
      </c>
      <c r="C134" s="1">
        <v>11402.5332</v>
      </c>
      <c r="D134" s="1">
        <v>57.087997440000002</v>
      </c>
      <c r="E134" s="1">
        <v>66.695308400000002</v>
      </c>
      <c r="F134" s="1">
        <v>9.8145436519999993</v>
      </c>
      <c r="G134" s="1">
        <v>23.490147950000001</v>
      </c>
      <c r="H134" s="1">
        <v>0</v>
      </c>
      <c r="I134" s="1">
        <v>42.845700100000002</v>
      </c>
      <c r="J134" s="1">
        <v>13.25598695</v>
      </c>
      <c r="K134" s="1">
        <v>43.898312949999998</v>
      </c>
      <c r="L134" s="1">
        <v>0</v>
      </c>
      <c r="M134" s="1">
        <v>84.622621289999998</v>
      </c>
      <c r="N134" s="1">
        <v>7.2276738790000001</v>
      </c>
      <c r="O134" s="1">
        <v>8.1497048349999996</v>
      </c>
      <c r="P134" s="1">
        <v>0</v>
      </c>
      <c r="Q134" s="1">
        <f t="shared" si="0"/>
        <v>16</v>
      </c>
    </row>
    <row r="135" spans="1:17" ht="12.5">
      <c r="A135" s="1" t="s">
        <v>77</v>
      </c>
      <c r="B135" s="1" t="s">
        <v>69</v>
      </c>
      <c r="C135" s="1">
        <v>11589.61621</v>
      </c>
      <c r="D135" s="1">
        <v>98.078994750000007</v>
      </c>
      <c r="E135" s="1">
        <v>99.999996449999998</v>
      </c>
      <c r="F135" s="1">
        <v>0</v>
      </c>
      <c r="G135" s="1">
        <v>3.5547967910000002E-6</v>
      </c>
      <c r="H135" s="1">
        <v>0</v>
      </c>
      <c r="I135" s="1">
        <v>100</v>
      </c>
      <c r="J135" s="1">
        <v>0</v>
      </c>
      <c r="K135" s="1">
        <v>0</v>
      </c>
      <c r="L135" s="1">
        <v>0</v>
      </c>
      <c r="M135" s="1">
        <v>100</v>
      </c>
      <c r="N135" s="1">
        <v>0</v>
      </c>
      <c r="O135" s="1">
        <v>0</v>
      </c>
      <c r="P135" s="1">
        <v>0</v>
      </c>
      <c r="Q135" s="1">
        <f t="shared" si="0"/>
        <v>16</v>
      </c>
    </row>
    <row r="136" spans="1:17" ht="12.5">
      <c r="A136" s="1" t="s">
        <v>186</v>
      </c>
      <c r="B136" s="1" t="s">
        <v>107</v>
      </c>
      <c r="C136" s="1">
        <v>11673.0293</v>
      </c>
      <c r="D136" s="1">
        <v>70.123001099999996</v>
      </c>
      <c r="E136" s="1">
        <v>93.390071629999994</v>
      </c>
      <c r="F136" s="1">
        <v>0.13659052960000001</v>
      </c>
      <c r="G136" s="1">
        <v>1.575010843</v>
      </c>
      <c r="H136" s="1">
        <v>4.8983269969999998</v>
      </c>
      <c r="I136" s="1">
        <v>79.936642829999997</v>
      </c>
      <c r="J136" s="1">
        <v>0.24473640820000001</v>
      </c>
      <c r="K136" s="1">
        <v>3.9541336930000002</v>
      </c>
      <c r="L136" s="1">
        <v>15.864487069999999</v>
      </c>
      <c r="M136" s="1">
        <v>99.122118319999998</v>
      </c>
      <c r="N136" s="1">
        <v>9.0513289469999994E-2</v>
      </c>
      <c r="O136" s="1">
        <v>0.56134538079999996</v>
      </c>
      <c r="P136" s="1">
        <v>0.22602301120000001</v>
      </c>
      <c r="Q136" s="1">
        <f t="shared" si="0"/>
        <v>16</v>
      </c>
    </row>
    <row r="137" spans="1:17" ht="12.5">
      <c r="A137" s="1" t="s">
        <v>187</v>
      </c>
      <c r="B137" s="1" t="s">
        <v>107</v>
      </c>
      <c r="C137" s="1">
        <v>11818.61816</v>
      </c>
      <c r="D137" s="1">
        <v>69.568000789999999</v>
      </c>
      <c r="E137" s="1">
        <v>97.54330899</v>
      </c>
      <c r="F137" s="1">
        <v>1.63135067</v>
      </c>
      <c r="G137" s="1">
        <v>0.82534033780000005</v>
      </c>
      <c r="H137" s="1">
        <v>0</v>
      </c>
      <c r="I137" s="1">
        <v>93.936231930000005</v>
      </c>
      <c r="J137" s="1">
        <v>3.3516873569999999</v>
      </c>
      <c r="K137" s="1">
        <v>2.71208071</v>
      </c>
      <c r="L137" s="1">
        <v>0</v>
      </c>
      <c r="M137" s="1">
        <v>99.121197629999998</v>
      </c>
      <c r="N137" s="1">
        <v>0.87880236840000003</v>
      </c>
      <c r="O137" s="1">
        <v>0</v>
      </c>
      <c r="P137" s="1">
        <v>0</v>
      </c>
      <c r="Q137" s="1">
        <f t="shared" si="0"/>
        <v>16</v>
      </c>
    </row>
    <row r="138" spans="1:17" ht="12.5">
      <c r="A138" s="1" t="s">
        <v>236</v>
      </c>
      <c r="B138" s="1" t="s">
        <v>170</v>
      </c>
      <c r="C138" s="1">
        <v>11890.78125</v>
      </c>
      <c r="D138" s="1">
        <v>13.708000180000001</v>
      </c>
      <c r="E138" s="1">
        <v>62.207122249999998</v>
      </c>
      <c r="F138" s="1">
        <v>19.439693139999999</v>
      </c>
      <c r="G138" s="1">
        <v>14.758259689999999</v>
      </c>
      <c r="H138" s="1">
        <v>3.5949249129999998</v>
      </c>
      <c r="I138" s="1">
        <v>57.685765269999997</v>
      </c>
      <c r="J138" s="1">
        <v>21.251482129999999</v>
      </c>
      <c r="K138" s="1">
        <v>16.896752379999999</v>
      </c>
      <c r="L138" s="1">
        <v>4.1660002189999998</v>
      </c>
      <c r="M138" s="1">
        <v>90.669110860000004</v>
      </c>
      <c r="N138" s="1">
        <v>8.0344628690000004</v>
      </c>
      <c r="O138" s="1">
        <v>1.2964262689999999</v>
      </c>
      <c r="P138" s="1">
        <v>0</v>
      </c>
      <c r="Q138" s="1">
        <f t="shared" si="0"/>
        <v>16</v>
      </c>
    </row>
    <row r="139" spans="1:17" ht="12.5">
      <c r="A139" s="1" t="s">
        <v>238</v>
      </c>
      <c r="B139" s="1" t="s">
        <v>107</v>
      </c>
      <c r="C139" s="1">
        <v>12123.19824</v>
      </c>
      <c r="D139" s="1">
        <v>48.414997100000001</v>
      </c>
      <c r="E139" s="1">
        <v>65.414122989999996</v>
      </c>
      <c r="F139" s="1">
        <v>9.317535586</v>
      </c>
      <c r="G139" s="1">
        <v>21.97254088</v>
      </c>
      <c r="H139" s="1">
        <v>3.2958005469999998</v>
      </c>
      <c r="I139" s="1">
        <v>58.052267989999997</v>
      </c>
      <c r="J139" s="1">
        <v>12.705205039999999</v>
      </c>
      <c r="K139" s="1">
        <v>23.977968329999999</v>
      </c>
      <c r="L139" s="1">
        <v>5.2645586340000001</v>
      </c>
      <c r="M139" s="1">
        <v>73.258000039999999</v>
      </c>
      <c r="N139" s="1">
        <v>5.7080563529999999</v>
      </c>
      <c r="O139" s="1">
        <v>19.835806810000001</v>
      </c>
      <c r="P139" s="1">
        <v>1.1981367940000001</v>
      </c>
      <c r="Q139" s="1">
        <f t="shared" si="0"/>
        <v>16</v>
      </c>
    </row>
    <row r="140" spans="1:17" ht="12.5">
      <c r="A140" s="1" t="s">
        <v>239</v>
      </c>
      <c r="B140" s="1" t="s">
        <v>170</v>
      </c>
      <c r="C140" s="1">
        <v>12952.208979999999</v>
      </c>
      <c r="D140" s="1">
        <v>17.432001110000002</v>
      </c>
      <c r="E140" s="1">
        <v>60.41450115</v>
      </c>
      <c r="F140" s="1">
        <v>22.3207193</v>
      </c>
      <c r="G140" s="1">
        <v>13.15480415</v>
      </c>
      <c r="H140" s="1">
        <v>4.1099754009999998</v>
      </c>
      <c r="I140" s="1">
        <v>55.642468229999999</v>
      </c>
      <c r="J140" s="1">
        <v>25.08014133</v>
      </c>
      <c r="K140" s="1">
        <v>14.778867719999999</v>
      </c>
      <c r="L140" s="1">
        <v>4.4985227139999999</v>
      </c>
      <c r="M140" s="1">
        <v>83.017599300000001</v>
      </c>
      <c r="N140" s="1">
        <v>9.2505062509999991</v>
      </c>
      <c r="O140" s="1">
        <v>5.4623030569999997</v>
      </c>
      <c r="P140" s="1">
        <v>2.2695913939999999</v>
      </c>
      <c r="Q140" s="1">
        <f t="shared" si="0"/>
        <v>16</v>
      </c>
    </row>
    <row r="141" spans="1:17" ht="12.5">
      <c r="A141" s="1" t="s">
        <v>240</v>
      </c>
      <c r="B141" s="1" t="s">
        <v>170</v>
      </c>
      <c r="C141" s="1">
        <v>13132.79199</v>
      </c>
      <c r="D141" s="1">
        <v>36.875</v>
      </c>
      <c r="E141" s="1">
        <v>63.961788740000003</v>
      </c>
      <c r="F141" s="1">
        <v>21.281591500000001</v>
      </c>
      <c r="G141" s="1">
        <v>6.2961194059999999</v>
      </c>
      <c r="H141" s="1">
        <v>8.4605003540000006</v>
      </c>
      <c r="I141" s="1">
        <v>50.74817899</v>
      </c>
      <c r="J141" s="1">
        <v>26.14432944</v>
      </c>
      <c r="K141" s="1">
        <v>9.7047191430000002</v>
      </c>
      <c r="L141" s="1">
        <v>13.402772430000001</v>
      </c>
      <c r="M141" s="1">
        <v>86.581690069999993</v>
      </c>
      <c r="N141" s="1">
        <v>12.957241529999999</v>
      </c>
      <c r="O141" s="1">
        <v>0.46106839799999999</v>
      </c>
      <c r="P141" s="1">
        <v>0</v>
      </c>
      <c r="Q141" s="1">
        <f t="shared" si="0"/>
        <v>16</v>
      </c>
    </row>
    <row r="142" spans="1:17" ht="12.5">
      <c r="A142" s="1" t="s">
        <v>241</v>
      </c>
      <c r="B142" s="1" t="s">
        <v>107</v>
      </c>
      <c r="C142" s="1">
        <v>14862.92676</v>
      </c>
      <c r="D142" s="1">
        <v>32.242000580000003</v>
      </c>
      <c r="E142" s="1">
        <v>62.666457610000002</v>
      </c>
      <c r="F142" s="1">
        <v>14.1975397</v>
      </c>
      <c r="G142" s="1">
        <v>16.277855450000001</v>
      </c>
      <c r="H142" s="1">
        <v>6.8581472420000003</v>
      </c>
      <c r="I142" s="1">
        <v>48.282428850000002</v>
      </c>
      <c r="J142" s="1">
        <v>18.590984670000001</v>
      </c>
      <c r="K142" s="1">
        <v>23.013646550000001</v>
      </c>
      <c r="L142" s="1">
        <v>10.112939920000001</v>
      </c>
      <c r="M142" s="1">
        <v>92.89512895</v>
      </c>
      <c r="N142" s="1">
        <v>4.9645177570000003</v>
      </c>
      <c r="O142" s="1">
        <v>2.1222986740000001</v>
      </c>
      <c r="P142" s="1">
        <v>1.805461538E-2</v>
      </c>
      <c r="Q142" s="1">
        <f t="shared" si="0"/>
        <v>16</v>
      </c>
    </row>
    <row r="143" spans="1:17" ht="12.5">
      <c r="A143" s="1" t="s">
        <v>242</v>
      </c>
      <c r="B143" s="1" t="s">
        <v>170</v>
      </c>
      <c r="C143" s="1">
        <v>15893.21875</v>
      </c>
      <c r="D143" s="1">
        <v>46.140998840000002</v>
      </c>
      <c r="E143" s="1">
        <v>56.476973389999998</v>
      </c>
      <c r="F143" s="1">
        <v>27.704199559999999</v>
      </c>
      <c r="G143" s="1">
        <v>13.41704303</v>
      </c>
      <c r="H143" s="1">
        <v>2.4017840210000001</v>
      </c>
      <c r="I143" s="1">
        <v>37.075862819999998</v>
      </c>
      <c r="J143" s="1">
        <v>36.643249580000003</v>
      </c>
      <c r="K143" s="1">
        <v>21.821495460000001</v>
      </c>
      <c r="L143" s="1">
        <v>4.4593921429999996</v>
      </c>
      <c r="M143" s="1">
        <v>79.123305740000006</v>
      </c>
      <c r="N143" s="1">
        <v>17.269915560000001</v>
      </c>
      <c r="O143" s="1">
        <v>3.6067787029999998</v>
      </c>
      <c r="P143" s="1">
        <v>0</v>
      </c>
      <c r="Q143" s="1">
        <f t="shared" si="0"/>
        <v>16</v>
      </c>
    </row>
    <row r="144" spans="1:17" ht="12.5">
      <c r="A144" s="1" t="s">
        <v>244</v>
      </c>
      <c r="B144" s="1" t="s">
        <v>170</v>
      </c>
      <c r="C144" s="1">
        <v>16425.859380000002</v>
      </c>
      <c r="D144" s="1">
        <v>23.520000459999999</v>
      </c>
      <c r="E144" s="1">
        <v>46.187534790000001</v>
      </c>
      <c r="F144" s="1">
        <v>14.74028929</v>
      </c>
      <c r="G144" s="1">
        <v>31.562457139999999</v>
      </c>
      <c r="H144" s="1">
        <v>7.5097187840000004</v>
      </c>
      <c r="I144" s="1">
        <v>37.575215249999999</v>
      </c>
      <c r="J144" s="1">
        <v>14.35396111</v>
      </c>
      <c r="K144" s="1">
        <v>38.524967609999997</v>
      </c>
      <c r="L144" s="1">
        <v>9.5458560269999992</v>
      </c>
      <c r="M144" s="1">
        <v>74.192223089999999</v>
      </c>
      <c r="N144" s="1">
        <v>15.99651381</v>
      </c>
      <c r="O144" s="1">
        <v>8.9224527210000009</v>
      </c>
      <c r="P144" s="1">
        <v>0.88881038430000003</v>
      </c>
      <c r="Q144" s="1">
        <f t="shared" si="0"/>
        <v>16</v>
      </c>
    </row>
    <row r="145" spans="1:17" ht="12.5">
      <c r="A145" s="1" t="s">
        <v>246</v>
      </c>
      <c r="B145" s="1" t="s">
        <v>107</v>
      </c>
      <c r="C145" s="1">
        <v>16718.970700000002</v>
      </c>
      <c r="D145" s="1">
        <v>24.23200035</v>
      </c>
      <c r="E145" s="1">
        <v>71.219884969999995</v>
      </c>
      <c r="F145" s="1">
        <v>13.90222204</v>
      </c>
      <c r="G145" s="1">
        <v>5.6772185579999999</v>
      </c>
      <c r="H145" s="1">
        <v>9.2006744339999997</v>
      </c>
      <c r="I145" s="1">
        <v>65.067155830000004</v>
      </c>
      <c r="J145" s="1">
        <v>15.51772278</v>
      </c>
      <c r="K145" s="1">
        <v>7.4928993070000001</v>
      </c>
      <c r="L145" s="1">
        <v>11.92222209</v>
      </c>
      <c r="M145" s="1">
        <v>90.458077169999996</v>
      </c>
      <c r="N145" s="1">
        <v>8.8509147200000005</v>
      </c>
      <c r="O145" s="1">
        <v>0</v>
      </c>
      <c r="P145" s="1">
        <v>0.69100811439999998</v>
      </c>
      <c r="Q145" s="1">
        <f t="shared" si="0"/>
        <v>16</v>
      </c>
    </row>
    <row r="146" spans="1:17" ht="12.5">
      <c r="A146" s="1" t="s">
        <v>243</v>
      </c>
      <c r="B146" s="1" t="s">
        <v>107</v>
      </c>
      <c r="C146" s="1">
        <v>16743.929690000001</v>
      </c>
      <c r="D146" s="1">
        <v>48.122001650000001</v>
      </c>
      <c r="E146" s="1">
        <v>84.905237790000001</v>
      </c>
      <c r="F146" s="1">
        <v>2.3872175090000001</v>
      </c>
      <c r="G146" s="1">
        <v>12.60781566</v>
      </c>
      <c r="H146" s="1">
        <v>9.9729040419999998E-2</v>
      </c>
      <c r="I146" s="1">
        <v>75.242928199999994</v>
      </c>
      <c r="J146" s="1">
        <v>4.052382433</v>
      </c>
      <c r="K146" s="1">
        <v>20.512451739999999</v>
      </c>
      <c r="L146" s="1">
        <v>0.1922376314</v>
      </c>
      <c r="M146" s="1">
        <v>95.321700939999999</v>
      </c>
      <c r="N146" s="1">
        <v>0.59208365669999996</v>
      </c>
      <c r="O146" s="1">
        <v>4.0862154019999997</v>
      </c>
      <c r="P146" s="1">
        <v>0</v>
      </c>
      <c r="Q146" s="1">
        <f t="shared" si="0"/>
        <v>16</v>
      </c>
    </row>
    <row r="147" spans="1:17" ht="12.5">
      <c r="A147" s="1" t="s">
        <v>92</v>
      </c>
      <c r="B147" s="1" t="s">
        <v>69</v>
      </c>
      <c r="C147" s="1">
        <v>17134.873049999998</v>
      </c>
      <c r="D147" s="1">
        <v>92.236000059999995</v>
      </c>
      <c r="E147" s="1">
        <v>99.999999290000005</v>
      </c>
      <c r="F147" s="1">
        <v>0</v>
      </c>
      <c r="G147" s="1">
        <v>7.1240862099999999E-7</v>
      </c>
      <c r="H147" s="1">
        <v>0</v>
      </c>
      <c r="I147" s="1">
        <v>100</v>
      </c>
      <c r="J147" s="1">
        <v>0</v>
      </c>
      <c r="K147" s="1">
        <v>0</v>
      </c>
      <c r="L147" s="1">
        <v>0</v>
      </c>
      <c r="M147" s="1">
        <v>100</v>
      </c>
      <c r="N147" s="1">
        <v>0</v>
      </c>
      <c r="O147" s="1">
        <v>0</v>
      </c>
      <c r="P147" s="1">
        <v>0</v>
      </c>
      <c r="Q147" s="1">
        <f t="shared" si="0"/>
        <v>16</v>
      </c>
    </row>
    <row r="148" spans="1:17" ht="12.5">
      <c r="A148" s="1" t="s">
        <v>229</v>
      </c>
      <c r="B148" s="1" t="s">
        <v>170</v>
      </c>
      <c r="C148" s="1">
        <v>17500.65625</v>
      </c>
      <c r="D148" s="1">
        <v>55.475002289999999</v>
      </c>
      <c r="E148" s="1">
        <v>93.925857179999994</v>
      </c>
      <c r="F148" s="1">
        <v>5.8737307679999997</v>
      </c>
      <c r="G148" s="1">
        <v>0.20041205419999999</v>
      </c>
      <c r="H148" s="1">
        <v>0</v>
      </c>
      <c r="I148" s="1">
        <v>92.082745000000003</v>
      </c>
      <c r="J148" s="1">
        <v>7.9172549999999999</v>
      </c>
      <c r="K148" s="1">
        <v>0</v>
      </c>
      <c r="L148" s="1">
        <v>0</v>
      </c>
      <c r="M148" s="1">
        <v>95.405164360000001</v>
      </c>
      <c r="N148" s="1">
        <v>4.2335701170000002</v>
      </c>
      <c r="O148" s="1">
        <v>0.36126552499999998</v>
      </c>
      <c r="P148" s="1">
        <v>0</v>
      </c>
      <c r="Q148" s="1">
        <f t="shared" si="0"/>
        <v>16</v>
      </c>
    </row>
    <row r="149" spans="1:17" ht="12.5">
      <c r="A149" s="1" t="s">
        <v>206</v>
      </c>
      <c r="B149" s="1" t="s">
        <v>74</v>
      </c>
      <c r="C149" s="1">
        <v>17643.060549999998</v>
      </c>
      <c r="D149" s="1">
        <v>64.166000370000006</v>
      </c>
      <c r="E149" s="1">
        <v>95.359763560000005</v>
      </c>
      <c r="F149" s="1">
        <v>3.451463449E-3</v>
      </c>
      <c r="G149" s="1">
        <v>2.6044853890000002</v>
      </c>
      <c r="H149" s="1">
        <v>2.032299589</v>
      </c>
      <c r="I149" s="1">
        <v>87.050744949999995</v>
      </c>
      <c r="J149" s="1">
        <v>9.6318110219999996E-3</v>
      </c>
      <c r="K149" s="1">
        <v>7.2681954900000001</v>
      </c>
      <c r="L149" s="1">
        <v>5.6714277470000001</v>
      </c>
      <c r="M149" s="1">
        <v>100</v>
      </c>
      <c r="N149" s="1">
        <v>0</v>
      </c>
      <c r="O149" s="1">
        <v>0</v>
      </c>
      <c r="P149" s="1">
        <v>0</v>
      </c>
      <c r="Q149" s="1">
        <f t="shared" si="0"/>
        <v>16</v>
      </c>
    </row>
    <row r="150" spans="1:17" ht="12.5">
      <c r="A150" s="1" t="s">
        <v>232</v>
      </c>
      <c r="B150" s="1" t="s">
        <v>74</v>
      </c>
      <c r="C150" s="1">
        <v>17915.566409999999</v>
      </c>
      <c r="D150" s="1">
        <v>51.835998539999999</v>
      </c>
      <c r="E150" s="1">
        <v>94.006428270000001</v>
      </c>
      <c r="F150" s="1">
        <v>1.034150511</v>
      </c>
      <c r="G150" s="1">
        <v>3.2159118150000001</v>
      </c>
      <c r="H150" s="1">
        <v>1.7435094040000001</v>
      </c>
      <c r="I150" s="1">
        <v>90.119329800000003</v>
      </c>
      <c r="J150" s="1">
        <v>1.8491699989999999</v>
      </c>
      <c r="K150" s="1">
        <v>4.5834386909999996</v>
      </c>
      <c r="L150" s="1">
        <v>3.4480615079999999</v>
      </c>
      <c r="M150" s="1">
        <v>97.618169440000003</v>
      </c>
      <c r="N150" s="1">
        <v>0.27686600569999997</v>
      </c>
      <c r="O150" s="1">
        <v>1.94525887</v>
      </c>
      <c r="P150" s="1">
        <v>0.15970568490000001</v>
      </c>
      <c r="Q150" s="1">
        <f t="shared" si="0"/>
        <v>16</v>
      </c>
    </row>
    <row r="151" spans="1:17" ht="12.5">
      <c r="A151" s="1" t="s">
        <v>248</v>
      </c>
      <c r="B151" s="1" t="s">
        <v>170</v>
      </c>
      <c r="C151" s="1">
        <v>18383.95508</v>
      </c>
      <c r="D151" s="1">
        <v>44.6289978</v>
      </c>
      <c r="E151" s="1">
        <v>65.412383570000003</v>
      </c>
      <c r="F151" s="1">
        <v>6.1539390200000001</v>
      </c>
      <c r="G151" s="1">
        <v>21.576840709999999</v>
      </c>
      <c r="H151" s="1">
        <v>6.8568367060000002</v>
      </c>
      <c r="I151" s="1">
        <v>48.22728833</v>
      </c>
      <c r="J151" s="1">
        <v>8.3317036130000002</v>
      </c>
      <c r="K151" s="1">
        <v>31.608654439999999</v>
      </c>
      <c r="L151" s="1">
        <v>11.832353619999999</v>
      </c>
      <c r="M151" s="1">
        <v>86.733854660000006</v>
      </c>
      <c r="N151" s="1">
        <v>3.4519961939999999</v>
      </c>
      <c r="O151" s="1">
        <v>9.1304141049999998</v>
      </c>
      <c r="P151" s="1">
        <v>0.68373504630000004</v>
      </c>
      <c r="Q151" s="1">
        <f t="shared" si="0"/>
        <v>16</v>
      </c>
    </row>
    <row r="152" spans="1:17" ht="12.5">
      <c r="A152" s="1" t="s">
        <v>219</v>
      </c>
      <c r="B152" s="1" t="s">
        <v>74</v>
      </c>
      <c r="C152" s="1">
        <v>18776.707030000001</v>
      </c>
      <c r="D152" s="1">
        <v>57.671001429999997</v>
      </c>
      <c r="E152" s="1">
        <v>95.434970320000005</v>
      </c>
      <c r="F152" s="1">
        <v>1.9414250390000001</v>
      </c>
      <c r="G152" s="1">
        <v>2.5459569339999999</v>
      </c>
      <c r="H152" s="1">
        <v>7.7647704710000001E-2</v>
      </c>
      <c r="I152" s="1">
        <v>91.939252339999996</v>
      </c>
      <c r="J152" s="1">
        <v>1.862616064</v>
      </c>
      <c r="K152" s="1">
        <v>6.0146930489999999</v>
      </c>
      <c r="L152" s="1">
        <v>0.18343854379999999</v>
      </c>
      <c r="M152" s="1">
        <v>98.000731329999994</v>
      </c>
      <c r="N152" s="1">
        <v>1.999268673</v>
      </c>
      <c r="O152" s="1">
        <v>0</v>
      </c>
      <c r="P152" s="1">
        <v>0</v>
      </c>
      <c r="Q152" s="1">
        <f t="shared" si="0"/>
        <v>16</v>
      </c>
    </row>
    <row r="153" spans="1:17" ht="12.5">
      <c r="A153" s="1" t="s">
        <v>111</v>
      </c>
      <c r="B153" s="1" t="s">
        <v>69</v>
      </c>
      <c r="C153" s="1">
        <v>19116.208979999999</v>
      </c>
      <c r="D153" s="1">
        <v>87.72699738</v>
      </c>
      <c r="E153" s="1">
        <v>99.999998719999994</v>
      </c>
      <c r="F153" s="1">
        <v>0</v>
      </c>
      <c r="G153" s="1">
        <v>1.2771393330000001E-6</v>
      </c>
      <c r="H153" s="1">
        <v>0</v>
      </c>
      <c r="I153" s="1">
        <v>100</v>
      </c>
      <c r="J153" s="1">
        <v>0</v>
      </c>
      <c r="K153" s="1">
        <v>0</v>
      </c>
      <c r="L153" s="1">
        <v>0</v>
      </c>
      <c r="M153" s="1">
        <v>100</v>
      </c>
      <c r="N153" s="1">
        <v>0</v>
      </c>
      <c r="O153" s="1">
        <v>0</v>
      </c>
      <c r="P153" s="1">
        <v>0</v>
      </c>
      <c r="Q153" s="1">
        <f t="shared" si="0"/>
        <v>16</v>
      </c>
    </row>
    <row r="154" spans="1:17" ht="12.5">
      <c r="A154" s="1" t="s">
        <v>250</v>
      </c>
      <c r="B154" s="1" t="s">
        <v>170</v>
      </c>
      <c r="C154" s="1">
        <v>19129.95508</v>
      </c>
      <c r="D154" s="1">
        <v>17.42700005</v>
      </c>
      <c r="E154" s="1">
        <v>70.047728509999999</v>
      </c>
      <c r="F154" s="1">
        <v>21.95081497</v>
      </c>
      <c r="G154" s="1">
        <v>5.7763044069999996</v>
      </c>
      <c r="H154" s="1">
        <v>2.2251521099999998</v>
      </c>
      <c r="I154" s="1">
        <v>66.585043760000005</v>
      </c>
      <c r="J154" s="1">
        <v>24.414158029999999</v>
      </c>
      <c r="K154" s="1">
        <v>6.3838741460000001</v>
      </c>
      <c r="L154" s="1">
        <v>2.6169240660000002</v>
      </c>
      <c r="M154" s="1">
        <v>86.454698210000004</v>
      </c>
      <c r="N154" s="1">
        <v>10.278948249999999</v>
      </c>
      <c r="O154" s="1">
        <v>2.8975039960000002</v>
      </c>
      <c r="P154" s="1">
        <v>0.36884954460000002</v>
      </c>
      <c r="Q154" s="1">
        <f t="shared" si="0"/>
        <v>16</v>
      </c>
    </row>
    <row r="155" spans="1:17" ht="12.5">
      <c r="A155" s="1" t="s">
        <v>230</v>
      </c>
      <c r="B155" s="1" t="s">
        <v>69</v>
      </c>
      <c r="C155" s="1">
        <v>19237.681639999999</v>
      </c>
      <c r="D155" s="1">
        <v>54.194000240000001</v>
      </c>
      <c r="E155" s="1">
        <v>100</v>
      </c>
      <c r="F155" s="1">
        <v>0</v>
      </c>
      <c r="G155" s="1">
        <v>0</v>
      </c>
      <c r="H155" s="1">
        <v>0</v>
      </c>
      <c r="I155" s="1">
        <v>100</v>
      </c>
      <c r="J155" s="1">
        <v>0</v>
      </c>
      <c r="K155" s="1">
        <v>0</v>
      </c>
      <c r="L155" s="1">
        <v>0</v>
      </c>
      <c r="M155" s="1">
        <v>100</v>
      </c>
      <c r="N155" s="1">
        <v>0</v>
      </c>
      <c r="O155" s="1">
        <v>0</v>
      </c>
      <c r="P155" s="1">
        <v>0</v>
      </c>
      <c r="Q155" s="1">
        <f t="shared" si="0"/>
        <v>16</v>
      </c>
    </row>
    <row r="156" spans="1:17" ht="12.5">
      <c r="A156" s="1" t="s">
        <v>249</v>
      </c>
      <c r="B156" s="1" t="s">
        <v>170</v>
      </c>
      <c r="C156" s="1">
        <v>20250.833979999999</v>
      </c>
      <c r="D156" s="1">
        <v>43.909004209999999</v>
      </c>
      <c r="E156" s="1">
        <v>82.547291029999997</v>
      </c>
      <c r="F156" s="1">
        <v>3.8547345270000002</v>
      </c>
      <c r="G156" s="1">
        <v>12.246971350000001</v>
      </c>
      <c r="H156" s="1">
        <v>1.3510030900000001</v>
      </c>
      <c r="I156" s="1">
        <v>72.080895209999994</v>
      </c>
      <c r="J156" s="1">
        <v>3.7824122299999998</v>
      </c>
      <c r="K156" s="1">
        <v>21.72810084</v>
      </c>
      <c r="L156" s="1">
        <v>2.4085917170000002</v>
      </c>
      <c r="M156" s="1">
        <v>95.917454750000005</v>
      </c>
      <c r="N156" s="1">
        <v>3.947121723</v>
      </c>
      <c r="O156" s="1">
        <v>0.13542353139999999</v>
      </c>
      <c r="P156" s="1">
        <v>0</v>
      </c>
      <c r="Q156" s="1">
        <f t="shared" si="0"/>
        <v>16</v>
      </c>
    </row>
    <row r="157" spans="1:17" ht="12.5">
      <c r="A157" s="1" t="s">
        <v>252</v>
      </c>
      <c r="B157" s="1" t="s">
        <v>170</v>
      </c>
      <c r="C157" s="1">
        <v>20903.277340000001</v>
      </c>
      <c r="D157" s="1">
        <v>30.60700035</v>
      </c>
      <c r="E157" s="1">
        <v>47.214854459999998</v>
      </c>
      <c r="F157" s="1">
        <v>31.2730034</v>
      </c>
      <c r="G157" s="1">
        <v>21.15863263</v>
      </c>
      <c r="H157" s="1">
        <v>0.35350950240000001</v>
      </c>
      <c r="I157" s="1">
        <v>32.718258900000002</v>
      </c>
      <c r="J157" s="1">
        <v>38.626902540000003</v>
      </c>
      <c r="K157" s="1">
        <v>28.3404457</v>
      </c>
      <c r="L157" s="1">
        <v>0.31439286259999999</v>
      </c>
      <c r="M157" s="1">
        <v>80.081918540000004</v>
      </c>
      <c r="N157" s="1">
        <v>14.60004919</v>
      </c>
      <c r="O157" s="1">
        <v>4.8758364869999999</v>
      </c>
      <c r="P157" s="1">
        <v>0.44219578050000002</v>
      </c>
      <c r="Q157" s="1">
        <f t="shared" si="0"/>
        <v>16</v>
      </c>
    </row>
    <row r="158" spans="1:17" ht="12.5">
      <c r="A158" s="1" t="s">
        <v>253</v>
      </c>
      <c r="B158" s="1" t="s">
        <v>107</v>
      </c>
      <c r="C158" s="1">
        <v>21413.25</v>
      </c>
      <c r="D158" s="1">
        <v>18.71299934</v>
      </c>
      <c r="E158" s="1">
        <v>92.227579370000001</v>
      </c>
      <c r="F158" s="1">
        <v>0.59545814949999998</v>
      </c>
      <c r="G158" s="1">
        <v>5.3489270639999997</v>
      </c>
      <c r="H158" s="1">
        <v>1.82803542</v>
      </c>
      <c r="I158" s="1">
        <v>90.537435700000003</v>
      </c>
      <c r="J158" s="1">
        <v>0.70320990380000004</v>
      </c>
      <c r="K158" s="1">
        <v>6.5104886119999996</v>
      </c>
      <c r="L158" s="1">
        <v>2.2488657820000002</v>
      </c>
      <c r="M158" s="1">
        <v>99.569380190000004</v>
      </c>
      <c r="N158" s="1">
        <v>0.12739779009999999</v>
      </c>
      <c r="O158" s="1">
        <v>0.3032220202</v>
      </c>
      <c r="P158" s="1">
        <v>0</v>
      </c>
      <c r="Q158" s="1">
        <f t="shared" si="0"/>
        <v>16</v>
      </c>
    </row>
    <row r="159" spans="1:17" ht="12.5">
      <c r="A159" s="1" t="s">
        <v>254</v>
      </c>
      <c r="B159" s="1" t="s">
        <v>170</v>
      </c>
      <c r="C159" s="1">
        <v>24206.636719999999</v>
      </c>
      <c r="D159" s="1">
        <v>16.625999449999998</v>
      </c>
      <c r="E159" s="1">
        <v>46.911797470000003</v>
      </c>
      <c r="F159" s="1">
        <v>21.653898699999999</v>
      </c>
      <c r="G159" s="1">
        <v>27.027512439999999</v>
      </c>
      <c r="H159" s="1">
        <v>4.4067913919999997</v>
      </c>
      <c r="I159" s="1">
        <v>39.154159319999998</v>
      </c>
      <c r="J159" s="1">
        <v>23.987740389999999</v>
      </c>
      <c r="K159" s="1">
        <v>31.991506480000002</v>
      </c>
      <c r="L159" s="1">
        <v>4.8665938129999997</v>
      </c>
      <c r="M159" s="1">
        <v>85.813839759999993</v>
      </c>
      <c r="N159" s="1">
        <v>9.9504408289999997</v>
      </c>
      <c r="O159" s="1">
        <v>2.1346877800000001</v>
      </c>
      <c r="P159" s="1">
        <v>2.1010316339999999</v>
      </c>
      <c r="Q159" s="1">
        <f t="shared" si="0"/>
        <v>16</v>
      </c>
    </row>
    <row r="160" spans="1:17" ht="12.5">
      <c r="A160" s="1" t="s">
        <v>126</v>
      </c>
      <c r="B160" s="1" t="s">
        <v>69</v>
      </c>
      <c r="C160" s="1">
        <v>25499.880860000001</v>
      </c>
      <c r="D160" s="1">
        <v>86.240997309999997</v>
      </c>
      <c r="E160" s="1">
        <v>99.969811820000004</v>
      </c>
      <c r="F160" s="1">
        <v>0</v>
      </c>
      <c r="G160" s="1">
        <v>3.0188178730000001E-2</v>
      </c>
      <c r="H160" s="1">
        <v>0</v>
      </c>
      <c r="I160" s="1">
        <v>100</v>
      </c>
      <c r="J160" s="1">
        <v>0</v>
      </c>
      <c r="K160" s="1">
        <v>0</v>
      </c>
      <c r="L160" s="1">
        <v>0</v>
      </c>
      <c r="M160" s="1">
        <v>99.965000000000003</v>
      </c>
      <c r="N160" s="1">
        <v>0</v>
      </c>
      <c r="O160" s="1">
        <v>3.5000000000000003E-2</v>
      </c>
      <c r="P160" s="1">
        <v>0</v>
      </c>
      <c r="Q160" s="1">
        <f t="shared" si="0"/>
        <v>16</v>
      </c>
    </row>
    <row r="161" spans="1:17" ht="12.5">
      <c r="A161" s="1" t="s">
        <v>210</v>
      </c>
      <c r="B161" s="1" t="s">
        <v>170</v>
      </c>
      <c r="C161" s="1">
        <v>25778.814450000002</v>
      </c>
      <c r="D161" s="1">
        <v>62.381000520000001</v>
      </c>
      <c r="E161" s="1">
        <v>93.843843030000002</v>
      </c>
      <c r="F161" s="1">
        <v>0.68313118719999999</v>
      </c>
      <c r="G161" s="1">
        <v>5.2096927800000001</v>
      </c>
      <c r="H161" s="1">
        <v>0.26333300580000002</v>
      </c>
      <c r="I161" s="1">
        <v>88.753624880000004</v>
      </c>
      <c r="J161" s="1">
        <v>0.3564402606</v>
      </c>
      <c r="K161" s="1">
        <v>10.189934859999999</v>
      </c>
      <c r="L161" s="1">
        <v>0.7</v>
      </c>
      <c r="M161" s="1">
        <v>96.913510439999996</v>
      </c>
      <c r="N161" s="1">
        <v>0.88014287989999995</v>
      </c>
      <c r="O161" s="1">
        <v>2.206346677</v>
      </c>
      <c r="P161" s="1">
        <v>0</v>
      </c>
      <c r="Q161" s="1">
        <f t="shared" si="0"/>
        <v>16</v>
      </c>
    </row>
    <row r="162" spans="1:17" ht="12.5">
      <c r="A162" s="1" t="s">
        <v>233</v>
      </c>
      <c r="B162" s="1" t="s">
        <v>107</v>
      </c>
      <c r="C162" s="1">
        <v>26378.275389999999</v>
      </c>
      <c r="D162" s="1">
        <v>51.70599747</v>
      </c>
      <c r="E162" s="1">
        <v>70.909070389999997</v>
      </c>
      <c r="F162" s="1">
        <v>8.9354217019999993</v>
      </c>
      <c r="G162" s="1">
        <v>14.192441609999999</v>
      </c>
      <c r="H162" s="1">
        <v>5.9630662929999998</v>
      </c>
      <c r="I162" s="1">
        <v>55.722446859999998</v>
      </c>
      <c r="J162" s="1">
        <v>13.343168289999999</v>
      </c>
      <c r="K162" s="1">
        <v>23.17527956</v>
      </c>
      <c r="L162" s="1">
        <v>7.7591052889999998</v>
      </c>
      <c r="M162" s="1">
        <v>85.093553290000003</v>
      </c>
      <c r="N162" s="1">
        <v>4.8185351560000003</v>
      </c>
      <c r="O162" s="1">
        <v>5.8023665600000003</v>
      </c>
      <c r="P162" s="1">
        <v>4.2855449940000003</v>
      </c>
      <c r="Q162" s="1">
        <f t="shared" si="0"/>
        <v>16</v>
      </c>
    </row>
    <row r="163" spans="1:17" ht="12.5">
      <c r="A163" s="1" t="s">
        <v>221</v>
      </c>
      <c r="B163" s="1" t="s">
        <v>107</v>
      </c>
      <c r="C163" s="1">
        <v>26545.863280000001</v>
      </c>
      <c r="D163" s="1">
        <v>57.560005189999998</v>
      </c>
      <c r="E163" s="1">
        <v>65.720418179999996</v>
      </c>
      <c r="F163" s="1">
        <v>12.874748629999999</v>
      </c>
      <c r="G163" s="1">
        <v>15.00100626</v>
      </c>
      <c r="H163" s="1">
        <v>6.4038269269999999</v>
      </c>
      <c r="I163" s="1">
        <v>43.527581120000001</v>
      </c>
      <c r="J163" s="1">
        <v>12.67259943</v>
      </c>
      <c r="K163" s="1">
        <v>30.12380645</v>
      </c>
      <c r="L163" s="1">
        <v>13.676012999999999</v>
      </c>
      <c r="M163" s="1">
        <v>82.083584860000002</v>
      </c>
      <c r="N163" s="1">
        <v>13.023796770000001</v>
      </c>
      <c r="O163" s="1">
        <v>3.8507013510000001</v>
      </c>
      <c r="P163" s="1">
        <v>1.041917019</v>
      </c>
      <c r="Q163" s="1">
        <f t="shared" si="0"/>
        <v>16</v>
      </c>
    </row>
    <row r="164" spans="1:17" ht="12.5">
      <c r="A164" s="1" t="s">
        <v>257</v>
      </c>
      <c r="B164" s="1" t="s">
        <v>170</v>
      </c>
      <c r="C164" s="1">
        <v>27691.019530000001</v>
      </c>
      <c r="D164" s="1">
        <v>38.534000399999996</v>
      </c>
      <c r="E164" s="1">
        <v>53.385884910000001</v>
      </c>
      <c r="F164" s="1">
        <v>2.7179729799999999</v>
      </c>
      <c r="G164" s="1">
        <v>32.311459669999998</v>
      </c>
      <c r="H164" s="1">
        <v>11.58468244</v>
      </c>
      <c r="I164" s="1">
        <v>36.406420279999999</v>
      </c>
      <c r="J164" s="1">
        <v>1.601776163</v>
      </c>
      <c r="K164" s="1">
        <v>43.953893450000002</v>
      </c>
      <c r="L164" s="1">
        <v>18.037910109999999</v>
      </c>
      <c r="M164" s="1">
        <v>80.470006940000005</v>
      </c>
      <c r="N164" s="1">
        <v>4.4984302979999997</v>
      </c>
      <c r="O164" s="1">
        <v>13.74049434</v>
      </c>
      <c r="P164" s="1">
        <v>1.291068417</v>
      </c>
      <c r="Q164" s="1">
        <f t="shared" si="0"/>
        <v>16</v>
      </c>
    </row>
    <row r="165" spans="1:17" ht="12.5">
      <c r="A165" s="1" t="s">
        <v>113</v>
      </c>
      <c r="B165" s="1" t="s">
        <v>29</v>
      </c>
      <c r="C165" s="1">
        <v>28435.943360000001</v>
      </c>
      <c r="D165" s="1">
        <v>88.278999330000005</v>
      </c>
      <c r="E165" s="1">
        <v>93.685800709999995</v>
      </c>
      <c r="F165" s="1">
        <v>0.4707829181</v>
      </c>
      <c r="G165" s="1">
        <v>5.8434163730000002</v>
      </c>
      <c r="H165" s="1" t="s">
        <v>29</v>
      </c>
      <c r="I165" s="1" t="s">
        <v>29</v>
      </c>
      <c r="J165" s="1" t="s">
        <v>29</v>
      </c>
      <c r="K165" s="1" t="s">
        <v>29</v>
      </c>
      <c r="L165" s="1" t="s">
        <v>29</v>
      </c>
      <c r="M165" s="1" t="s">
        <v>29</v>
      </c>
      <c r="N165" s="1" t="s">
        <v>29</v>
      </c>
      <c r="O165" s="1" t="s">
        <v>29</v>
      </c>
      <c r="P165" s="1" t="s">
        <v>29</v>
      </c>
      <c r="Q165" s="1">
        <f t="shared" si="0"/>
        <v>16</v>
      </c>
    </row>
    <row r="166" spans="1:17" ht="12.5">
      <c r="A166" s="1" t="s">
        <v>259</v>
      </c>
      <c r="B166" s="1" t="s">
        <v>107</v>
      </c>
      <c r="C166" s="1">
        <v>29136.808590000001</v>
      </c>
      <c r="D166" s="1">
        <v>20.57600021</v>
      </c>
      <c r="E166" s="1">
        <v>90.074541789999998</v>
      </c>
      <c r="F166" s="1">
        <v>3.979825725</v>
      </c>
      <c r="G166" s="1">
        <v>4.699081176</v>
      </c>
      <c r="H166" s="1">
        <v>1.246551314</v>
      </c>
      <c r="I166" s="1">
        <v>90.203271650000005</v>
      </c>
      <c r="J166" s="1">
        <v>4.2073482459999996</v>
      </c>
      <c r="K166" s="1">
        <v>4.2690239510000003</v>
      </c>
      <c r="L166" s="1">
        <v>1.320356149</v>
      </c>
      <c r="M166" s="1">
        <v>89.577633160000005</v>
      </c>
      <c r="N166" s="1">
        <v>3.1015814110000002</v>
      </c>
      <c r="O166" s="1">
        <v>6.359123168</v>
      </c>
      <c r="P166" s="1">
        <v>0.96166225849999998</v>
      </c>
      <c r="Q166" s="1">
        <f t="shared" si="0"/>
        <v>16</v>
      </c>
    </row>
    <row r="167" spans="1:17" ht="12.5">
      <c r="A167" s="1" t="s">
        <v>258</v>
      </c>
      <c r="B167" s="1" t="s">
        <v>170</v>
      </c>
      <c r="C167" s="1">
        <v>29825.96875</v>
      </c>
      <c r="D167" s="1">
        <v>37.907997129999998</v>
      </c>
      <c r="E167" s="1">
        <v>60.663569840000001</v>
      </c>
      <c r="F167" s="1">
        <v>28.9627418</v>
      </c>
      <c r="G167" s="1">
        <v>7.77785276</v>
      </c>
      <c r="H167" s="1">
        <v>2.595835594</v>
      </c>
      <c r="I167" s="1">
        <v>50.681334370000002</v>
      </c>
      <c r="J167" s="1">
        <v>33.53021373</v>
      </c>
      <c r="K167" s="1">
        <v>11.60782393</v>
      </c>
      <c r="L167" s="1">
        <v>4.1806279780000004</v>
      </c>
      <c r="M167" s="1">
        <v>77.014129339999997</v>
      </c>
      <c r="N167" s="1">
        <v>21.481379369999999</v>
      </c>
      <c r="O167" s="1">
        <v>1.5044912859999999</v>
      </c>
      <c r="P167" s="1">
        <v>0</v>
      </c>
      <c r="Q167" s="1">
        <f t="shared" si="0"/>
        <v>16</v>
      </c>
    </row>
    <row r="168" spans="1:17" ht="12.5">
      <c r="A168" s="1" t="s">
        <v>224</v>
      </c>
      <c r="B168" s="1" t="s">
        <v>107</v>
      </c>
      <c r="C168" s="1">
        <v>31072.945309999999</v>
      </c>
      <c r="D168" s="1">
        <v>57.348999020000001</v>
      </c>
      <c r="E168" s="1">
        <v>85.790996649999997</v>
      </c>
      <c r="F168" s="1">
        <v>6.5860621129999997</v>
      </c>
      <c r="G168" s="1">
        <v>2.8122161760000002</v>
      </c>
      <c r="H168" s="1">
        <v>4.8107250580000001</v>
      </c>
      <c r="I168" s="1">
        <v>71.892750050000004</v>
      </c>
      <c r="J168" s="1">
        <v>11.934548270000001</v>
      </c>
      <c r="K168" s="1">
        <v>4.9993564829999997</v>
      </c>
      <c r="L168" s="1">
        <v>11.173345189999999</v>
      </c>
      <c r="M168" s="1">
        <v>96.127259519999996</v>
      </c>
      <c r="N168" s="1">
        <v>2.6083424549999998</v>
      </c>
      <c r="O168" s="1">
        <v>1.1856138030000001</v>
      </c>
      <c r="P168" s="1">
        <v>7.8784218190000005E-2</v>
      </c>
      <c r="Q168" s="1">
        <f t="shared" si="0"/>
        <v>16</v>
      </c>
    </row>
    <row r="169" spans="1:17" ht="12.5">
      <c r="A169" s="1" t="s">
        <v>261</v>
      </c>
      <c r="B169" s="1" t="s">
        <v>170</v>
      </c>
      <c r="C169" s="1">
        <v>31255.435549999998</v>
      </c>
      <c r="D169" s="1">
        <v>37.073997499999997</v>
      </c>
      <c r="E169" s="1">
        <v>63.369425630000002</v>
      </c>
      <c r="F169" s="1">
        <v>9.9757845070000002</v>
      </c>
      <c r="G169" s="1">
        <v>16.726145110000001</v>
      </c>
      <c r="H169" s="1">
        <v>9.9286447590000009</v>
      </c>
      <c r="I169" s="1">
        <v>48.8666865</v>
      </c>
      <c r="J169" s="1">
        <v>12.64088359</v>
      </c>
      <c r="K169" s="1">
        <v>23.686256400000001</v>
      </c>
      <c r="L169" s="1">
        <v>14.80617352</v>
      </c>
      <c r="M169" s="1">
        <v>87.98504792</v>
      </c>
      <c r="N169" s="1">
        <v>5.4522910270000002</v>
      </c>
      <c r="O169" s="1">
        <v>4.9126846439999996</v>
      </c>
      <c r="P169" s="1">
        <v>1.649976404</v>
      </c>
      <c r="Q169" s="1">
        <f t="shared" si="0"/>
        <v>16</v>
      </c>
    </row>
    <row r="170" spans="1:17" ht="12.5">
      <c r="A170" s="1" t="s">
        <v>159</v>
      </c>
      <c r="B170" s="1" t="s">
        <v>74</v>
      </c>
      <c r="C170" s="1">
        <v>32365.998049999998</v>
      </c>
      <c r="D170" s="1">
        <v>77.159996030000002</v>
      </c>
      <c r="E170" s="1">
        <v>97.09990707</v>
      </c>
      <c r="F170" s="1">
        <v>0.35453968650000001</v>
      </c>
      <c r="G170" s="1">
        <v>2.5455532409999999</v>
      </c>
      <c r="H170" s="1" t="s">
        <v>29</v>
      </c>
      <c r="I170" s="1">
        <v>90.197448120000004</v>
      </c>
      <c r="J170" s="1">
        <v>0.54445139710000001</v>
      </c>
      <c r="K170" s="1">
        <v>9.2581004779999994</v>
      </c>
      <c r="L170" s="1" t="s">
        <v>29</v>
      </c>
      <c r="M170" s="1">
        <v>99.14309591</v>
      </c>
      <c r="N170" s="1">
        <v>0.29832426049999999</v>
      </c>
      <c r="O170" s="1">
        <v>0.46857983190000002</v>
      </c>
      <c r="P170" s="1">
        <v>0.09</v>
      </c>
      <c r="Q170" s="1">
        <f t="shared" si="0"/>
        <v>16</v>
      </c>
    </row>
    <row r="171" spans="1:17" ht="12.5">
      <c r="A171" s="1" t="s">
        <v>199</v>
      </c>
      <c r="B171" s="1" t="s">
        <v>107</v>
      </c>
      <c r="C171" s="1">
        <v>32866.269529999998</v>
      </c>
      <c r="D171" s="1">
        <v>66.824996949999999</v>
      </c>
      <c r="E171" s="1">
        <v>57.167737619999997</v>
      </c>
      <c r="F171" s="1">
        <v>9.2873499190000004</v>
      </c>
      <c r="G171" s="1">
        <v>19.450825340000002</v>
      </c>
      <c r="H171" s="1">
        <v>14.094087119999999</v>
      </c>
      <c r="I171" s="1">
        <v>27.808226609999998</v>
      </c>
      <c r="J171" s="1">
        <v>8.7404883889999994</v>
      </c>
      <c r="K171" s="1">
        <v>22.933152580000002</v>
      </c>
      <c r="L171" s="1">
        <v>40.518132420000001</v>
      </c>
      <c r="M171" s="1">
        <v>71.743148619999999</v>
      </c>
      <c r="N171" s="1">
        <v>9.5588374890000001</v>
      </c>
      <c r="O171" s="1">
        <v>17.722034730000001</v>
      </c>
      <c r="P171" s="1">
        <v>0.97597916289999997</v>
      </c>
      <c r="Q171" s="1">
        <f t="shared" si="0"/>
        <v>16</v>
      </c>
    </row>
    <row r="172" spans="1:17" ht="12.5">
      <c r="A172" s="1" t="s">
        <v>153</v>
      </c>
      <c r="B172" s="1" t="s">
        <v>74</v>
      </c>
      <c r="C172" s="1">
        <v>32971.847659999999</v>
      </c>
      <c r="D172" s="1">
        <v>78.297004700000002</v>
      </c>
      <c r="E172" s="1">
        <v>93.139366210000006</v>
      </c>
      <c r="F172" s="1">
        <v>0.84955935110000003</v>
      </c>
      <c r="G172" s="1">
        <v>4.1504683489999996</v>
      </c>
      <c r="H172" s="1">
        <v>1.8606060870000001</v>
      </c>
      <c r="I172" s="1">
        <v>80.79943849</v>
      </c>
      <c r="J172" s="1">
        <v>1.5969437710000001</v>
      </c>
      <c r="K172" s="1">
        <v>9.6126911629999992</v>
      </c>
      <c r="L172" s="1">
        <v>7.9909265779999998</v>
      </c>
      <c r="M172" s="1">
        <v>96.559844080000005</v>
      </c>
      <c r="N172" s="1">
        <v>0.64239323559999995</v>
      </c>
      <c r="O172" s="1">
        <v>2.6364086929999999</v>
      </c>
      <c r="P172" s="1">
        <v>0.1613539953</v>
      </c>
      <c r="Q172" s="1">
        <f t="shared" si="0"/>
        <v>16</v>
      </c>
    </row>
    <row r="173" spans="1:17" ht="12.5">
      <c r="A173" s="1" t="s">
        <v>237</v>
      </c>
      <c r="B173" s="1" t="s">
        <v>107</v>
      </c>
      <c r="C173" s="1">
        <v>33469.199220000002</v>
      </c>
      <c r="D173" s="1">
        <v>50.415996550000003</v>
      </c>
      <c r="E173" s="1">
        <v>97.828784850000005</v>
      </c>
      <c r="F173" s="1">
        <v>0</v>
      </c>
      <c r="G173" s="1">
        <v>0.22384422000000001</v>
      </c>
      <c r="H173" s="1">
        <v>1.947370925</v>
      </c>
      <c r="I173" s="1">
        <v>96.072582359999998</v>
      </c>
      <c r="J173" s="1">
        <v>0</v>
      </c>
      <c r="K173" s="1">
        <v>0</v>
      </c>
      <c r="L173" s="1">
        <v>3.927417637</v>
      </c>
      <c r="M173" s="1">
        <v>99.556005560000003</v>
      </c>
      <c r="N173" s="1">
        <v>0</v>
      </c>
      <c r="O173" s="1">
        <v>0.44399444339999999</v>
      </c>
      <c r="P173" s="1">
        <v>0</v>
      </c>
      <c r="Q173" s="1">
        <f t="shared" si="0"/>
        <v>16</v>
      </c>
    </row>
    <row r="174" spans="1:17" ht="12.5">
      <c r="A174" s="1" t="s">
        <v>127</v>
      </c>
      <c r="B174" s="1" t="s">
        <v>69</v>
      </c>
      <c r="C174" s="1">
        <v>34813.867189999997</v>
      </c>
      <c r="D174" s="1">
        <v>84.287002560000005</v>
      </c>
      <c r="E174" s="1">
        <v>100</v>
      </c>
      <c r="F174" s="1">
        <v>0</v>
      </c>
      <c r="G174" s="1">
        <v>0</v>
      </c>
      <c r="H174" s="1">
        <v>0</v>
      </c>
      <c r="I174" s="1" t="s">
        <v>29</v>
      </c>
      <c r="J174" s="1" t="s">
        <v>29</v>
      </c>
      <c r="K174" s="1" t="s">
        <v>29</v>
      </c>
      <c r="L174" s="1" t="s">
        <v>29</v>
      </c>
      <c r="M174" s="1" t="s">
        <v>29</v>
      </c>
      <c r="N174" s="1" t="s">
        <v>29</v>
      </c>
      <c r="O174" s="1" t="s">
        <v>29</v>
      </c>
      <c r="P174" s="1" t="s">
        <v>29</v>
      </c>
      <c r="Q174" s="1">
        <f t="shared" si="0"/>
        <v>16</v>
      </c>
    </row>
    <row r="175" spans="1:17" ht="12.5">
      <c r="A175" s="1" t="s">
        <v>207</v>
      </c>
      <c r="B175" s="1" t="s">
        <v>107</v>
      </c>
      <c r="C175" s="1">
        <v>36910.558590000001</v>
      </c>
      <c r="D175" s="1">
        <v>63.531997680000003</v>
      </c>
      <c r="E175" s="1">
        <v>90.402344679999999</v>
      </c>
      <c r="F175" s="1">
        <v>5.2635496010000002</v>
      </c>
      <c r="G175" s="1">
        <v>2.8776725000000001</v>
      </c>
      <c r="H175" s="1">
        <v>1.456433219</v>
      </c>
      <c r="I175" s="1">
        <v>77.346128960000001</v>
      </c>
      <c r="J175" s="1">
        <v>12.03707816</v>
      </c>
      <c r="K175" s="1">
        <v>6.6230633729999999</v>
      </c>
      <c r="L175" s="1">
        <v>3.9937295019999999</v>
      </c>
      <c r="M175" s="1">
        <v>97.896746010000001</v>
      </c>
      <c r="N175" s="1">
        <v>1.375477117</v>
      </c>
      <c r="O175" s="1">
        <v>0.72777687589999995</v>
      </c>
      <c r="P175" s="1">
        <v>0</v>
      </c>
      <c r="Q175" s="1">
        <f t="shared" si="0"/>
        <v>16</v>
      </c>
    </row>
    <row r="176" spans="1:17" ht="12.5">
      <c r="A176" s="1" t="s">
        <v>134</v>
      </c>
      <c r="B176" s="1" t="s">
        <v>69</v>
      </c>
      <c r="C176" s="1">
        <v>37742.15625</v>
      </c>
      <c r="D176" s="1">
        <v>81.562004090000002</v>
      </c>
      <c r="E176" s="1">
        <v>99.221810660000003</v>
      </c>
      <c r="F176" s="1">
        <v>0</v>
      </c>
      <c r="G176" s="1">
        <v>0.77818933690000003</v>
      </c>
      <c r="H176" s="1">
        <v>0</v>
      </c>
      <c r="I176" s="1">
        <v>99.060495900000006</v>
      </c>
      <c r="J176" s="1">
        <v>0</v>
      </c>
      <c r="K176" s="1">
        <v>0.9395041006</v>
      </c>
      <c r="L176" s="1">
        <v>0</v>
      </c>
      <c r="M176" s="1">
        <v>99.258277660000005</v>
      </c>
      <c r="N176" s="1">
        <v>0</v>
      </c>
      <c r="O176" s="1">
        <v>0.74172233710000002</v>
      </c>
      <c r="P176" s="1">
        <v>0</v>
      </c>
      <c r="Q176" s="1">
        <f t="shared" si="0"/>
        <v>16</v>
      </c>
    </row>
    <row r="177" spans="1:17" ht="12.5">
      <c r="A177" s="1" t="s">
        <v>213</v>
      </c>
      <c r="B177" s="1" t="s">
        <v>69</v>
      </c>
      <c r="C177" s="1">
        <v>37846.605470000002</v>
      </c>
      <c r="D177" s="1">
        <v>60.043003079999998</v>
      </c>
      <c r="E177" s="1">
        <v>99.966591550000004</v>
      </c>
      <c r="F177" s="1">
        <v>0</v>
      </c>
      <c r="G177" s="1">
        <v>3.3408445289999998E-2</v>
      </c>
      <c r="H177" s="1">
        <v>0</v>
      </c>
      <c r="I177" s="1">
        <v>100</v>
      </c>
      <c r="J177" s="1">
        <v>0</v>
      </c>
      <c r="K177" s="1">
        <v>0</v>
      </c>
      <c r="L177" s="1">
        <v>0</v>
      </c>
      <c r="M177" s="1">
        <v>99.944354840000003</v>
      </c>
      <c r="N177" s="1">
        <v>0</v>
      </c>
      <c r="O177" s="1">
        <v>5.5645161290000002E-2</v>
      </c>
      <c r="P177" s="1">
        <v>0</v>
      </c>
      <c r="Q177" s="1">
        <f t="shared" si="0"/>
        <v>16</v>
      </c>
    </row>
    <row r="178" spans="1:17" ht="12.5">
      <c r="A178" s="1" t="s">
        <v>268</v>
      </c>
      <c r="B178" s="1" t="s">
        <v>170</v>
      </c>
      <c r="C178" s="1">
        <v>38928.339840000001</v>
      </c>
      <c r="D178" s="1">
        <v>26.025999070000001</v>
      </c>
      <c r="E178" s="1">
        <v>75.091413250000002</v>
      </c>
      <c r="F178" s="1">
        <v>1.447541688</v>
      </c>
      <c r="G178" s="1">
        <v>14.56026288</v>
      </c>
      <c r="H178" s="1">
        <v>8.9007821739999997</v>
      </c>
      <c r="I178" s="1">
        <v>66.32791521</v>
      </c>
      <c r="J178" s="1">
        <v>1.9568248509999999</v>
      </c>
      <c r="K178" s="1">
        <v>19.68294895</v>
      </c>
      <c r="L178" s="1">
        <v>12.03231098</v>
      </c>
      <c r="M178" s="1">
        <v>100</v>
      </c>
      <c r="N178" s="1">
        <v>0</v>
      </c>
      <c r="O178" s="1">
        <v>0</v>
      </c>
      <c r="P178" s="1">
        <v>0</v>
      </c>
      <c r="Q178" s="1">
        <f t="shared" si="0"/>
        <v>16</v>
      </c>
    </row>
    <row r="179" spans="1:17" ht="12.5">
      <c r="A179" s="1" t="s">
        <v>182</v>
      </c>
      <c r="B179" s="1" t="s">
        <v>74</v>
      </c>
      <c r="C179" s="1">
        <v>40222.503909999999</v>
      </c>
      <c r="D179" s="1">
        <v>70.892997739999998</v>
      </c>
      <c r="E179" s="1">
        <v>98.359903250000002</v>
      </c>
      <c r="F179" s="1">
        <v>0.89216034950000001</v>
      </c>
      <c r="G179" s="1">
        <v>2.427900808E-6</v>
      </c>
      <c r="H179" s="1">
        <v>0.74793397129999994</v>
      </c>
      <c r="I179" s="1">
        <v>94.831146779999997</v>
      </c>
      <c r="J179" s="1">
        <v>2.5992513389999998</v>
      </c>
      <c r="K179" s="1">
        <v>0</v>
      </c>
      <c r="L179" s="1">
        <v>2.5696018770000002</v>
      </c>
      <c r="M179" s="1">
        <v>99.808731030000004</v>
      </c>
      <c r="N179" s="1">
        <v>0.19126897000000001</v>
      </c>
      <c r="O179" s="1">
        <v>0</v>
      </c>
      <c r="P179" s="1">
        <v>0</v>
      </c>
      <c r="Q179" s="1">
        <f t="shared" si="0"/>
        <v>16</v>
      </c>
    </row>
    <row r="180" spans="1:17" ht="12.5">
      <c r="A180" s="1" t="s">
        <v>189</v>
      </c>
      <c r="B180" s="1" t="s">
        <v>107</v>
      </c>
      <c r="C180" s="1">
        <v>43733.757810000003</v>
      </c>
      <c r="D180" s="1">
        <v>69.608001709999996</v>
      </c>
      <c r="E180" s="1">
        <v>93.928281949999999</v>
      </c>
      <c r="F180" s="1">
        <v>5.671978717</v>
      </c>
      <c r="G180" s="1">
        <v>7.5904501289999995E-2</v>
      </c>
      <c r="H180" s="1">
        <v>0.32383483600000001</v>
      </c>
      <c r="I180" s="1">
        <v>100</v>
      </c>
      <c r="J180" s="1">
        <v>0</v>
      </c>
      <c r="K180" s="1">
        <v>0</v>
      </c>
      <c r="L180" s="1">
        <v>0</v>
      </c>
      <c r="M180" s="1">
        <v>91.277270110000003</v>
      </c>
      <c r="N180" s="1">
        <v>8.1484577900000001</v>
      </c>
      <c r="O180" s="1">
        <v>0.1090456533</v>
      </c>
      <c r="P180" s="1">
        <v>0.46522644460000001</v>
      </c>
      <c r="Q180" s="1">
        <f t="shared" si="0"/>
        <v>16</v>
      </c>
    </row>
    <row r="181" spans="1:17" ht="12.5">
      <c r="A181" s="1" t="s">
        <v>264</v>
      </c>
      <c r="B181" s="1" t="s">
        <v>170</v>
      </c>
      <c r="C181" s="1">
        <v>43849.269529999998</v>
      </c>
      <c r="D181" s="1">
        <v>35.252998349999999</v>
      </c>
      <c r="E181" s="1">
        <v>60.448675600000001</v>
      </c>
      <c r="F181" s="1">
        <v>26.670019750000002</v>
      </c>
      <c r="G181" s="1">
        <v>3.6502178750000001</v>
      </c>
      <c r="H181" s="1">
        <v>9.2310867739999996</v>
      </c>
      <c r="I181" s="1">
        <v>53.19902707</v>
      </c>
      <c r="J181" s="1">
        <v>27.457644510000002</v>
      </c>
      <c r="K181" s="1">
        <v>5.6376600080000001</v>
      </c>
      <c r="L181" s="1">
        <v>13.70566842</v>
      </c>
      <c r="M181" s="1">
        <v>73.763659559999994</v>
      </c>
      <c r="N181" s="1">
        <v>25.223439859999999</v>
      </c>
      <c r="O181" s="1">
        <v>0</v>
      </c>
      <c r="P181" s="1">
        <v>1.012900581</v>
      </c>
      <c r="Q181" s="1">
        <f t="shared" si="0"/>
        <v>16</v>
      </c>
    </row>
    <row r="182" spans="1:17" ht="12.5">
      <c r="A182" s="1" t="s">
        <v>175</v>
      </c>
      <c r="B182" s="1" t="s">
        <v>107</v>
      </c>
      <c r="C182" s="1">
        <v>43851.042970000002</v>
      </c>
      <c r="D182" s="1">
        <v>73.733001709999996</v>
      </c>
      <c r="E182" s="1">
        <v>94.43732996</v>
      </c>
      <c r="F182" s="1">
        <v>4.9858808420000003</v>
      </c>
      <c r="G182" s="1">
        <v>0.53183666380000005</v>
      </c>
      <c r="H182" s="1">
        <v>4.495253272E-2</v>
      </c>
      <c r="I182" s="1">
        <v>90.037537909999998</v>
      </c>
      <c r="J182" s="1">
        <v>8.79672214</v>
      </c>
      <c r="K182" s="1">
        <v>0.99460302810000001</v>
      </c>
      <c r="L182" s="1">
        <v>0.17113692580000001</v>
      </c>
      <c r="M182" s="1">
        <v>96.004735859999997</v>
      </c>
      <c r="N182" s="1">
        <v>3.628288591</v>
      </c>
      <c r="O182" s="1">
        <v>0.36697554780000002</v>
      </c>
      <c r="P182" s="1">
        <v>0</v>
      </c>
      <c r="Q182" s="1">
        <f t="shared" si="0"/>
        <v>16</v>
      </c>
    </row>
    <row r="183" spans="1:17" ht="12.5">
      <c r="A183" s="1" t="s">
        <v>94</v>
      </c>
      <c r="B183" s="1" t="s">
        <v>74</v>
      </c>
      <c r="C183" s="1">
        <v>45195.777340000001</v>
      </c>
      <c r="D183" s="1">
        <v>92.111000059999995</v>
      </c>
      <c r="E183" s="1" t="s">
        <v>29</v>
      </c>
      <c r="F183" s="1" t="s">
        <v>29</v>
      </c>
      <c r="G183" s="1" t="s">
        <v>29</v>
      </c>
      <c r="H183" s="1" t="s">
        <v>29</v>
      </c>
      <c r="I183" s="1" t="s">
        <v>29</v>
      </c>
      <c r="J183" s="1" t="s">
        <v>29</v>
      </c>
      <c r="K183" s="1" t="s">
        <v>29</v>
      </c>
      <c r="L183" s="1" t="s">
        <v>29</v>
      </c>
      <c r="M183" s="1">
        <v>99.790420650000002</v>
      </c>
      <c r="N183" s="1">
        <v>0</v>
      </c>
      <c r="O183" s="1">
        <v>0.20957935010000001</v>
      </c>
      <c r="P183" s="1">
        <v>0</v>
      </c>
      <c r="Q183" s="1">
        <f t="shared" si="0"/>
        <v>16</v>
      </c>
    </row>
    <row r="184" spans="1:17" ht="12.5">
      <c r="A184" s="1" t="s">
        <v>270</v>
      </c>
      <c r="B184" s="1" t="s">
        <v>170</v>
      </c>
      <c r="C184" s="1">
        <v>45741</v>
      </c>
      <c r="D184" s="1">
        <v>24.95400047</v>
      </c>
      <c r="E184" s="1">
        <v>55.855049209999997</v>
      </c>
      <c r="F184" s="1">
        <v>27.282859999999999</v>
      </c>
      <c r="G184" s="1">
        <v>12.16590654</v>
      </c>
      <c r="H184" s="1">
        <v>4.6961842520000001</v>
      </c>
      <c r="I184" s="1">
        <v>48.231189579999999</v>
      </c>
      <c r="J184" s="1">
        <v>31.784694259999998</v>
      </c>
      <c r="K184" s="1">
        <v>14.076160610000001</v>
      </c>
      <c r="L184" s="1">
        <v>5.9079555460000002</v>
      </c>
      <c r="M184" s="1">
        <v>78.782851800000003</v>
      </c>
      <c r="N184" s="1">
        <v>13.74416783</v>
      </c>
      <c r="O184" s="1">
        <v>6.4210441329999997</v>
      </c>
      <c r="P184" s="1">
        <v>1.0519362379999999</v>
      </c>
      <c r="Q184" s="1">
        <f t="shared" si="0"/>
        <v>16</v>
      </c>
    </row>
    <row r="185" spans="1:17" ht="12.5">
      <c r="A185" s="1" t="s">
        <v>140</v>
      </c>
      <c r="B185" s="1" t="s">
        <v>69</v>
      </c>
      <c r="C185" s="1">
        <v>46754.78125</v>
      </c>
      <c r="D185" s="1">
        <v>80.809997559999999</v>
      </c>
      <c r="E185" s="1">
        <v>99.925612610000002</v>
      </c>
      <c r="F185" s="1">
        <v>0</v>
      </c>
      <c r="G185" s="1">
        <v>7.4387391420000004E-2</v>
      </c>
      <c r="H185" s="1">
        <v>0</v>
      </c>
      <c r="I185" s="1">
        <v>100</v>
      </c>
      <c r="J185" s="1">
        <v>0</v>
      </c>
      <c r="K185" s="1">
        <v>0</v>
      </c>
      <c r="L185" s="1">
        <v>0</v>
      </c>
      <c r="M185" s="1">
        <v>99.907945209999994</v>
      </c>
      <c r="N185" s="1">
        <v>0</v>
      </c>
      <c r="O185" s="1">
        <v>9.2054794519999997E-2</v>
      </c>
      <c r="P185" s="1">
        <v>0</v>
      </c>
      <c r="Q185" s="1">
        <f t="shared" si="0"/>
        <v>16</v>
      </c>
    </row>
    <row r="186" spans="1:17" ht="12.5">
      <c r="A186" s="1" t="s">
        <v>141</v>
      </c>
      <c r="B186" s="1" t="s">
        <v>74</v>
      </c>
      <c r="C186" s="1">
        <v>50882.882810000003</v>
      </c>
      <c r="D186" s="1">
        <v>81.424995420000002</v>
      </c>
      <c r="E186" s="1">
        <v>97.491657110000006</v>
      </c>
      <c r="F186" s="1">
        <v>0.18615215909999999</v>
      </c>
      <c r="G186" s="1">
        <v>0.95361622280000002</v>
      </c>
      <c r="H186" s="1">
        <v>1.3685745119999999</v>
      </c>
      <c r="I186" s="1">
        <v>86.767072819999996</v>
      </c>
      <c r="J186" s="1">
        <v>0.73122820160000002</v>
      </c>
      <c r="K186" s="1">
        <v>5.13386897</v>
      </c>
      <c r="L186" s="1">
        <v>7.3678300050000001</v>
      </c>
      <c r="M186" s="1">
        <v>99.938192799999996</v>
      </c>
      <c r="N186" s="1">
        <v>6.18072E-2</v>
      </c>
      <c r="O186" s="1">
        <v>0</v>
      </c>
      <c r="P186" s="1">
        <v>0</v>
      </c>
      <c r="Q186" s="1">
        <f t="shared" si="0"/>
        <v>16</v>
      </c>
    </row>
    <row r="187" spans="1:17" ht="12.5">
      <c r="A187" s="1" t="s">
        <v>143</v>
      </c>
      <c r="B187" s="1" t="s">
        <v>69</v>
      </c>
      <c r="C187" s="1">
        <v>51269.183590000001</v>
      </c>
      <c r="D187" s="1">
        <v>81.414001459999994</v>
      </c>
      <c r="E187" s="1">
        <v>99.931396649999996</v>
      </c>
      <c r="F187" s="1">
        <v>0</v>
      </c>
      <c r="G187" s="1">
        <v>6.8603352960000002E-2</v>
      </c>
      <c r="H187" s="1">
        <v>0</v>
      </c>
      <c r="I187" s="1" t="s">
        <v>29</v>
      </c>
      <c r="J187" s="1" t="s">
        <v>29</v>
      </c>
      <c r="K187" s="1" t="s">
        <v>29</v>
      </c>
      <c r="L187" s="1" t="s">
        <v>29</v>
      </c>
      <c r="M187" s="1" t="s">
        <v>29</v>
      </c>
      <c r="N187" s="1" t="s">
        <v>29</v>
      </c>
      <c r="O187" s="1" t="s">
        <v>29</v>
      </c>
      <c r="P187" s="1" t="s">
        <v>29</v>
      </c>
      <c r="Q187" s="1">
        <f t="shared" si="0"/>
        <v>16</v>
      </c>
    </row>
    <row r="188" spans="1:17" ht="12.5">
      <c r="A188" s="1" t="s">
        <v>269</v>
      </c>
      <c r="B188" s="1" t="s">
        <v>107</v>
      </c>
      <c r="C188" s="1">
        <v>53771.300779999998</v>
      </c>
      <c r="D188" s="1">
        <v>27.994998930000001</v>
      </c>
      <c r="E188" s="1">
        <v>61.632891579999999</v>
      </c>
      <c r="F188" s="1">
        <v>9.54187005</v>
      </c>
      <c r="G188" s="1">
        <v>9.7800875240000007</v>
      </c>
      <c r="H188" s="1">
        <v>19.045150840000002</v>
      </c>
      <c r="I188" s="1">
        <v>51.779978929999999</v>
      </c>
      <c r="J188" s="1">
        <v>11.569004189999999</v>
      </c>
      <c r="K188" s="1">
        <v>12.519113219999999</v>
      </c>
      <c r="L188" s="1">
        <v>24.131903659999999</v>
      </c>
      <c r="M188" s="1">
        <v>86.975231449999995</v>
      </c>
      <c r="N188" s="1">
        <v>4.327944725</v>
      </c>
      <c r="O188" s="1">
        <v>2.7351426299999999</v>
      </c>
      <c r="P188" s="1">
        <v>5.9616811930000004</v>
      </c>
      <c r="Q188" s="1">
        <f t="shared" si="0"/>
        <v>16</v>
      </c>
    </row>
    <row r="189" spans="1:17" ht="12.5">
      <c r="A189" s="1" t="s">
        <v>267</v>
      </c>
      <c r="B189" s="1" t="s">
        <v>107</v>
      </c>
      <c r="C189" s="1">
        <v>54409.792970000002</v>
      </c>
      <c r="D189" s="1">
        <v>31.14100075</v>
      </c>
      <c r="E189" s="1">
        <v>83.718191910000002</v>
      </c>
      <c r="F189" s="1">
        <v>1.595436949</v>
      </c>
      <c r="G189" s="1">
        <v>5.1094247800000003</v>
      </c>
      <c r="H189" s="1">
        <v>9.5769463619999993</v>
      </c>
      <c r="I189" s="1">
        <v>78.422564690000002</v>
      </c>
      <c r="J189" s="1">
        <v>2.3169621419999999</v>
      </c>
      <c r="K189" s="1">
        <v>6.5923936940000001</v>
      </c>
      <c r="L189" s="1">
        <v>12.66807947</v>
      </c>
      <c r="M189" s="1">
        <v>95.427886060000006</v>
      </c>
      <c r="N189" s="1">
        <v>0</v>
      </c>
      <c r="O189" s="1">
        <v>1.8302830059999999</v>
      </c>
      <c r="P189" s="1">
        <v>2.741830931</v>
      </c>
      <c r="Q189" s="1">
        <f t="shared" si="0"/>
        <v>16</v>
      </c>
    </row>
    <row r="190" spans="1:17" ht="12.5">
      <c r="A190" s="1" t="s">
        <v>202</v>
      </c>
      <c r="B190" s="1" t="s">
        <v>74</v>
      </c>
      <c r="C190" s="1">
        <v>59308.691409999999</v>
      </c>
      <c r="D190" s="1">
        <v>67.354003910000003</v>
      </c>
      <c r="E190" s="1">
        <v>93.885057439999997</v>
      </c>
      <c r="F190" s="1">
        <v>2.7727361859999999</v>
      </c>
      <c r="G190" s="1">
        <v>1.410816657</v>
      </c>
      <c r="H190" s="1">
        <v>1.9313897120000001</v>
      </c>
      <c r="I190" s="1">
        <v>83.329481180000002</v>
      </c>
      <c r="J190" s="1">
        <v>6.9773593590000003</v>
      </c>
      <c r="K190" s="1">
        <v>3.7769992870000002</v>
      </c>
      <c r="L190" s="1">
        <v>5.9161601729999997</v>
      </c>
      <c r="M190" s="1">
        <v>99.001264840000005</v>
      </c>
      <c r="N190" s="1">
        <v>0.73478540299999995</v>
      </c>
      <c r="O190" s="1">
        <v>0.26394975469999998</v>
      </c>
      <c r="P190" s="1">
        <v>0</v>
      </c>
      <c r="Q190" s="1">
        <f t="shared" si="0"/>
        <v>16</v>
      </c>
    </row>
    <row r="191" spans="1:17" ht="12.5">
      <c r="A191" s="1" t="s">
        <v>265</v>
      </c>
      <c r="B191" s="1" t="s">
        <v>107</v>
      </c>
      <c r="C191" s="1">
        <v>59734.214840000001</v>
      </c>
      <c r="D191" s="1">
        <v>35.227001190000003</v>
      </c>
      <c r="E191" s="1">
        <v>60.716797589999999</v>
      </c>
      <c r="F191" s="1">
        <v>11.29007067</v>
      </c>
      <c r="G191" s="1">
        <v>14.51775136</v>
      </c>
      <c r="H191" s="1">
        <v>13.475380380000001</v>
      </c>
      <c r="I191" s="1">
        <v>45.446965339999998</v>
      </c>
      <c r="J191" s="1">
        <v>13.98368881</v>
      </c>
      <c r="K191" s="1">
        <v>21.21996133</v>
      </c>
      <c r="L191" s="1">
        <v>19.349384520000001</v>
      </c>
      <c r="M191" s="1">
        <v>88.793924899999993</v>
      </c>
      <c r="N191" s="1">
        <v>6.3372311659999996</v>
      </c>
      <c r="O191" s="1">
        <v>2.1941787860000002</v>
      </c>
      <c r="P191" s="1">
        <v>2.6746651520000002</v>
      </c>
      <c r="Q191" s="1">
        <f t="shared" si="0"/>
        <v>16</v>
      </c>
    </row>
    <row r="192" spans="1:17" ht="12.5">
      <c r="A192" s="1" t="s">
        <v>184</v>
      </c>
      <c r="B192" s="1" t="s">
        <v>69</v>
      </c>
      <c r="C192" s="1">
        <v>60461.828130000002</v>
      </c>
      <c r="D192" s="1">
        <v>71.038993840000003</v>
      </c>
      <c r="E192" s="1">
        <v>99.91703407</v>
      </c>
      <c r="F192" s="1">
        <v>0</v>
      </c>
      <c r="G192" s="1">
        <v>8.2965925910000002E-2</v>
      </c>
      <c r="H192" s="1">
        <v>0</v>
      </c>
      <c r="I192" s="1" t="s">
        <v>29</v>
      </c>
      <c r="J192" s="1" t="s">
        <v>29</v>
      </c>
      <c r="K192" s="1" t="s">
        <v>29</v>
      </c>
      <c r="L192" s="1" t="s">
        <v>29</v>
      </c>
      <c r="M192" s="1" t="s">
        <v>29</v>
      </c>
      <c r="N192" s="1" t="s">
        <v>29</v>
      </c>
      <c r="O192" s="1" t="s">
        <v>29</v>
      </c>
      <c r="P192" s="1" t="s">
        <v>29</v>
      </c>
      <c r="Q192" s="1">
        <f t="shared" si="0"/>
        <v>16</v>
      </c>
    </row>
    <row r="193" spans="1:17" ht="12.5">
      <c r="A193" s="1" t="s">
        <v>144</v>
      </c>
      <c r="B193" s="1" t="s">
        <v>69</v>
      </c>
      <c r="C193" s="1">
        <v>65273.511720000002</v>
      </c>
      <c r="D193" s="1">
        <v>80.974998470000003</v>
      </c>
      <c r="E193" s="1">
        <v>99.999998500000004</v>
      </c>
      <c r="F193" s="1">
        <v>0</v>
      </c>
      <c r="G193" s="1">
        <v>1.49610841E-6</v>
      </c>
      <c r="H193" s="1">
        <v>0</v>
      </c>
      <c r="I193" s="1">
        <v>100</v>
      </c>
      <c r="J193" s="1">
        <v>0</v>
      </c>
      <c r="K193" s="1">
        <v>0</v>
      </c>
      <c r="L193" s="1">
        <v>0</v>
      </c>
      <c r="M193" s="1">
        <v>100</v>
      </c>
      <c r="N193" s="1">
        <v>0</v>
      </c>
      <c r="O193" s="1">
        <v>0</v>
      </c>
      <c r="P193" s="1">
        <v>0</v>
      </c>
      <c r="Q193" s="1">
        <f t="shared" si="0"/>
        <v>16</v>
      </c>
    </row>
    <row r="194" spans="1:17" ht="12.5">
      <c r="A194" s="1" t="s">
        <v>128</v>
      </c>
      <c r="B194" s="1" t="s">
        <v>69</v>
      </c>
      <c r="C194" s="1">
        <v>67886.007809999996</v>
      </c>
      <c r="D194" s="1">
        <v>83.902999879999996</v>
      </c>
      <c r="E194" s="1">
        <v>99.999998559999995</v>
      </c>
      <c r="F194" s="1">
        <v>0</v>
      </c>
      <c r="G194" s="1">
        <v>1.4385328199999999E-6</v>
      </c>
      <c r="H194" s="1">
        <v>0</v>
      </c>
      <c r="I194" s="1">
        <v>100</v>
      </c>
      <c r="J194" s="1">
        <v>0</v>
      </c>
      <c r="K194" s="1">
        <v>0</v>
      </c>
      <c r="L194" s="1">
        <v>0</v>
      </c>
      <c r="M194" s="1">
        <v>100</v>
      </c>
      <c r="N194" s="1">
        <v>0</v>
      </c>
      <c r="O194" s="1">
        <v>0</v>
      </c>
      <c r="P194" s="1">
        <v>0</v>
      </c>
      <c r="Q194" s="1">
        <f t="shared" si="0"/>
        <v>16</v>
      </c>
    </row>
    <row r="195" spans="1:17" ht="12.5">
      <c r="A195" s="1" t="s">
        <v>235</v>
      </c>
      <c r="B195" s="1" t="s">
        <v>74</v>
      </c>
      <c r="C195" s="1">
        <v>69799.976559999996</v>
      </c>
      <c r="D195" s="1">
        <v>51.430000309999997</v>
      </c>
      <c r="E195" s="1">
        <v>100</v>
      </c>
      <c r="F195" s="1">
        <v>0</v>
      </c>
      <c r="G195" s="1">
        <v>0</v>
      </c>
      <c r="H195" s="1">
        <v>0</v>
      </c>
      <c r="I195" s="1">
        <v>100</v>
      </c>
      <c r="J195" s="1">
        <v>0</v>
      </c>
      <c r="K195" s="1">
        <v>0</v>
      </c>
      <c r="L195" s="1">
        <v>0</v>
      </c>
      <c r="M195" s="1">
        <v>100</v>
      </c>
      <c r="N195" s="1">
        <v>0</v>
      </c>
      <c r="O195" s="1">
        <v>0</v>
      </c>
      <c r="P195" s="1">
        <v>0</v>
      </c>
      <c r="Q195" s="1">
        <f t="shared" si="0"/>
        <v>16</v>
      </c>
    </row>
    <row r="196" spans="1:17" ht="12.5">
      <c r="A196" s="1" t="s">
        <v>161</v>
      </c>
      <c r="B196" s="1" t="s">
        <v>69</v>
      </c>
      <c r="C196" s="1">
        <v>83783.945309999996</v>
      </c>
      <c r="D196" s="1">
        <v>77.453002929999997</v>
      </c>
      <c r="E196" s="1">
        <v>100.00000230000001</v>
      </c>
      <c r="F196" s="1">
        <v>0</v>
      </c>
      <c r="G196" s="1">
        <v>0</v>
      </c>
      <c r="H196" s="1">
        <v>0</v>
      </c>
      <c r="I196" s="1">
        <v>100</v>
      </c>
      <c r="J196" s="1">
        <v>0</v>
      </c>
      <c r="K196" s="1">
        <v>0</v>
      </c>
      <c r="L196" s="1">
        <v>0</v>
      </c>
      <c r="M196" s="1">
        <v>100</v>
      </c>
      <c r="N196" s="1">
        <v>0</v>
      </c>
      <c r="O196" s="1">
        <v>0</v>
      </c>
      <c r="P196" s="1">
        <v>0</v>
      </c>
      <c r="Q196" s="1">
        <f t="shared" si="0"/>
        <v>16</v>
      </c>
    </row>
    <row r="197" spans="1:17" ht="12.5">
      <c r="A197" s="1" t="s">
        <v>164</v>
      </c>
      <c r="B197" s="1" t="s">
        <v>107</v>
      </c>
      <c r="C197" s="1">
        <v>83992.953129999994</v>
      </c>
      <c r="D197" s="1">
        <v>75.874000550000005</v>
      </c>
      <c r="E197" s="1">
        <v>97.482636330000005</v>
      </c>
      <c r="F197" s="1">
        <v>1.938311229</v>
      </c>
      <c r="G197" s="1">
        <v>0.51379736310000002</v>
      </c>
      <c r="H197" s="1">
        <v>6.5255081849999994E-2</v>
      </c>
      <c r="I197" s="1">
        <v>93.828735379999998</v>
      </c>
      <c r="J197" s="1">
        <v>4.2979487650000001</v>
      </c>
      <c r="K197" s="1">
        <v>1.602839669</v>
      </c>
      <c r="L197" s="1">
        <v>0.27047619049999999</v>
      </c>
      <c r="M197" s="1">
        <v>98.644486720000003</v>
      </c>
      <c r="N197" s="1">
        <v>1.1880066709999999</v>
      </c>
      <c r="O197" s="1">
        <v>0.1675066077</v>
      </c>
      <c r="P197" s="1">
        <v>0</v>
      </c>
      <c r="Q197" s="1">
        <f t="shared" si="0"/>
        <v>16</v>
      </c>
    </row>
    <row r="198" spans="1:17" ht="12.5">
      <c r="A198" s="1" t="s">
        <v>166</v>
      </c>
      <c r="B198" s="1" t="s">
        <v>74</v>
      </c>
      <c r="C198" s="1">
        <v>84339.070309999996</v>
      </c>
      <c r="D198" s="1">
        <v>76.105003359999998</v>
      </c>
      <c r="E198" s="1">
        <v>97.014269159999998</v>
      </c>
      <c r="F198" s="1">
        <v>2.0230780749999999</v>
      </c>
      <c r="G198" s="1">
        <v>0.73767495449999998</v>
      </c>
      <c r="H198" s="1">
        <v>0.2249778093</v>
      </c>
      <c r="I198" s="1">
        <v>96.025169770000005</v>
      </c>
      <c r="J198" s="1">
        <v>2.684574639</v>
      </c>
      <c r="K198" s="1">
        <v>0.78825559109999999</v>
      </c>
      <c r="L198" s="1">
        <v>0.502</v>
      </c>
      <c r="M198" s="1">
        <v>97.324817830000001</v>
      </c>
      <c r="N198" s="1">
        <v>1.8153852029999999</v>
      </c>
      <c r="O198" s="1">
        <v>0.72179696339999999</v>
      </c>
      <c r="P198" s="1">
        <v>0.13800000000000001</v>
      </c>
      <c r="Q198" s="1">
        <f t="shared" si="0"/>
        <v>16</v>
      </c>
    </row>
    <row r="199" spans="1:17" ht="12.5">
      <c r="A199" s="1" t="s">
        <v>247</v>
      </c>
      <c r="B199" s="1" t="s">
        <v>107</v>
      </c>
      <c r="C199" s="1">
        <v>89561.40625</v>
      </c>
      <c r="D199" s="1">
        <v>45.638000490000003</v>
      </c>
      <c r="E199" s="1">
        <v>45.952126960000001</v>
      </c>
      <c r="F199" s="1">
        <v>13.44122447</v>
      </c>
      <c r="G199" s="1">
        <v>32.542316069999998</v>
      </c>
      <c r="H199" s="1">
        <v>8.0643324950000004</v>
      </c>
      <c r="I199" s="1">
        <v>21.98279234</v>
      </c>
      <c r="J199" s="1">
        <v>12.68294146</v>
      </c>
      <c r="K199" s="1">
        <v>51.215981669999998</v>
      </c>
      <c r="L199" s="1">
        <v>14.11828453</v>
      </c>
      <c r="M199" s="1">
        <v>74.503354779999995</v>
      </c>
      <c r="N199" s="1">
        <v>14.34445818</v>
      </c>
      <c r="O199" s="1">
        <v>10.29905862</v>
      </c>
      <c r="P199" s="1">
        <v>0.85312841309999998</v>
      </c>
      <c r="Q199" s="1">
        <f t="shared" si="0"/>
        <v>16</v>
      </c>
    </row>
    <row r="200" spans="1:17" ht="12.5">
      <c r="A200" s="1" t="s">
        <v>262</v>
      </c>
      <c r="B200" s="1" t="s">
        <v>107</v>
      </c>
      <c r="C200" s="1">
        <v>97338.585940000004</v>
      </c>
      <c r="D200" s="1">
        <v>37.340000150000002</v>
      </c>
      <c r="E200" s="1">
        <v>96.884356870000005</v>
      </c>
      <c r="F200" s="1">
        <v>0</v>
      </c>
      <c r="G200" s="1">
        <v>3.1156431260000002</v>
      </c>
      <c r="H200" s="1">
        <v>0</v>
      </c>
      <c r="I200" s="1">
        <v>95.514538439999995</v>
      </c>
      <c r="J200" s="1">
        <v>0</v>
      </c>
      <c r="K200" s="1">
        <v>4.4854615600000001</v>
      </c>
      <c r="L200" s="1">
        <v>0</v>
      </c>
      <c r="M200" s="1">
        <v>99.183040009999999</v>
      </c>
      <c r="N200" s="1">
        <v>0</v>
      </c>
      <c r="O200" s="1">
        <v>0.81695998700000005</v>
      </c>
      <c r="P200" s="1">
        <v>0</v>
      </c>
      <c r="Q200" s="1">
        <f t="shared" si="0"/>
        <v>16</v>
      </c>
    </row>
    <row r="201" spans="1:17" ht="12.5">
      <c r="A201" s="1" t="s">
        <v>251</v>
      </c>
      <c r="B201" s="1" t="s">
        <v>107</v>
      </c>
      <c r="C201" s="1">
        <v>102334.4063</v>
      </c>
      <c r="D201" s="1">
        <v>42.783000950000002</v>
      </c>
      <c r="E201" s="1">
        <v>99.440175960000005</v>
      </c>
      <c r="F201" s="1">
        <v>0.23760910860000001</v>
      </c>
      <c r="G201" s="1">
        <v>0.3222149265</v>
      </c>
      <c r="H201" s="1">
        <v>0</v>
      </c>
      <c r="I201" s="1">
        <v>99.332835149999994</v>
      </c>
      <c r="J201" s="1">
        <v>0.33594182239999998</v>
      </c>
      <c r="K201" s="1">
        <v>0.33122303190000002</v>
      </c>
      <c r="L201" s="1">
        <v>0</v>
      </c>
      <c r="M201" s="1">
        <v>99.583731099999994</v>
      </c>
      <c r="N201" s="1">
        <v>0.10610120670000001</v>
      </c>
      <c r="O201" s="1">
        <v>0.31016769430000002</v>
      </c>
      <c r="P201" s="1">
        <v>0</v>
      </c>
      <c r="Q201" s="1">
        <f t="shared" si="0"/>
        <v>16</v>
      </c>
    </row>
    <row r="202" spans="1:17" ht="12.5">
      <c r="A202" s="1" t="s">
        <v>245</v>
      </c>
      <c r="B202" s="1" t="s">
        <v>107</v>
      </c>
      <c r="C202" s="1">
        <v>109581.08590000001</v>
      </c>
      <c r="D202" s="1">
        <v>47.407997129999998</v>
      </c>
      <c r="E202" s="1">
        <v>94.109034559999998</v>
      </c>
      <c r="F202" s="1">
        <v>2.8564861370000001</v>
      </c>
      <c r="G202" s="1">
        <v>3.0344793069999998</v>
      </c>
      <c r="H202" s="1">
        <v>0</v>
      </c>
      <c r="I202" s="1">
        <v>91.06193322</v>
      </c>
      <c r="J202" s="1">
        <v>3.9595204279999998</v>
      </c>
      <c r="K202" s="1">
        <v>4.978546347</v>
      </c>
      <c r="L202" s="1">
        <v>0</v>
      </c>
      <c r="M202" s="1">
        <v>97.489332500000003</v>
      </c>
      <c r="N202" s="1">
        <v>1.632836465</v>
      </c>
      <c r="O202" s="1">
        <v>0.87783103600000001</v>
      </c>
      <c r="P202" s="1">
        <v>0</v>
      </c>
      <c r="Q202" s="1">
        <f t="shared" si="0"/>
        <v>16</v>
      </c>
    </row>
    <row r="203" spans="1:17" ht="12.5">
      <c r="A203" s="1" t="s">
        <v>276</v>
      </c>
      <c r="B203" s="1" t="s">
        <v>170</v>
      </c>
      <c r="C203" s="1">
        <v>114963.58590000001</v>
      </c>
      <c r="D203" s="1">
        <v>21.69499969</v>
      </c>
      <c r="E203" s="1">
        <v>49.615572739999998</v>
      </c>
      <c r="F203" s="1">
        <v>26.740719639999998</v>
      </c>
      <c r="G203" s="1">
        <v>18.635060129999999</v>
      </c>
      <c r="H203" s="1">
        <v>5.0086474860000001</v>
      </c>
      <c r="I203" s="1">
        <v>40.03013919</v>
      </c>
      <c r="J203" s="1">
        <v>30.186683339999998</v>
      </c>
      <c r="K203" s="1">
        <v>23.49561327</v>
      </c>
      <c r="L203" s="1">
        <v>6.2875642029999996</v>
      </c>
      <c r="M203" s="1">
        <v>84.212828160000001</v>
      </c>
      <c r="N203" s="1">
        <v>14.30300858</v>
      </c>
      <c r="O203" s="1">
        <v>1.0915823549999999</v>
      </c>
      <c r="P203" s="1">
        <v>0.39258089600000001</v>
      </c>
      <c r="Q203" s="1">
        <f t="shared" si="0"/>
        <v>16</v>
      </c>
    </row>
    <row r="204" spans="1:17" ht="12.5">
      <c r="A204" s="1" t="s">
        <v>95</v>
      </c>
      <c r="B204" s="1" t="s">
        <v>69</v>
      </c>
      <c r="C204" s="1">
        <v>126476.46090000001</v>
      </c>
      <c r="D204" s="1">
        <v>91.781997680000003</v>
      </c>
      <c r="E204" s="1">
        <v>99.078912450000004</v>
      </c>
      <c r="F204" s="1">
        <v>0</v>
      </c>
      <c r="G204" s="1">
        <v>0.92108754670000004</v>
      </c>
      <c r="H204" s="1">
        <v>0</v>
      </c>
      <c r="I204" s="1" t="s">
        <v>29</v>
      </c>
      <c r="J204" s="1" t="s">
        <v>29</v>
      </c>
      <c r="K204" s="1" t="s">
        <v>29</v>
      </c>
      <c r="L204" s="1" t="s">
        <v>29</v>
      </c>
      <c r="M204" s="1" t="s">
        <v>29</v>
      </c>
      <c r="N204" s="1" t="s">
        <v>29</v>
      </c>
      <c r="O204" s="1" t="s">
        <v>29</v>
      </c>
      <c r="P204" s="1" t="s">
        <v>29</v>
      </c>
      <c r="Q204" s="1">
        <f t="shared" si="0"/>
        <v>16</v>
      </c>
    </row>
    <row r="205" spans="1:17" ht="12.5">
      <c r="A205" s="1" t="s">
        <v>145</v>
      </c>
      <c r="B205" s="1" t="s">
        <v>74</v>
      </c>
      <c r="C205" s="1">
        <v>128932.75</v>
      </c>
      <c r="D205" s="1">
        <v>80.730995179999994</v>
      </c>
      <c r="E205" s="1">
        <v>99.679568279999998</v>
      </c>
      <c r="F205" s="1">
        <v>0</v>
      </c>
      <c r="G205" s="1">
        <v>0.3204317169</v>
      </c>
      <c r="H205" s="1">
        <v>0</v>
      </c>
      <c r="I205" s="1">
        <v>98.337068930000001</v>
      </c>
      <c r="J205" s="1">
        <v>0</v>
      </c>
      <c r="K205" s="1">
        <v>1.6629310669999999</v>
      </c>
      <c r="L205" s="1">
        <v>0</v>
      </c>
      <c r="M205" s="1">
        <v>100</v>
      </c>
      <c r="N205" s="1">
        <v>0</v>
      </c>
      <c r="O205" s="1">
        <v>0</v>
      </c>
      <c r="P205" s="1">
        <v>0</v>
      </c>
      <c r="Q205" s="1">
        <f t="shared" si="0"/>
        <v>16</v>
      </c>
    </row>
    <row r="206" spans="1:17" ht="12.5">
      <c r="A206" s="1" t="s">
        <v>168</v>
      </c>
      <c r="B206" s="1" t="s">
        <v>74</v>
      </c>
      <c r="C206" s="1">
        <v>145934.45310000001</v>
      </c>
      <c r="D206" s="1">
        <v>74.754005430000007</v>
      </c>
      <c r="E206" s="1">
        <v>96.992548069999998</v>
      </c>
      <c r="F206" s="1">
        <v>0.62199637659999996</v>
      </c>
      <c r="G206" s="1">
        <v>2.3854555500000001</v>
      </c>
      <c r="H206" s="1" t="s">
        <v>29</v>
      </c>
      <c r="I206" s="1">
        <v>91.544101960000006</v>
      </c>
      <c r="J206" s="1">
        <v>1.5831635129999999</v>
      </c>
      <c r="K206" s="1">
        <v>6.8727345309999999</v>
      </c>
      <c r="L206" s="1" t="s">
        <v>29</v>
      </c>
      <c r="M206" s="1">
        <v>98.832599610000003</v>
      </c>
      <c r="N206" s="1">
        <v>0.29738996870000001</v>
      </c>
      <c r="O206" s="1">
        <v>0.67001042359999996</v>
      </c>
      <c r="P206" s="1">
        <v>0.2</v>
      </c>
      <c r="Q206" s="1">
        <f t="shared" si="0"/>
        <v>16</v>
      </c>
    </row>
    <row r="207" spans="1:17" ht="12.5">
      <c r="A207" s="1" t="s">
        <v>260</v>
      </c>
      <c r="B207" s="1" t="s">
        <v>107</v>
      </c>
      <c r="C207" s="1">
        <v>164689.39060000001</v>
      </c>
      <c r="D207" s="1">
        <v>38.177001949999998</v>
      </c>
      <c r="E207" s="1">
        <v>97.697960249999994</v>
      </c>
      <c r="F207" s="1">
        <v>1.1564258780000001</v>
      </c>
      <c r="G207" s="1">
        <v>0.46265570020000002</v>
      </c>
      <c r="H207" s="1">
        <v>0.68295817349999999</v>
      </c>
      <c r="I207" s="1">
        <v>97.88023776</v>
      </c>
      <c r="J207" s="1">
        <v>0.85810498040000005</v>
      </c>
      <c r="K207" s="1">
        <v>0.31648024139999997</v>
      </c>
      <c r="L207" s="1">
        <v>0.94517701509999996</v>
      </c>
      <c r="M207" s="1">
        <v>97.402777970000002</v>
      </c>
      <c r="N207" s="1">
        <v>1.6395201210000001</v>
      </c>
      <c r="O207" s="1">
        <v>0.69937521469999997</v>
      </c>
      <c r="P207" s="1">
        <v>0.25832669339999997</v>
      </c>
      <c r="Q207" s="1">
        <f t="shared" si="0"/>
        <v>16</v>
      </c>
    </row>
    <row r="208" spans="1:17" ht="12.5">
      <c r="A208" s="1" t="s">
        <v>234</v>
      </c>
      <c r="B208" s="1" t="s">
        <v>107</v>
      </c>
      <c r="C208" s="1">
        <v>206139.5938</v>
      </c>
      <c r="D208" s="1">
        <v>51.958000179999999</v>
      </c>
      <c r="E208" s="1">
        <v>77.609053380000006</v>
      </c>
      <c r="F208" s="1">
        <v>4.9793993429999999</v>
      </c>
      <c r="G208" s="1">
        <v>11.79691148</v>
      </c>
      <c r="H208" s="1">
        <v>5.6146357939999998</v>
      </c>
      <c r="I208" s="1">
        <v>61.658210029999999</v>
      </c>
      <c r="J208" s="1">
        <v>7.1289245829999999</v>
      </c>
      <c r="K208" s="1">
        <v>20.924875350000001</v>
      </c>
      <c r="L208" s="1">
        <v>10.28799004</v>
      </c>
      <c r="M208" s="1">
        <v>92.357705190000004</v>
      </c>
      <c r="N208" s="1">
        <v>2.9918806500000001</v>
      </c>
      <c r="O208" s="1">
        <v>3.356908786</v>
      </c>
      <c r="P208" s="1">
        <v>1.2935053700000001</v>
      </c>
      <c r="Q208" s="1">
        <f t="shared" si="0"/>
        <v>16</v>
      </c>
    </row>
    <row r="209" spans="1:17" ht="12.5">
      <c r="A209" s="1" t="s">
        <v>119</v>
      </c>
      <c r="B209" s="1" t="s">
        <v>74</v>
      </c>
      <c r="C209" s="1">
        <v>212559.4063</v>
      </c>
      <c r="D209" s="1">
        <v>87.072998049999995</v>
      </c>
      <c r="E209" s="1">
        <v>99.320852990000006</v>
      </c>
      <c r="F209" s="1">
        <v>0.12654900390000001</v>
      </c>
      <c r="G209" s="1">
        <v>0.55259800989999996</v>
      </c>
      <c r="H209" s="1" t="s">
        <v>29</v>
      </c>
      <c r="I209" s="1">
        <v>95.945259530000001</v>
      </c>
      <c r="J209" s="1">
        <v>0.97895091540000001</v>
      </c>
      <c r="K209" s="1">
        <v>3.0757895510000002</v>
      </c>
      <c r="L209" s="1" t="s">
        <v>29</v>
      </c>
      <c r="M209" s="1">
        <v>99.822001310000005</v>
      </c>
      <c r="N209" s="1">
        <v>0</v>
      </c>
      <c r="O209" s="1">
        <v>0.1779986949</v>
      </c>
      <c r="P209" s="1">
        <v>0</v>
      </c>
      <c r="Q209" s="1">
        <f t="shared" si="0"/>
        <v>16</v>
      </c>
    </row>
    <row r="210" spans="1:17" ht="12.5">
      <c r="A210" s="1" t="s">
        <v>263</v>
      </c>
      <c r="B210" s="1" t="s">
        <v>107</v>
      </c>
      <c r="C210" s="1">
        <v>220892.32810000001</v>
      </c>
      <c r="D210" s="1">
        <v>37.165000919999997</v>
      </c>
      <c r="E210" s="1">
        <v>90.148965079999996</v>
      </c>
      <c r="F210" s="1">
        <v>3.8222795249999999</v>
      </c>
      <c r="G210" s="1">
        <v>4.4133075740000001</v>
      </c>
      <c r="H210" s="1">
        <v>1.61544782</v>
      </c>
      <c r="I210" s="1">
        <v>88.599860759999999</v>
      </c>
      <c r="J210" s="1">
        <v>3.852278117</v>
      </c>
      <c r="K210" s="1">
        <v>5.1745965089999997</v>
      </c>
      <c r="L210" s="1">
        <v>2.3732646169999998</v>
      </c>
      <c r="M210" s="1">
        <v>92.768049849999997</v>
      </c>
      <c r="N210" s="1">
        <v>3.7715611619999998</v>
      </c>
      <c r="O210" s="1">
        <v>3.126184571</v>
      </c>
      <c r="P210" s="1">
        <v>0.33420442230000003</v>
      </c>
      <c r="Q210" s="1">
        <f t="shared" si="0"/>
        <v>16</v>
      </c>
    </row>
    <row r="211" spans="1:17" ht="12.5">
      <c r="A211" s="1" t="s">
        <v>226</v>
      </c>
      <c r="B211" s="1" t="s">
        <v>107</v>
      </c>
      <c r="C211" s="1">
        <v>273523.625</v>
      </c>
      <c r="D211" s="1">
        <v>56.640998840000002</v>
      </c>
      <c r="E211" s="1">
        <v>92.415349610000007</v>
      </c>
      <c r="F211" s="1">
        <v>0.85547463349999997</v>
      </c>
      <c r="G211" s="1">
        <v>5.553871666</v>
      </c>
      <c r="H211" s="1">
        <v>1.175304087</v>
      </c>
      <c r="I211" s="1">
        <v>85.667962380000006</v>
      </c>
      <c r="J211" s="1">
        <v>1.1780912299999999</v>
      </c>
      <c r="K211" s="1">
        <v>10.61491462</v>
      </c>
      <c r="L211" s="1">
        <v>2.539031772</v>
      </c>
      <c r="M211" s="1">
        <v>97.580512069999997</v>
      </c>
      <c r="N211" s="1">
        <v>0.60850983449999996</v>
      </c>
      <c r="O211" s="1">
        <v>1.679615139</v>
      </c>
      <c r="P211" s="1">
        <v>0.13136295880000001</v>
      </c>
      <c r="Q211" s="1">
        <f t="shared" si="0"/>
        <v>16</v>
      </c>
    </row>
    <row r="212" spans="1:17" ht="12.5">
      <c r="A212" s="1" t="s">
        <v>132</v>
      </c>
      <c r="B212" s="1" t="s">
        <v>69</v>
      </c>
      <c r="C212" s="1">
        <v>331002.65629999997</v>
      </c>
      <c r="D212" s="1">
        <v>82.664001459999994</v>
      </c>
      <c r="E212" s="1">
        <v>99.883526680000003</v>
      </c>
      <c r="F212" s="1">
        <v>0</v>
      </c>
      <c r="G212" s="1">
        <v>0.1164733182</v>
      </c>
      <c r="H212" s="1">
        <v>0</v>
      </c>
      <c r="I212" s="1">
        <v>99.670787340000004</v>
      </c>
      <c r="J212" s="1">
        <v>0</v>
      </c>
      <c r="K212" s="1">
        <v>0.3292126628</v>
      </c>
      <c r="L212" s="1">
        <v>0</v>
      </c>
      <c r="M212" s="1">
        <v>99.928144470000007</v>
      </c>
      <c r="N212" s="1">
        <v>0</v>
      </c>
      <c r="O212" s="1">
        <v>7.1855529599999995E-2</v>
      </c>
      <c r="P212" s="1">
        <v>0</v>
      </c>
      <c r="Q212" s="1">
        <f t="shared" si="0"/>
        <v>16</v>
      </c>
    </row>
    <row r="213" spans="1:17" ht="12.5">
      <c r="A213" s="1" t="s">
        <v>266</v>
      </c>
      <c r="B213" s="1" t="s">
        <v>107</v>
      </c>
      <c r="C213" s="1">
        <v>1380004.375</v>
      </c>
      <c r="D213" s="1">
        <v>34.926002500000003</v>
      </c>
      <c r="E213" s="1">
        <v>90.489525029999996</v>
      </c>
      <c r="F213" s="1">
        <v>4.9836025619999997</v>
      </c>
      <c r="G213" s="1">
        <v>3.9631539450000002</v>
      </c>
      <c r="H213" s="1">
        <v>0.56371846260000003</v>
      </c>
      <c r="I213" s="1">
        <v>88.782503129999995</v>
      </c>
      <c r="J213" s="1">
        <v>5.9022100540000002</v>
      </c>
      <c r="K213" s="1">
        <v>4.5763757299999996</v>
      </c>
      <c r="L213" s="1">
        <v>0.73891108559999996</v>
      </c>
      <c r="M213" s="1">
        <v>93.670036300000007</v>
      </c>
      <c r="N213" s="1">
        <v>3.2720560270000001</v>
      </c>
      <c r="O213" s="1">
        <v>2.8206075230000001</v>
      </c>
      <c r="P213" s="1">
        <v>0.2373001538</v>
      </c>
      <c r="Q213" s="1">
        <f t="shared" si="0"/>
        <v>16</v>
      </c>
    </row>
    <row r="214" spans="1:17" ht="12.5">
      <c r="A214" s="1" t="s">
        <v>212</v>
      </c>
      <c r="B214" s="1" t="s">
        <v>74</v>
      </c>
      <c r="C214" s="1">
        <v>1463140.5</v>
      </c>
      <c r="D214" s="1">
        <v>61.713088990000003</v>
      </c>
      <c r="E214" s="1">
        <v>94.261110590000001</v>
      </c>
      <c r="F214" s="1">
        <v>0.8147213297</v>
      </c>
      <c r="G214" s="1">
        <v>4.725451938</v>
      </c>
      <c r="H214" s="1">
        <v>0.19871614409999999</v>
      </c>
      <c r="I214" s="1">
        <v>89.661233510000002</v>
      </c>
      <c r="J214" s="1">
        <v>1.832679086</v>
      </c>
      <c r="K214" s="1">
        <v>8.5060874089999992</v>
      </c>
      <c r="L214" s="1">
        <v>0</v>
      </c>
      <c r="M214" s="1">
        <v>97.11488267</v>
      </c>
      <c r="N214" s="1">
        <v>0.1831784927</v>
      </c>
      <c r="O214" s="1">
        <v>2.3799388399999999</v>
      </c>
      <c r="P214" s="1">
        <v>0.32200000000000001</v>
      </c>
      <c r="Q214" s="1">
        <f t="shared" si="0"/>
        <v>16</v>
      </c>
    </row>
    <row r="216" spans="1:17" ht="12.5">
      <c r="D216" s="8"/>
      <c r="E216" s="8"/>
      <c r="F216" s="8"/>
      <c r="G216" s="8"/>
      <c r="H216" s="8"/>
      <c r="I216" s="8"/>
      <c r="J216" s="8"/>
      <c r="L216" s="8"/>
      <c r="M2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Charts</vt:lpstr>
      </vt:variant>
      <vt:variant>
        <vt:i4>3</vt:i4>
      </vt:variant>
    </vt:vector>
  </HeadingPairs>
  <TitlesOfParts>
    <vt:vector size="16" baseType="lpstr">
      <vt:lpstr>Filter space</vt:lpstr>
      <vt:lpstr>Estimates on the use of water (</vt:lpstr>
      <vt:lpstr>Global 2020 report</vt:lpstr>
      <vt:lpstr>Improved pivot table</vt:lpstr>
      <vt:lpstr>Detail1-3</vt:lpstr>
      <vt:lpstr>Sheet3</vt:lpstr>
      <vt:lpstr>Pivot Table 2</vt:lpstr>
      <vt:lpstr>Chart8</vt:lpstr>
      <vt:lpstr>Chart7</vt:lpstr>
      <vt:lpstr>Chart6</vt:lpstr>
      <vt:lpstr>Chart9</vt:lpstr>
      <vt:lpstr>Chart2</vt:lpstr>
      <vt:lpstr>Copy of Estimates on the use of</vt:lpstr>
      <vt:lpstr>Chart5</vt:lpstr>
      <vt:lpstr>Chart4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Immanuel</cp:lastModifiedBy>
  <dcterms:modified xsi:type="dcterms:W3CDTF">2026-10-14T16:47:49Z</dcterms:modified>
</cp:coreProperties>
</file>