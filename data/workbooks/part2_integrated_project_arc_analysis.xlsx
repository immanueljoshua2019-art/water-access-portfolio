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water-access-portfolio\water-access-portfolio\data\workbooks\"/>
    </mc:Choice>
  </mc:AlternateContent>
  <xr:revisionPtr revIDLastSave="0" documentId="8_{CD0110C3-8226-4811-AC4E-CFAEFA44C54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stimates of the use of water (" sheetId="1" r:id="rId1"/>
    <sheet name="Pivot Table 3" sheetId="2" r:id="rId2"/>
    <sheet name="Summary sheet" sheetId="3" r:id="rId3"/>
    <sheet name="Sheet2" sheetId="4" r:id="rId4"/>
    <sheet name="Copy of Estimates of the use of" sheetId="5" r:id="rId5"/>
    <sheet name="Sheet3" sheetId="6" r:id="rId6"/>
    <sheet name="Sheet4" sheetId="7" r:id="rId7"/>
  </sheets>
  <definedNames>
    <definedName name="_xlnm._FilterDatabase" localSheetId="5" hidden="1">Sheet3!$A$1:$T$465</definedName>
  </definedNames>
  <calcPr calcId="191029"/>
  <pivotCaches>
    <pivotCache cacheId="6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63" i="6" l="1"/>
  <c r="T463" i="6"/>
  <c r="S463" i="6"/>
  <c r="R463" i="6"/>
  <c r="Q463" i="6"/>
  <c r="U462" i="6"/>
  <c r="T462" i="6"/>
  <c r="S462" i="6"/>
  <c r="R462" i="6"/>
  <c r="Q462" i="6"/>
  <c r="U461" i="6"/>
  <c r="T461" i="6"/>
  <c r="S461" i="6"/>
  <c r="R461" i="6"/>
  <c r="Q461" i="6"/>
  <c r="U460" i="6"/>
  <c r="T460" i="6"/>
  <c r="S460" i="6"/>
  <c r="R460" i="6"/>
  <c r="Q460" i="6"/>
  <c r="U459" i="6"/>
  <c r="T459" i="6"/>
  <c r="S459" i="6"/>
  <c r="R459" i="6"/>
  <c r="Q459" i="6"/>
  <c r="U458" i="6"/>
  <c r="T458" i="6"/>
  <c r="S458" i="6"/>
  <c r="R458" i="6"/>
  <c r="Q458" i="6"/>
  <c r="U457" i="6"/>
  <c r="T457" i="6"/>
  <c r="S457" i="6"/>
  <c r="R457" i="6"/>
  <c r="Q457" i="6"/>
  <c r="U456" i="6"/>
  <c r="T456" i="6"/>
  <c r="S456" i="6"/>
  <c r="R456" i="6"/>
  <c r="Q456" i="6"/>
  <c r="U455" i="6"/>
  <c r="T455" i="6"/>
  <c r="S455" i="6"/>
  <c r="R455" i="6"/>
  <c r="Q455" i="6"/>
  <c r="U454" i="6"/>
  <c r="T454" i="6"/>
  <c r="S454" i="6"/>
  <c r="R454" i="6"/>
  <c r="Q454" i="6"/>
  <c r="U453" i="6"/>
  <c r="T453" i="6"/>
  <c r="S453" i="6"/>
  <c r="R453" i="6"/>
  <c r="Q453" i="6"/>
  <c r="U452" i="6"/>
  <c r="T452" i="6"/>
  <c r="S452" i="6"/>
  <c r="R452" i="6"/>
  <c r="Q452" i="6"/>
  <c r="U451" i="6"/>
  <c r="T451" i="6"/>
  <c r="S451" i="6"/>
  <c r="R451" i="6"/>
  <c r="Q451" i="6"/>
  <c r="U450" i="6"/>
  <c r="T450" i="6"/>
  <c r="S450" i="6"/>
  <c r="R450" i="6"/>
  <c r="Q450" i="6"/>
  <c r="U449" i="6"/>
  <c r="T449" i="6"/>
  <c r="S449" i="6"/>
  <c r="R449" i="6"/>
  <c r="Q449" i="6"/>
  <c r="U448" i="6"/>
  <c r="T448" i="6"/>
  <c r="S448" i="6"/>
  <c r="R448" i="6"/>
  <c r="Q448" i="6"/>
  <c r="U447" i="6"/>
  <c r="T447" i="6"/>
  <c r="S447" i="6"/>
  <c r="R447" i="6"/>
  <c r="Q447" i="6"/>
  <c r="U446" i="6"/>
  <c r="T446" i="6"/>
  <c r="S446" i="6"/>
  <c r="R446" i="6"/>
  <c r="Q446" i="6"/>
  <c r="U445" i="6"/>
  <c r="T445" i="6"/>
  <c r="S445" i="6"/>
  <c r="R445" i="6"/>
  <c r="Q445" i="6"/>
  <c r="U444" i="6"/>
  <c r="T444" i="6"/>
  <c r="S444" i="6"/>
  <c r="R444" i="6"/>
  <c r="Q444" i="6"/>
  <c r="U443" i="6"/>
  <c r="T443" i="6"/>
  <c r="S443" i="6"/>
  <c r="R443" i="6"/>
  <c r="Q443" i="6"/>
  <c r="U442" i="6"/>
  <c r="T442" i="6"/>
  <c r="S442" i="6"/>
  <c r="R442" i="6"/>
  <c r="Q442" i="6"/>
  <c r="U441" i="6"/>
  <c r="T441" i="6"/>
  <c r="S441" i="6"/>
  <c r="R441" i="6"/>
  <c r="Q441" i="6"/>
  <c r="U440" i="6"/>
  <c r="T440" i="6"/>
  <c r="S440" i="6"/>
  <c r="R440" i="6"/>
  <c r="Q440" i="6"/>
  <c r="U439" i="6"/>
  <c r="T439" i="6"/>
  <c r="S439" i="6"/>
  <c r="R439" i="6"/>
  <c r="Q439" i="6"/>
  <c r="U438" i="6"/>
  <c r="T438" i="6"/>
  <c r="S438" i="6"/>
  <c r="R438" i="6"/>
  <c r="Q438" i="6"/>
  <c r="U437" i="6"/>
  <c r="T437" i="6"/>
  <c r="S437" i="6"/>
  <c r="R437" i="6"/>
  <c r="Q437" i="6"/>
  <c r="U436" i="6"/>
  <c r="T436" i="6"/>
  <c r="S436" i="6"/>
  <c r="R436" i="6"/>
  <c r="Q436" i="6"/>
  <c r="U435" i="6"/>
  <c r="T435" i="6"/>
  <c r="S435" i="6"/>
  <c r="R435" i="6"/>
  <c r="Q435" i="6"/>
  <c r="U434" i="6"/>
  <c r="T434" i="6"/>
  <c r="S434" i="6"/>
  <c r="R434" i="6"/>
  <c r="Q434" i="6"/>
  <c r="U433" i="6"/>
  <c r="T433" i="6"/>
  <c r="S433" i="6"/>
  <c r="R433" i="6"/>
  <c r="Q433" i="6"/>
  <c r="U432" i="6"/>
  <c r="T432" i="6"/>
  <c r="S432" i="6"/>
  <c r="R432" i="6"/>
  <c r="Q432" i="6"/>
  <c r="U431" i="6"/>
  <c r="T431" i="6"/>
  <c r="S431" i="6"/>
  <c r="R431" i="6"/>
  <c r="Q431" i="6"/>
  <c r="U430" i="6"/>
  <c r="T430" i="6"/>
  <c r="S430" i="6"/>
  <c r="R430" i="6"/>
  <c r="Q430" i="6"/>
  <c r="U429" i="6"/>
  <c r="T429" i="6"/>
  <c r="S429" i="6"/>
  <c r="R429" i="6"/>
  <c r="Q429" i="6"/>
  <c r="U428" i="6"/>
  <c r="T428" i="6"/>
  <c r="S428" i="6"/>
  <c r="R428" i="6"/>
  <c r="Q428" i="6"/>
  <c r="U427" i="6"/>
  <c r="T427" i="6"/>
  <c r="S427" i="6"/>
  <c r="R427" i="6"/>
  <c r="Q427" i="6"/>
  <c r="U426" i="6"/>
  <c r="T426" i="6"/>
  <c r="S426" i="6"/>
  <c r="R426" i="6"/>
  <c r="Q426" i="6"/>
  <c r="U425" i="6"/>
  <c r="T425" i="6"/>
  <c r="S425" i="6"/>
  <c r="R425" i="6"/>
  <c r="Q425" i="6"/>
  <c r="U424" i="6"/>
  <c r="T424" i="6"/>
  <c r="S424" i="6"/>
  <c r="R424" i="6"/>
  <c r="Q424" i="6"/>
  <c r="U423" i="6"/>
  <c r="T423" i="6"/>
  <c r="S423" i="6"/>
  <c r="R423" i="6"/>
  <c r="Q423" i="6"/>
  <c r="U422" i="6"/>
  <c r="T422" i="6"/>
  <c r="S422" i="6"/>
  <c r="R422" i="6"/>
  <c r="Q422" i="6"/>
  <c r="U421" i="6"/>
  <c r="T421" i="6"/>
  <c r="S421" i="6"/>
  <c r="R421" i="6"/>
  <c r="Q421" i="6"/>
  <c r="U420" i="6"/>
  <c r="T420" i="6"/>
  <c r="S420" i="6"/>
  <c r="R420" i="6"/>
  <c r="Q420" i="6"/>
  <c r="U419" i="6"/>
  <c r="T419" i="6"/>
  <c r="S419" i="6"/>
  <c r="R419" i="6"/>
  <c r="Q419" i="6"/>
  <c r="U418" i="6"/>
  <c r="T418" i="6"/>
  <c r="S418" i="6"/>
  <c r="R418" i="6"/>
  <c r="Q418" i="6"/>
  <c r="U417" i="6"/>
  <c r="T417" i="6"/>
  <c r="S417" i="6"/>
  <c r="R417" i="6"/>
  <c r="Q417" i="6"/>
  <c r="U416" i="6"/>
  <c r="T416" i="6"/>
  <c r="S416" i="6"/>
  <c r="R416" i="6"/>
  <c r="Q416" i="6"/>
  <c r="U415" i="6"/>
  <c r="T415" i="6"/>
  <c r="S415" i="6"/>
  <c r="R415" i="6"/>
  <c r="Q415" i="6"/>
  <c r="U414" i="6"/>
  <c r="T414" i="6"/>
  <c r="S414" i="6"/>
  <c r="R414" i="6"/>
  <c r="Q414" i="6"/>
  <c r="U413" i="6"/>
  <c r="T413" i="6"/>
  <c r="S413" i="6"/>
  <c r="R413" i="6"/>
  <c r="Q413" i="6"/>
  <c r="U412" i="6"/>
  <c r="T412" i="6"/>
  <c r="S412" i="6"/>
  <c r="R412" i="6"/>
  <c r="Q412" i="6"/>
  <c r="U411" i="6"/>
  <c r="T411" i="6"/>
  <c r="S411" i="6"/>
  <c r="R411" i="6"/>
  <c r="Q411" i="6"/>
  <c r="U410" i="6"/>
  <c r="T410" i="6"/>
  <c r="S410" i="6"/>
  <c r="R410" i="6"/>
  <c r="Q410" i="6"/>
  <c r="U409" i="6"/>
  <c r="T409" i="6"/>
  <c r="S409" i="6"/>
  <c r="R409" i="6"/>
  <c r="Q409" i="6"/>
  <c r="U408" i="6"/>
  <c r="T408" i="6"/>
  <c r="S408" i="6"/>
  <c r="R408" i="6"/>
  <c r="Q408" i="6"/>
  <c r="U407" i="6"/>
  <c r="T407" i="6"/>
  <c r="S407" i="6"/>
  <c r="R407" i="6"/>
  <c r="Q407" i="6"/>
  <c r="U406" i="6"/>
  <c r="T406" i="6"/>
  <c r="S406" i="6"/>
  <c r="R406" i="6"/>
  <c r="Q406" i="6"/>
  <c r="U405" i="6"/>
  <c r="T405" i="6"/>
  <c r="S405" i="6"/>
  <c r="R405" i="6"/>
  <c r="Q405" i="6"/>
  <c r="U404" i="6"/>
  <c r="T404" i="6"/>
  <c r="S404" i="6"/>
  <c r="R404" i="6"/>
  <c r="Q404" i="6"/>
  <c r="U403" i="6"/>
  <c r="T403" i="6"/>
  <c r="S403" i="6"/>
  <c r="R403" i="6"/>
  <c r="Q403" i="6"/>
  <c r="U402" i="6"/>
  <c r="T402" i="6"/>
  <c r="S402" i="6"/>
  <c r="R402" i="6"/>
  <c r="Q402" i="6"/>
  <c r="U401" i="6"/>
  <c r="T401" i="6"/>
  <c r="S401" i="6"/>
  <c r="R401" i="6"/>
  <c r="Q401" i="6"/>
  <c r="U400" i="6"/>
  <c r="T400" i="6"/>
  <c r="S400" i="6"/>
  <c r="R400" i="6"/>
  <c r="Q400" i="6"/>
  <c r="U399" i="6"/>
  <c r="T399" i="6"/>
  <c r="S399" i="6"/>
  <c r="R399" i="6"/>
  <c r="Q399" i="6"/>
  <c r="U398" i="6"/>
  <c r="T398" i="6"/>
  <c r="S398" i="6"/>
  <c r="R398" i="6"/>
  <c r="Q398" i="6"/>
  <c r="U397" i="6"/>
  <c r="T397" i="6"/>
  <c r="S397" i="6"/>
  <c r="R397" i="6"/>
  <c r="Q397" i="6"/>
  <c r="U396" i="6"/>
  <c r="T396" i="6"/>
  <c r="S396" i="6"/>
  <c r="R396" i="6"/>
  <c r="Q396" i="6"/>
  <c r="U395" i="6"/>
  <c r="T395" i="6"/>
  <c r="S395" i="6"/>
  <c r="R395" i="6"/>
  <c r="Q395" i="6"/>
  <c r="U394" i="6"/>
  <c r="T394" i="6"/>
  <c r="S394" i="6"/>
  <c r="R394" i="6"/>
  <c r="Q394" i="6"/>
  <c r="U393" i="6"/>
  <c r="T393" i="6"/>
  <c r="S393" i="6"/>
  <c r="R393" i="6"/>
  <c r="Q393" i="6"/>
  <c r="U392" i="6"/>
  <c r="T392" i="6"/>
  <c r="S392" i="6"/>
  <c r="R392" i="6"/>
  <c r="Q392" i="6"/>
  <c r="U391" i="6"/>
  <c r="T391" i="6"/>
  <c r="S391" i="6"/>
  <c r="R391" i="6"/>
  <c r="Q391" i="6"/>
  <c r="U390" i="6"/>
  <c r="T390" i="6"/>
  <c r="S390" i="6"/>
  <c r="R390" i="6"/>
  <c r="Q390" i="6"/>
  <c r="U389" i="6"/>
  <c r="T389" i="6"/>
  <c r="S389" i="6"/>
  <c r="R389" i="6"/>
  <c r="Q389" i="6"/>
  <c r="U388" i="6"/>
  <c r="T388" i="6"/>
  <c r="S388" i="6"/>
  <c r="R388" i="6"/>
  <c r="Q388" i="6"/>
  <c r="U387" i="6"/>
  <c r="T387" i="6"/>
  <c r="S387" i="6"/>
  <c r="R387" i="6"/>
  <c r="Q387" i="6"/>
  <c r="U386" i="6"/>
  <c r="T386" i="6"/>
  <c r="S386" i="6"/>
  <c r="R386" i="6"/>
  <c r="Q386" i="6"/>
  <c r="U385" i="6"/>
  <c r="T385" i="6"/>
  <c r="S385" i="6"/>
  <c r="R385" i="6"/>
  <c r="Q385" i="6"/>
  <c r="U384" i="6"/>
  <c r="T384" i="6"/>
  <c r="S384" i="6"/>
  <c r="R384" i="6"/>
  <c r="Q384" i="6"/>
  <c r="U383" i="6"/>
  <c r="T383" i="6"/>
  <c r="S383" i="6"/>
  <c r="R383" i="6"/>
  <c r="Q383" i="6"/>
  <c r="U382" i="6"/>
  <c r="T382" i="6"/>
  <c r="S382" i="6"/>
  <c r="R382" i="6"/>
  <c r="Q382" i="6"/>
  <c r="U381" i="6"/>
  <c r="T381" i="6"/>
  <c r="S381" i="6"/>
  <c r="R381" i="6"/>
  <c r="Q381" i="6"/>
  <c r="U380" i="6"/>
  <c r="T380" i="6"/>
  <c r="S380" i="6"/>
  <c r="R380" i="6"/>
  <c r="Q380" i="6"/>
  <c r="U379" i="6"/>
  <c r="T379" i="6"/>
  <c r="S379" i="6"/>
  <c r="R379" i="6"/>
  <c r="Q379" i="6"/>
  <c r="U378" i="6"/>
  <c r="T378" i="6"/>
  <c r="S378" i="6"/>
  <c r="R378" i="6"/>
  <c r="Q378" i="6"/>
  <c r="U377" i="6"/>
  <c r="T377" i="6"/>
  <c r="S377" i="6"/>
  <c r="R377" i="6"/>
  <c r="Q377" i="6"/>
  <c r="U376" i="6"/>
  <c r="T376" i="6"/>
  <c r="S376" i="6"/>
  <c r="R376" i="6"/>
  <c r="Q376" i="6"/>
  <c r="U375" i="6"/>
  <c r="T375" i="6"/>
  <c r="S375" i="6"/>
  <c r="R375" i="6"/>
  <c r="Q375" i="6"/>
  <c r="U374" i="6"/>
  <c r="T374" i="6"/>
  <c r="S374" i="6"/>
  <c r="R374" i="6"/>
  <c r="Q374" i="6"/>
  <c r="U373" i="6"/>
  <c r="T373" i="6"/>
  <c r="S373" i="6"/>
  <c r="R373" i="6"/>
  <c r="Q373" i="6"/>
  <c r="U372" i="6"/>
  <c r="T372" i="6"/>
  <c r="S372" i="6"/>
  <c r="R372" i="6"/>
  <c r="Q372" i="6"/>
  <c r="U371" i="6"/>
  <c r="T371" i="6"/>
  <c r="S371" i="6"/>
  <c r="R371" i="6"/>
  <c r="Q371" i="6"/>
  <c r="U370" i="6"/>
  <c r="T370" i="6"/>
  <c r="S370" i="6"/>
  <c r="R370" i="6"/>
  <c r="Q370" i="6"/>
  <c r="U369" i="6"/>
  <c r="T369" i="6"/>
  <c r="S369" i="6"/>
  <c r="R369" i="6"/>
  <c r="Q369" i="6"/>
  <c r="U368" i="6"/>
  <c r="T368" i="6"/>
  <c r="S368" i="6"/>
  <c r="R368" i="6"/>
  <c r="Q368" i="6"/>
  <c r="U367" i="6"/>
  <c r="T367" i="6"/>
  <c r="S367" i="6"/>
  <c r="R367" i="6"/>
  <c r="Q367" i="6"/>
  <c r="U366" i="6"/>
  <c r="T366" i="6"/>
  <c r="S366" i="6"/>
  <c r="R366" i="6"/>
  <c r="Q366" i="6"/>
  <c r="U365" i="6"/>
  <c r="T365" i="6"/>
  <c r="S365" i="6"/>
  <c r="R365" i="6"/>
  <c r="Q365" i="6"/>
  <c r="U364" i="6"/>
  <c r="T364" i="6"/>
  <c r="S364" i="6"/>
  <c r="R364" i="6"/>
  <c r="Q364" i="6"/>
  <c r="U363" i="6"/>
  <c r="T363" i="6"/>
  <c r="S363" i="6"/>
  <c r="R363" i="6"/>
  <c r="Q363" i="6"/>
  <c r="U362" i="6"/>
  <c r="T362" i="6"/>
  <c r="S362" i="6"/>
  <c r="R362" i="6"/>
  <c r="Q362" i="6"/>
  <c r="U361" i="6"/>
  <c r="T361" i="6"/>
  <c r="S361" i="6"/>
  <c r="R361" i="6"/>
  <c r="Q361" i="6"/>
  <c r="U360" i="6"/>
  <c r="T360" i="6"/>
  <c r="S360" i="6"/>
  <c r="R360" i="6"/>
  <c r="Q360" i="6"/>
  <c r="U359" i="6"/>
  <c r="T359" i="6"/>
  <c r="S359" i="6"/>
  <c r="R359" i="6"/>
  <c r="Q359" i="6"/>
  <c r="U358" i="6"/>
  <c r="T358" i="6"/>
  <c r="S358" i="6"/>
  <c r="R358" i="6"/>
  <c r="Q358" i="6"/>
  <c r="U357" i="6"/>
  <c r="T357" i="6"/>
  <c r="S357" i="6"/>
  <c r="R357" i="6"/>
  <c r="Q357" i="6"/>
  <c r="U356" i="6"/>
  <c r="T356" i="6"/>
  <c r="S356" i="6"/>
  <c r="R356" i="6"/>
  <c r="Q356" i="6"/>
  <c r="U355" i="6"/>
  <c r="T355" i="6"/>
  <c r="S355" i="6"/>
  <c r="R355" i="6"/>
  <c r="Q355" i="6"/>
  <c r="U354" i="6"/>
  <c r="T354" i="6"/>
  <c r="S354" i="6"/>
  <c r="R354" i="6"/>
  <c r="Q354" i="6"/>
  <c r="U353" i="6"/>
  <c r="T353" i="6"/>
  <c r="S353" i="6"/>
  <c r="R353" i="6"/>
  <c r="Q353" i="6"/>
  <c r="U352" i="6"/>
  <c r="T352" i="6"/>
  <c r="S352" i="6"/>
  <c r="R352" i="6"/>
  <c r="Q352" i="6"/>
  <c r="U351" i="6"/>
  <c r="T351" i="6"/>
  <c r="S351" i="6"/>
  <c r="R351" i="6"/>
  <c r="Q351" i="6"/>
  <c r="U350" i="6"/>
  <c r="T350" i="6"/>
  <c r="S350" i="6"/>
  <c r="R350" i="6"/>
  <c r="Q350" i="6"/>
  <c r="U349" i="6"/>
  <c r="T349" i="6"/>
  <c r="S349" i="6"/>
  <c r="R349" i="6"/>
  <c r="Q349" i="6"/>
  <c r="U348" i="6"/>
  <c r="T348" i="6"/>
  <c r="S348" i="6"/>
  <c r="R348" i="6"/>
  <c r="Q348" i="6"/>
  <c r="U347" i="6"/>
  <c r="T347" i="6"/>
  <c r="S347" i="6"/>
  <c r="R347" i="6"/>
  <c r="Q347" i="6"/>
  <c r="U346" i="6"/>
  <c r="T346" i="6"/>
  <c r="S346" i="6"/>
  <c r="R346" i="6"/>
  <c r="Q346" i="6"/>
  <c r="U345" i="6"/>
  <c r="T345" i="6"/>
  <c r="S345" i="6"/>
  <c r="R345" i="6"/>
  <c r="Q345" i="6"/>
  <c r="U344" i="6"/>
  <c r="T344" i="6"/>
  <c r="S344" i="6"/>
  <c r="R344" i="6"/>
  <c r="Q344" i="6"/>
  <c r="U343" i="6"/>
  <c r="T343" i="6"/>
  <c r="S343" i="6"/>
  <c r="R343" i="6"/>
  <c r="Q343" i="6"/>
  <c r="U342" i="6"/>
  <c r="T342" i="6"/>
  <c r="S342" i="6"/>
  <c r="R342" i="6"/>
  <c r="Q342" i="6"/>
  <c r="U341" i="6"/>
  <c r="T341" i="6"/>
  <c r="S341" i="6"/>
  <c r="R341" i="6"/>
  <c r="Q341" i="6"/>
  <c r="U340" i="6"/>
  <c r="T340" i="6"/>
  <c r="S340" i="6"/>
  <c r="R340" i="6"/>
  <c r="Q340" i="6"/>
  <c r="U339" i="6"/>
  <c r="T339" i="6"/>
  <c r="S339" i="6"/>
  <c r="R339" i="6"/>
  <c r="Q339" i="6"/>
  <c r="U338" i="6"/>
  <c r="T338" i="6"/>
  <c r="S338" i="6"/>
  <c r="R338" i="6"/>
  <c r="Q338" i="6"/>
  <c r="U337" i="6"/>
  <c r="T337" i="6"/>
  <c r="S337" i="6"/>
  <c r="R337" i="6"/>
  <c r="Q337" i="6"/>
  <c r="U336" i="6"/>
  <c r="T336" i="6"/>
  <c r="S336" i="6"/>
  <c r="R336" i="6"/>
  <c r="Q336" i="6"/>
  <c r="U335" i="6"/>
  <c r="T335" i="6"/>
  <c r="S335" i="6"/>
  <c r="R335" i="6"/>
  <c r="Q335" i="6"/>
  <c r="U334" i="6"/>
  <c r="T334" i="6"/>
  <c r="S334" i="6"/>
  <c r="R334" i="6"/>
  <c r="Q334" i="6"/>
  <c r="U333" i="6"/>
  <c r="T333" i="6"/>
  <c r="S333" i="6"/>
  <c r="R333" i="6"/>
  <c r="Q333" i="6"/>
  <c r="U332" i="6"/>
  <c r="T332" i="6"/>
  <c r="S332" i="6"/>
  <c r="R332" i="6"/>
  <c r="Q332" i="6"/>
  <c r="U331" i="6"/>
  <c r="T331" i="6"/>
  <c r="S331" i="6"/>
  <c r="R331" i="6"/>
  <c r="Q331" i="6"/>
  <c r="U330" i="6"/>
  <c r="T330" i="6"/>
  <c r="S330" i="6"/>
  <c r="R330" i="6"/>
  <c r="Q330" i="6"/>
  <c r="U329" i="6"/>
  <c r="T329" i="6"/>
  <c r="S329" i="6"/>
  <c r="R329" i="6"/>
  <c r="Q329" i="6"/>
  <c r="U328" i="6"/>
  <c r="T328" i="6"/>
  <c r="S328" i="6"/>
  <c r="R328" i="6"/>
  <c r="Q328" i="6"/>
  <c r="U327" i="6"/>
  <c r="T327" i="6"/>
  <c r="S327" i="6"/>
  <c r="R327" i="6"/>
  <c r="Q327" i="6"/>
  <c r="U326" i="6"/>
  <c r="T326" i="6"/>
  <c r="S326" i="6"/>
  <c r="R326" i="6"/>
  <c r="Q326" i="6"/>
  <c r="U325" i="6"/>
  <c r="T325" i="6"/>
  <c r="S325" i="6"/>
  <c r="R325" i="6"/>
  <c r="Q325" i="6"/>
  <c r="U324" i="6"/>
  <c r="T324" i="6"/>
  <c r="S324" i="6"/>
  <c r="R324" i="6"/>
  <c r="Q324" i="6"/>
  <c r="U323" i="6"/>
  <c r="T323" i="6"/>
  <c r="S323" i="6"/>
  <c r="R323" i="6"/>
  <c r="Q323" i="6"/>
  <c r="U322" i="6"/>
  <c r="T322" i="6"/>
  <c r="S322" i="6"/>
  <c r="R322" i="6"/>
  <c r="Q322" i="6"/>
  <c r="U321" i="6"/>
  <c r="T321" i="6"/>
  <c r="S321" i="6"/>
  <c r="R321" i="6"/>
  <c r="Q321" i="6"/>
  <c r="U320" i="6"/>
  <c r="T320" i="6"/>
  <c r="S320" i="6"/>
  <c r="R320" i="6"/>
  <c r="Q320" i="6"/>
  <c r="U319" i="6"/>
  <c r="T319" i="6"/>
  <c r="S319" i="6"/>
  <c r="R319" i="6"/>
  <c r="Q319" i="6"/>
  <c r="U318" i="6"/>
  <c r="T318" i="6"/>
  <c r="S318" i="6"/>
  <c r="R318" i="6"/>
  <c r="Q318" i="6"/>
  <c r="U317" i="6"/>
  <c r="T317" i="6"/>
  <c r="S317" i="6"/>
  <c r="R317" i="6"/>
  <c r="Q317" i="6"/>
  <c r="U316" i="6"/>
  <c r="T316" i="6"/>
  <c r="S316" i="6"/>
  <c r="R316" i="6"/>
  <c r="Q316" i="6"/>
  <c r="U315" i="6"/>
  <c r="T315" i="6"/>
  <c r="S315" i="6"/>
  <c r="R315" i="6"/>
  <c r="Q315" i="6"/>
  <c r="U314" i="6"/>
  <c r="T314" i="6"/>
  <c r="S314" i="6"/>
  <c r="R314" i="6"/>
  <c r="Q314" i="6"/>
  <c r="U313" i="6"/>
  <c r="T313" i="6"/>
  <c r="S313" i="6"/>
  <c r="R313" i="6"/>
  <c r="Q313" i="6"/>
  <c r="U312" i="6"/>
  <c r="T312" i="6"/>
  <c r="S312" i="6"/>
  <c r="R312" i="6"/>
  <c r="Q312" i="6"/>
  <c r="U311" i="6"/>
  <c r="T311" i="6"/>
  <c r="S311" i="6"/>
  <c r="R311" i="6"/>
  <c r="Q311" i="6"/>
  <c r="U310" i="6"/>
  <c r="T310" i="6"/>
  <c r="S310" i="6"/>
  <c r="R310" i="6"/>
  <c r="Q310" i="6"/>
  <c r="U309" i="6"/>
  <c r="T309" i="6"/>
  <c r="S309" i="6"/>
  <c r="R309" i="6"/>
  <c r="Q309" i="6"/>
  <c r="U308" i="6"/>
  <c r="T308" i="6"/>
  <c r="S308" i="6"/>
  <c r="R308" i="6"/>
  <c r="Q308" i="6"/>
  <c r="U307" i="6"/>
  <c r="T307" i="6"/>
  <c r="S307" i="6"/>
  <c r="R307" i="6"/>
  <c r="Q307" i="6"/>
  <c r="U306" i="6"/>
  <c r="T306" i="6"/>
  <c r="S306" i="6"/>
  <c r="R306" i="6"/>
  <c r="Q306" i="6"/>
  <c r="U305" i="6"/>
  <c r="T305" i="6"/>
  <c r="S305" i="6"/>
  <c r="R305" i="6"/>
  <c r="Q305" i="6"/>
  <c r="U304" i="6"/>
  <c r="T304" i="6"/>
  <c r="S304" i="6"/>
  <c r="R304" i="6"/>
  <c r="Q304" i="6"/>
  <c r="U303" i="6"/>
  <c r="T303" i="6"/>
  <c r="S303" i="6"/>
  <c r="R303" i="6"/>
  <c r="Q303" i="6"/>
  <c r="U302" i="6"/>
  <c r="T302" i="6"/>
  <c r="S302" i="6"/>
  <c r="R302" i="6"/>
  <c r="Q302" i="6"/>
  <c r="U301" i="6"/>
  <c r="T301" i="6"/>
  <c r="S301" i="6"/>
  <c r="R301" i="6"/>
  <c r="Q301" i="6"/>
  <c r="U300" i="6"/>
  <c r="T300" i="6"/>
  <c r="S300" i="6"/>
  <c r="R300" i="6"/>
  <c r="Q300" i="6"/>
  <c r="U299" i="6"/>
  <c r="T299" i="6"/>
  <c r="S299" i="6"/>
  <c r="R299" i="6"/>
  <c r="Q299" i="6"/>
  <c r="U298" i="6"/>
  <c r="T298" i="6"/>
  <c r="S298" i="6"/>
  <c r="R298" i="6"/>
  <c r="Q298" i="6"/>
  <c r="U297" i="6"/>
  <c r="T297" i="6"/>
  <c r="S297" i="6"/>
  <c r="R297" i="6"/>
  <c r="Q297" i="6"/>
  <c r="U296" i="6"/>
  <c r="T296" i="6"/>
  <c r="S296" i="6"/>
  <c r="R296" i="6"/>
  <c r="Q296" i="6"/>
  <c r="U295" i="6"/>
  <c r="T295" i="6"/>
  <c r="S295" i="6"/>
  <c r="R295" i="6"/>
  <c r="Q295" i="6"/>
  <c r="U294" i="6"/>
  <c r="T294" i="6"/>
  <c r="S294" i="6"/>
  <c r="R294" i="6"/>
  <c r="Q294" i="6"/>
  <c r="U293" i="6"/>
  <c r="T293" i="6"/>
  <c r="S293" i="6"/>
  <c r="R293" i="6"/>
  <c r="Q293" i="6"/>
  <c r="U292" i="6"/>
  <c r="T292" i="6"/>
  <c r="S292" i="6"/>
  <c r="R292" i="6"/>
  <c r="Q292" i="6"/>
  <c r="U291" i="6"/>
  <c r="T291" i="6"/>
  <c r="S291" i="6"/>
  <c r="R291" i="6"/>
  <c r="Q291" i="6"/>
  <c r="U290" i="6"/>
  <c r="T290" i="6"/>
  <c r="S290" i="6"/>
  <c r="R290" i="6"/>
  <c r="Q290" i="6"/>
  <c r="U289" i="6"/>
  <c r="T289" i="6"/>
  <c r="S289" i="6"/>
  <c r="R289" i="6"/>
  <c r="Q289" i="6"/>
  <c r="U288" i="6"/>
  <c r="T288" i="6"/>
  <c r="S288" i="6"/>
  <c r="R288" i="6"/>
  <c r="Q288" i="6"/>
  <c r="U287" i="6"/>
  <c r="T287" i="6"/>
  <c r="S287" i="6"/>
  <c r="R287" i="6"/>
  <c r="Q287" i="6"/>
  <c r="U286" i="6"/>
  <c r="T286" i="6"/>
  <c r="S286" i="6"/>
  <c r="R286" i="6"/>
  <c r="Q286" i="6"/>
  <c r="U285" i="6"/>
  <c r="T285" i="6"/>
  <c r="S285" i="6"/>
  <c r="R285" i="6"/>
  <c r="Q285" i="6"/>
  <c r="U284" i="6"/>
  <c r="T284" i="6"/>
  <c r="S284" i="6"/>
  <c r="R284" i="6"/>
  <c r="Q284" i="6"/>
  <c r="U283" i="6"/>
  <c r="T283" i="6"/>
  <c r="S283" i="6"/>
  <c r="R283" i="6"/>
  <c r="Q283" i="6"/>
  <c r="U282" i="6"/>
  <c r="T282" i="6"/>
  <c r="S282" i="6"/>
  <c r="R282" i="6"/>
  <c r="Q282" i="6"/>
  <c r="U281" i="6"/>
  <c r="T281" i="6"/>
  <c r="S281" i="6"/>
  <c r="R281" i="6"/>
  <c r="Q281" i="6"/>
  <c r="U280" i="6"/>
  <c r="T280" i="6"/>
  <c r="S280" i="6"/>
  <c r="R280" i="6"/>
  <c r="Q280" i="6"/>
  <c r="U279" i="6"/>
  <c r="T279" i="6"/>
  <c r="S279" i="6"/>
  <c r="R279" i="6"/>
  <c r="Q279" i="6"/>
  <c r="U278" i="6"/>
  <c r="T278" i="6"/>
  <c r="S278" i="6"/>
  <c r="R278" i="6"/>
  <c r="Q278" i="6"/>
  <c r="U277" i="6"/>
  <c r="T277" i="6"/>
  <c r="S277" i="6"/>
  <c r="R277" i="6"/>
  <c r="Q277" i="6"/>
  <c r="U276" i="6"/>
  <c r="T276" i="6"/>
  <c r="S276" i="6"/>
  <c r="R276" i="6"/>
  <c r="Q276" i="6"/>
  <c r="U275" i="6"/>
  <c r="T275" i="6"/>
  <c r="S275" i="6"/>
  <c r="R275" i="6"/>
  <c r="Q275" i="6"/>
  <c r="U274" i="6"/>
  <c r="T274" i="6"/>
  <c r="S274" i="6"/>
  <c r="R274" i="6"/>
  <c r="Q274" i="6"/>
  <c r="U273" i="6"/>
  <c r="T273" i="6"/>
  <c r="S273" i="6"/>
  <c r="R273" i="6"/>
  <c r="Q273" i="6"/>
  <c r="U272" i="6"/>
  <c r="T272" i="6"/>
  <c r="S272" i="6"/>
  <c r="R272" i="6"/>
  <c r="Q272" i="6"/>
  <c r="U271" i="6"/>
  <c r="T271" i="6"/>
  <c r="S271" i="6"/>
  <c r="R271" i="6"/>
  <c r="Q271" i="6"/>
  <c r="U270" i="6"/>
  <c r="T270" i="6"/>
  <c r="S270" i="6"/>
  <c r="R270" i="6"/>
  <c r="Q270" i="6"/>
  <c r="U269" i="6"/>
  <c r="T269" i="6"/>
  <c r="S269" i="6"/>
  <c r="R269" i="6"/>
  <c r="Q269" i="6"/>
  <c r="U268" i="6"/>
  <c r="T268" i="6"/>
  <c r="S268" i="6"/>
  <c r="R268" i="6"/>
  <c r="Q268" i="6"/>
  <c r="U267" i="6"/>
  <c r="T267" i="6"/>
  <c r="S267" i="6"/>
  <c r="R267" i="6"/>
  <c r="Q267" i="6"/>
  <c r="U266" i="6"/>
  <c r="T266" i="6"/>
  <c r="S266" i="6"/>
  <c r="R266" i="6"/>
  <c r="Q266" i="6"/>
  <c r="U265" i="6"/>
  <c r="T265" i="6"/>
  <c r="S265" i="6"/>
  <c r="R265" i="6"/>
  <c r="Q265" i="6"/>
  <c r="U264" i="6"/>
  <c r="T264" i="6"/>
  <c r="S264" i="6"/>
  <c r="R264" i="6"/>
  <c r="Q264" i="6"/>
  <c r="U263" i="6"/>
  <c r="T263" i="6"/>
  <c r="S263" i="6"/>
  <c r="R263" i="6"/>
  <c r="Q263" i="6"/>
  <c r="U262" i="6"/>
  <c r="T262" i="6"/>
  <c r="S262" i="6"/>
  <c r="R262" i="6"/>
  <c r="Q262" i="6"/>
  <c r="U261" i="6"/>
  <c r="T261" i="6"/>
  <c r="S261" i="6"/>
  <c r="R261" i="6"/>
  <c r="Q261" i="6"/>
  <c r="U260" i="6"/>
  <c r="T260" i="6"/>
  <c r="S260" i="6"/>
  <c r="R260" i="6"/>
  <c r="Q260" i="6"/>
  <c r="U259" i="6"/>
  <c r="T259" i="6"/>
  <c r="S259" i="6"/>
  <c r="R259" i="6"/>
  <c r="Q259" i="6"/>
  <c r="U258" i="6"/>
  <c r="T258" i="6"/>
  <c r="S258" i="6"/>
  <c r="R258" i="6"/>
  <c r="Q258" i="6"/>
  <c r="U257" i="6"/>
  <c r="T257" i="6"/>
  <c r="S257" i="6"/>
  <c r="R257" i="6"/>
  <c r="Q257" i="6"/>
  <c r="U256" i="6"/>
  <c r="T256" i="6"/>
  <c r="S256" i="6"/>
  <c r="R256" i="6"/>
  <c r="Q256" i="6"/>
  <c r="U255" i="6"/>
  <c r="T255" i="6"/>
  <c r="S255" i="6"/>
  <c r="R255" i="6"/>
  <c r="Q255" i="6"/>
  <c r="U254" i="6"/>
  <c r="T254" i="6"/>
  <c r="S254" i="6"/>
  <c r="R254" i="6"/>
  <c r="Q254" i="6"/>
  <c r="U253" i="6"/>
  <c r="T253" i="6"/>
  <c r="S253" i="6"/>
  <c r="R253" i="6"/>
  <c r="Q253" i="6"/>
  <c r="U252" i="6"/>
  <c r="T252" i="6"/>
  <c r="S252" i="6"/>
  <c r="R252" i="6"/>
  <c r="Q252" i="6"/>
  <c r="U251" i="6"/>
  <c r="T251" i="6"/>
  <c r="S251" i="6"/>
  <c r="R251" i="6"/>
  <c r="Q251" i="6"/>
  <c r="U250" i="6"/>
  <c r="T250" i="6"/>
  <c r="S250" i="6"/>
  <c r="R250" i="6"/>
  <c r="Q250" i="6"/>
  <c r="U249" i="6"/>
  <c r="T249" i="6"/>
  <c r="S249" i="6"/>
  <c r="R249" i="6"/>
  <c r="Q249" i="6"/>
  <c r="U248" i="6"/>
  <c r="T248" i="6"/>
  <c r="S248" i="6"/>
  <c r="R248" i="6"/>
  <c r="Q248" i="6"/>
  <c r="U247" i="6"/>
  <c r="T247" i="6"/>
  <c r="S247" i="6"/>
  <c r="R247" i="6"/>
  <c r="Q247" i="6"/>
  <c r="U246" i="6"/>
  <c r="T246" i="6"/>
  <c r="S246" i="6"/>
  <c r="R246" i="6"/>
  <c r="Q246" i="6"/>
  <c r="U245" i="6"/>
  <c r="T245" i="6"/>
  <c r="S245" i="6"/>
  <c r="R245" i="6"/>
  <c r="Q245" i="6"/>
  <c r="U244" i="6"/>
  <c r="T244" i="6"/>
  <c r="S244" i="6"/>
  <c r="R244" i="6"/>
  <c r="Q244" i="6"/>
  <c r="U243" i="6"/>
  <c r="T243" i="6"/>
  <c r="S243" i="6"/>
  <c r="R243" i="6"/>
  <c r="Q243" i="6"/>
  <c r="U242" i="6"/>
  <c r="T242" i="6"/>
  <c r="S242" i="6"/>
  <c r="R242" i="6"/>
  <c r="Q242" i="6"/>
  <c r="U241" i="6"/>
  <c r="T241" i="6"/>
  <c r="S241" i="6"/>
  <c r="R241" i="6"/>
  <c r="Q241" i="6"/>
  <c r="U240" i="6"/>
  <c r="T240" i="6"/>
  <c r="S240" i="6"/>
  <c r="R240" i="6"/>
  <c r="Q240" i="6"/>
  <c r="U239" i="6"/>
  <c r="T239" i="6"/>
  <c r="S239" i="6"/>
  <c r="R239" i="6"/>
  <c r="Q239" i="6"/>
  <c r="U238" i="6"/>
  <c r="T238" i="6"/>
  <c r="S238" i="6"/>
  <c r="R238" i="6"/>
  <c r="Q238" i="6"/>
  <c r="U237" i="6"/>
  <c r="T237" i="6"/>
  <c r="S237" i="6"/>
  <c r="R237" i="6"/>
  <c r="Q237" i="6"/>
  <c r="U236" i="6"/>
  <c r="T236" i="6"/>
  <c r="S236" i="6"/>
  <c r="R236" i="6"/>
  <c r="Q236" i="6"/>
  <c r="U235" i="6"/>
  <c r="T235" i="6"/>
  <c r="S235" i="6"/>
  <c r="R235" i="6"/>
  <c r="Q235" i="6"/>
  <c r="U234" i="6"/>
  <c r="T234" i="6"/>
  <c r="S234" i="6"/>
  <c r="R234" i="6"/>
  <c r="Q234" i="6"/>
  <c r="U233" i="6"/>
  <c r="T233" i="6"/>
  <c r="S233" i="6"/>
  <c r="R233" i="6"/>
  <c r="Q233" i="6"/>
  <c r="U232" i="6"/>
  <c r="T232" i="6"/>
  <c r="S232" i="6"/>
  <c r="R232" i="6"/>
  <c r="Q232" i="6"/>
  <c r="U231" i="6"/>
  <c r="T231" i="6"/>
  <c r="S231" i="6"/>
  <c r="R231" i="6"/>
  <c r="Q231" i="6"/>
  <c r="U230" i="6"/>
  <c r="T230" i="6"/>
  <c r="S230" i="6"/>
  <c r="R230" i="6"/>
  <c r="Q230" i="6"/>
  <c r="U229" i="6"/>
  <c r="T229" i="6"/>
  <c r="S229" i="6"/>
  <c r="R229" i="6"/>
  <c r="Q229" i="6"/>
  <c r="U228" i="6"/>
  <c r="T228" i="6"/>
  <c r="S228" i="6"/>
  <c r="R228" i="6"/>
  <c r="Q228" i="6"/>
  <c r="U227" i="6"/>
  <c r="T227" i="6"/>
  <c r="S227" i="6"/>
  <c r="R227" i="6"/>
  <c r="Q227" i="6"/>
  <c r="U226" i="6"/>
  <c r="T226" i="6"/>
  <c r="S226" i="6"/>
  <c r="R226" i="6"/>
  <c r="Q226" i="6"/>
  <c r="U225" i="6"/>
  <c r="T225" i="6"/>
  <c r="S225" i="6"/>
  <c r="R225" i="6"/>
  <c r="Q225" i="6"/>
  <c r="U224" i="6"/>
  <c r="T224" i="6"/>
  <c r="S224" i="6"/>
  <c r="R224" i="6"/>
  <c r="Q224" i="6"/>
  <c r="U223" i="6"/>
  <c r="T223" i="6"/>
  <c r="S223" i="6"/>
  <c r="R223" i="6"/>
  <c r="Q223" i="6"/>
  <c r="U222" i="6"/>
  <c r="T222" i="6"/>
  <c r="S222" i="6"/>
  <c r="R222" i="6"/>
  <c r="Q222" i="6"/>
  <c r="U221" i="6"/>
  <c r="T221" i="6"/>
  <c r="S221" i="6"/>
  <c r="R221" i="6"/>
  <c r="Q221" i="6"/>
  <c r="U220" i="6"/>
  <c r="T220" i="6"/>
  <c r="S220" i="6"/>
  <c r="R220" i="6"/>
  <c r="Q220" i="6"/>
  <c r="U219" i="6"/>
  <c r="T219" i="6"/>
  <c r="S219" i="6"/>
  <c r="R219" i="6"/>
  <c r="Q219" i="6"/>
  <c r="U218" i="6"/>
  <c r="T218" i="6"/>
  <c r="S218" i="6"/>
  <c r="R218" i="6"/>
  <c r="Q218" i="6"/>
  <c r="U217" i="6"/>
  <c r="T217" i="6"/>
  <c r="S217" i="6"/>
  <c r="R217" i="6"/>
  <c r="Q217" i="6"/>
  <c r="U216" i="6"/>
  <c r="T216" i="6"/>
  <c r="S216" i="6"/>
  <c r="R216" i="6"/>
  <c r="Q216" i="6"/>
  <c r="U215" i="6"/>
  <c r="T215" i="6"/>
  <c r="S215" i="6"/>
  <c r="R215" i="6"/>
  <c r="Q215" i="6"/>
  <c r="U214" i="6"/>
  <c r="T214" i="6"/>
  <c r="S214" i="6"/>
  <c r="R214" i="6"/>
  <c r="Q214" i="6"/>
  <c r="U213" i="6"/>
  <c r="T213" i="6"/>
  <c r="S213" i="6"/>
  <c r="R213" i="6"/>
  <c r="Q213" i="6"/>
  <c r="U212" i="6"/>
  <c r="T212" i="6"/>
  <c r="S212" i="6"/>
  <c r="R212" i="6"/>
  <c r="Q212" i="6"/>
  <c r="U211" i="6"/>
  <c r="T211" i="6"/>
  <c r="S211" i="6"/>
  <c r="R211" i="6"/>
  <c r="Q211" i="6"/>
  <c r="U210" i="6"/>
  <c r="T210" i="6"/>
  <c r="S210" i="6"/>
  <c r="R210" i="6"/>
  <c r="Q210" i="6"/>
  <c r="U209" i="6"/>
  <c r="T209" i="6"/>
  <c r="S209" i="6"/>
  <c r="R209" i="6"/>
  <c r="Q209" i="6"/>
  <c r="U208" i="6"/>
  <c r="T208" i="6"/>
  <c r="S208" i="6"/>
  <c r="R208" i="6"/>
  <c r="Q208" i="6"/>
  <c r="U207" i="6"/>
  <c r="T207" i="6"/>
  <c r="S207" i="6"/>
  <c r="R207" i="6"/>
  <c r="Q207" i="6"/>
  <c r="U206" i="6"/>
  <c r="T206" i="6"/>
  <c r="S206" i="6"/>
  <c r="R206" i="6"/>
  <c r="Q206" i="6"/>
  <c r="U205" i="6"/>
  <c r="T205" i="6"/>
  <c r="S205" i="6"/>
  <c r="R205" i="6"/>
  <c r="Q205" i="6"/>
  <c r="U204" i="6"/>
  <c r="T204" i="6"/>
  <c r="S204" i="6"/>
  <c r="R204" i="6"/>
  <c r="Q204" i="6"/>
  <c r="U203" i="6"/>
  <c r="T203" i="6"/>
  <c r="S203" i="6"/>
  <c r="R203" i="6"/>
  <c r="Q203" i="6"/>
  <c r="U202" i="6"/>
  <c r="T202" i="6"/>
  <c r="S202" i="6"/>
  <c r="R202" i="6"/>
  <c r="Q202" i="6"/>
  <c r="U201" i="6"/>
  <c r="T201" i="6"/>
  <c r="S201" i="6"/>
  <c r="R201" i="6"/>
  <c r="Q201" i="6"/>
  <c r="U200" i="6"/>
  <c r="T200" i="6"/>
  <c r="S200" i="6"/>
  <c r="R200" i="6"/>
  <c r="Q200" i="6"/>
  <c r="U199" i="6"/>
  <c r="T199" i="6"/>
  <c r="S199" i="6"/>
  <c r="R199" i="6"/>
  <c r="Q199" i="6"/>
  <c r="U198" i="6"/>
  <c r="T198" i="6"/>
  <c r="S198" i="6"/>
  <c r="R198" i="6"/>
  <c r="Q198" i="6"/>
  <c r="U197" i="6"/>
  <c r="T197" i="6"/>
  <c r="S197" i="6"/>
  <c r="R197" i="6"/>
  <c r="Q197" i="6"/>
  <c r="U196" i="6"/>
  <c r="T196" i="6"/>
  <c r="S196" i="6"/>
  <c r="R196" i="6"/>
  <c r="Q196" i="6"/>
  <c r="U195" i="6"/>
  <c r="T195" i="6"/>
  <c r="S195" i="6"/>
  <c r="R195" i="6"/>
  <c r="Q195" i="6"/>
  <c r="U194" i="6"/>
  <c r="T194" i="6"/>
  <c r="S194" i="6"/>
  <c r="R194" i="6"/>
  <c r="Q194" i="6"/>
  <c r="U193" i="6"/>
  <c r="T193" i="6"/>
  <c r="S193" i="6"/>
  <c r="R193" i="6"/>
  <c r="Q193" i="6"/>
  <c r="U192" i="6"/>
  <c r="T192" i="6"/>
  <c r="S192" i="6"/>
  <c r="R192" i="6"/>
  <c r="Q192" i="6"/>
  <c r="U191" i="6"/>
  <c r="T191" i="6"/>
  <c r="S191" i="6"/>
  <c r="R191" i="6"/>
  <c r="Q191" i="6"/>
  <c r="U190" i="6"/>
  <c r="T190" i="6"/>
  <c r="S190" i="6"/>
  <c r="R190" i="6"/>
  <c r="Q190" i="6"/>
  <c r="U189" i="6"/>
  <c r="T189" i="6"/>
  <c r="S189" i="6"/>
  <c r="R189" i="6"/>
  <c r="Q189" i="6"/>
  <c r="U188" i="6"/>
  <c r="T188" i="6"/>
  <c r="S188" i="6"/>
  <c r="R188" i="6"/>
  <c r="Q188" i="6"/>
  <c r="U187" i="6"/>
  <c r="T187" i="6"/>
  <c r="S187" i="6"/>
  <c r="R187" i="6"/>
  <c r="Q187" i="6"/>
  <c r="U186" i="6"/>
  <c r="T186" i="6"/>
  <c r="S186" i="6"/>
  <c r="R186" i="6"/>
  <c r="Q186" i="6"/>
  <c r="U185" i="6"/>
  <c r="T185" i="6"/>
  <c r="S185" i="6"/>
  <c r="R185" i="6"/>
  <c r="Q185" i="6"/>
  <c r="U184" i="6"/>
  <c r="T184" i="6"/>
  <c r="S184" i="6"/>
  <c r="R184" i="6"/>
  <c r="Q184" i="6"/>
  <c r="U183" i="6"/>
  <c r="T183" i="6"/>
  <c r="S183" i="6"/>
  <c r="R183" i="6"/>
  <c r="Q183" i="6"/>
  <c r="U182" i="6"/>
  <c r="T182" i="6"/>
  <c r="S182" i="6"/>
  <c r="R182" i="6"/>
  <c r="Q182" i="6"/>
  <c r="U181" i="6"/>
  <c r="T181" i="6"/>
  <c r="S181" i="6"/>
  <c r="R181" i="6"/>
  <c r="Q181" i="6"/>
  <c r="U180" i="6"/>
  <c r="T180" i="6"/>
  <c r="S180" i="6"/>
  <c r="R180" i="6"/>
  <c r="Q180" i="6"/>
  <c r="U179" i="6"/>
  <c r="T179" i="6"/>
  <c r="S179" i="6"/>
  <c r="R179" i="6"/>
  <c r="Q179" i="6"/>
  <c r="U178" i="6"/>
  <c r="T178" i="6"/>
  <c r="S178" i="6"/>
  <c r="R178" i="6"/>
  <c r="Q178" i="6"/>
  <c r="U177" i="6"/>
  <c r="T177" i="6"/>
  <c r="S177" i="6"/>
  <c r="R177" i="6"/>
  <c r="Q177" i="6"/>
  <c r="U176" i="6"/>
  <c r="T176" i="6"/>
  <c r="S176" i="6"/>
  <c r="R176" i="6"/>
  <c r="Q176" i="6"/>
  <c r="U175" i="6"/>
  <c r="T175" i="6"/>
  <c r="S175" i="6"/>
  <c r="R175" i="6"/>
  <c r="Q175" i="6"/>
  <c r="U174" i="6"/>
  <c r="T174" i="6"/>
  <c r="S174" i="6"/>
  <c r="R174" i="6"/>
  <c r="Q174" i="6"/>
  <c r="U173" i="6"/>
  <c r="T173" i="6"/>
  <c r="S173" i="6"/>
  <c r="R173" i="6"/>
  <c r="Q173" i="6"/>
  <c r="U172" i="6"/>
  <c r="T172" i="6"/>
  <c r="S172" i="6"/>
  <c r="R172" i="6"/>
  <c r="Q172" i="6"/>
  <c r="U171" i="6"/>
  <c r="T171" i="6"/>
  <c r="S171" i="6"/>
  <c r="R171" i="6"/>
  <c r="Q171" i="6"/>
  <c r="U170" i="6"/>
  <c r="T170" i="6"/>
  <c r="S170" i="6"/>
  <c r="R170" i="6"/>
  <c r="Q170" i="6"/>
  <c r="U169" i="6"/>
  <c r="T169" i="6"/>
  <c r="S169" i="6"/>
  <c r="R169" i="6"/>
  <c r="Q169" i="6"/>
  <c r="U168" i="6"/>
  <c r="T168" i="6"/>
  <c r="S168" i="6"/>
  <c r="R168" i="6"/>
  <c r="Q168" i="6"/>
  <c r="U167" i="6"/>
  <c r="T167" i="6"/>
  <c r="S167" i="6"/>
  <c r="R167" i="6"/>
  <c r="Q167" i="6"/>
  <c r="U166" i="6"/>
  <c r="T166" i="6"/>
  <c r="S166" i="6"/>
  <c r="R166" i="6"/>
  <c r="Q166" i="6"/>
  <c r="U165" i="6"/>
  <c r="T165" i="6"/>
  <c r="S165" i="6"/>
  <c r="R165" i="6"/>
  <c r="Q165" i="6"/>
  <c r="U164" i="6"/>
  <c r="T164" i="6"/>
  <c r="S164" i="6"/>
  <c r="R164" i="6"/>
  <c r="Q164" i="6"/>
  <c r="U163" i="6"/>
  <c r="T163" i="6"/>
  <c r="S163" i="6"/>
  <c r="R163" i="6"/>
  <c r="Q163" i="6"/>
  <c r="U162" i="6"/>
  <c r="T162" i="6"/>
  <c r="S162" i="6"/>
  <c r="R162" i="6"/>
  <c r="Q162" i="6"/>
  <c r="U161" i="6"/>
  <c r="T161" i="6"/>
  <c r="S161" i="6"/>
  <c r="R161" i="6"/>
  <c r="Q161" i="6"/>
  <c r="U160" i="6"/>
  <c r="T160" i="6"/>
  <c r="S160" i="6"/>
  <c r="R160" i="6"/>
  <c r="Q160" i="6"/>
  <c r="U159" i="6"/>
  <c r="T159" i="6"/>
  <c r="S159" i="6"/>
  <c r="R159" i="6"/>
  <c r="Q159" i="6"/>
  <c r="U158" i="6"/>
  <c r="T158" i="6"/>
  <c r="S158" i="6"/>
  <c r="R158" i="6"/>
  <c r="Q158" i="6"/>
  <c r="U157" i="6"/>
  <c r="T157" i="6"/>
  <c r="S157" i="6"/>
  <c r="R157" i="6"/>
  <c r="Q157" i="6"/>
  <c r="U156" i="6"/>
  <c r="T156" i="6"/>
  <c r="S156" i="6"/>
  <c r="R156" i="6"/>
  <c r="Q156" i="6"/>
  <c r="U155" i="6"/>
  <c r="T155" i="6"/>
  <c r="S155" i="6"/>
  <c r="R155" i="6"/>
  <c r="Q155" i="6"/>
  <c r="U154" i="6"/>
  <c r="T154" i="6"/>
  <c r="S154" i="6"/>
  <c r="R154" i="6"/>
  <c r="Q154" i="6"/>
  <c r="U153" i="6"/>
  <c r="T153" i="6"/>
  <c r="S153" i="6"/>
  <c r="R153" i="6"/>
  <c r="Q153" i="6"/>
  <c r="U152" i="6"/>
  <c r="T152" i="6"/>
  <c r="S152" i="6"/>
  <c r="R152" i="6"/>
  <c r="Q152" i="6"/>
  <c r="U151" i="6"/>
  <c r="T151" i="6"/>
  <c r="S151" i="6"/>
  <c r="R151" i="6"/>
  <c r="Q151" i="6"/>
  <c r="U150" i="6"/>
  <c r="T150" i="6"/>
  <c r="S150" i="6"/>
  <c r="R150" i="6"/>
  <c r="Q150" i="6"/>
  <c r="U149" i="6"/>
  <c r="T149" i="6"/>
  <c r="S149" i="6"/>
  <c r="R149" i="6"/>
  <c r="Q149" i="6"/>
  <c r="U148" i="6"/>
  <c r="T148" i="6"/>
  <c r="S148" i="6"/>
  <c r="R148" i="6"/>
  <c r="Q148" i="6"/>
  <c r="U147" i="6"/>
  <c r="T147" i="6"/>
  <c r="S147" i="6"/>
  <c r="R147" i="6"/>
  <c r="Q147" i="6"/>
  <c r="U146" i="6"/>
  <c r="T146" i="6"/>
  <c r="S146" i="6"/>
  <c r="R146" i="6"/>
  <c r="Q146" i="6"/>
  <c r="U145" i="6"/>
  <c r="T145" i="6"/>
  <c r="S145" i="6"/>
  <c r="R145" i="6"/>
  <c r="Q145" i="6"/>
  <c r="U144" i="6"/>
  <c r="T144" i="6"/>
  <c r="S144" i="6"/>
  <c r="R144" i="6"/>
  <c r="Q144" i="6"/>
  <c r="U143" i="6"/>
  <c r="T143" i="6"/>
  <c r="S143" i="6"/>
  <c r="R143" i="6"/>
  <c r="Q143" i="6"/>
  <c r="U142" i="6"/>
  <c r="T142" i="6"/>
  <c r="S142" i="6"/>
  <c r="R142" i="6"/>
  <c r="Q142" i="6"/>
  <c r="U141" i="6"/>
  <c r="T141" i="6"/>
  <c r="S141" i="6"/>
  <c r="R141" i="6"/>
  <c r="Q141" i="6"/>
  <c r="U140" i="6"/>
  <c r="T140" i="6"/>
  <c r="S140" i="6"/>
  <c r="R140" i="6"/>
  <c r="Q140" i="6"/>
  <c r="U139" i="6"/>
  <c r="T139" i="6"/>
  <c r="S139" i="6"/>
  <c r="R139" i="6"/>
  <c r="Q139" i="6"/>
  <c r="U138" i="6"/>
  <c r="T138" i="6"/>
  <c r="S138" i="6"/>
  <c r="R138" i="6"/>
  <c r="Q138" i="6"/>
  <c r="U137" i="6"/>
  <c r="T137" i="6"/>
  <c r="S137" i="6"/>
  <c r="R137" i="6"/>
  <c r="Q137" i="6"/>
  <c r="U136" i="6"/>
  <c r="T136" i="6"/>
  <c r="S136" i="6"/>
  <c r="R136" i="6"/>
  <c r="Q136" i="6"/>
  <c r="U135" i="6"/>
  <c r="T135" i="6"/>
  <c r="S135" i="6"/>
  <c r="R135" i="6"/>
  <c r="Q135" i="6"/>
  <c r="U134" i="6"/>
  <c r="T134" i="6"/>
  <c r="S134" i="6"/>
  <c r="R134" i="6"/>
  <c r="Q134" i="6"/>
  <c r="U133" i="6"/>
  <c r="T133" i="6"/>
  <c r="S133" i="6"/>
  <c r="R133" i="6"/>
  <c r="Q133" i="6"/>
  <c r="U132" i="6"/>
  <c r="T132" i="6"/>
  <c r="S132" i="6"/>
  <c r="R132" i="6"/>
  <c r="Q132" i="6"/>
  <c r="U131" i="6"/>
  <c r="T131" i="6"/>
  <c r="S131" i="6"/>
  <c r="R131" i="6"/>
  <c r="Q131" i="6"/>
  <c r="U130" i="6"/>
  <c r="T130" i="6"/>
  <c r="S130" i="6"/>
  <c r="R130" i="6"/>
  <c r="Q130" i="6"/>
  <c r="U129" i="6"/>
  <c r="T129" i="6"/>
  <c r="S129" i="6"/>
  <c r="R129" i="6"/>
  <c r="Q129" i="6"/>
  <c r="U128" i="6"/>
  <c r="T128" i="6"/>
  <c r="S128" i="6"/>
  <c r="R128" i="6"/>
  <c r="Q128" i="6"/>
  <c r="U127" i="6"/>
  <c r="T127" i="6"/>
  <c r="S127" i="6"/>
  <c r="R127" i="6"/>
  <c r="Q127" i="6"/>
  <c r="U126" i="6"/>
  <c r="T126" i="6"/>
  <c r="S126" i="6"/>
  <c r="R126" i="6"/>
  <c r="Q126" i="6"/>
  <c r="U125" i="6"/>
  <c r="T125" i="6"/>
  <c r="S125" i="6"/>
  <c r="R125" i="6"/>
  <c r="Q125" i="6"/>
  <c r="U124" i="6"/>
  <c r="T124" i="6"/>
  <c r="S124" i="6"/>
  <c r="R124" i="6"/>
  <c r="Q124" i="6"/>
  <c r="U123" i="6"/>
  <c r="T123" i="6"/>
  <c r="S123" i="6"/>
  <c r="R123" i="6"/>
  <c r="Q123" i="6"/>
  <c r="U122" i="6"/>
  <c r="T122" i="6"/>
  <c r="S122" i="6"/>
  <c r="R122" i="6"/>
  <c r="Q122" i="6"/>
  <c r="U121" i="6"/>
  <c r="T121" i="6"/>
  <c r="S121" i="6"/>
  <c r="R121" i="6"/>
  <c r="Q121" i="6"/>
  <c r="U120" i="6"/>
  <c r="T120" i="6"/>
  <c r="S120" i="6"/>
  <c r="R120" i="6"/>
  <c r="Q120" i="6"/>
  <c r="U119" i="6"/>
  <c r="T119" i="6"/>
  <c r="S119" i="6"/>
  <c r="R119" i="6"/>
  <c r="Q119" i="6"/>
  <c r="U118" i="6"/>
  <c r="T118" i="6"/>
  <c r="S118" i="6"/>
  <c r="R118" i="6"/>
  <c r="Q118" i="6"/>
  <c r="U117" i="6"/>
  <c r="T117" i="6"/>
  <c r="S117" i="6"/>
  <c r="R117" i="6"/>
  <c r="Q117" i="6"/>
  <c r="U116" i="6"/>
  <c r="T116" i="6"/>
  <c r="S116" i="6"/>
  <c r="R116" i="6"/>
  <c r="Q116" i="6"/>
  <c r="U115" i="6"/>
  <c r="T115" i="6"/>
  <c r="S115" i="6"/>
  <c r="R115" i="6"/>
  <c r="Q115" i="6"/>
  <c r="U114" i="6"/>
  <c r="T114" i="6"/>
  <c r="S114" i="6"/>
  <c r="R114" i="6"/>
  <c r="Q114" i="6"/>
  <c r="U113" i="6"/>
  <c r="T113" i="6"/>
  <c r="S113" i="6"/>
  <c r="R113" i="6"/>
  <c r="Q113" i="6"/>
  <c r="U112" i="6"/>
  <c r="T112" i="6"/>
  <c r="S112" i="6"/>
  <c r="R112" i="6"/>
  <c r="Q112" i="6"/>
  <c r="U111" i="6"/>
  <c r="T111" i="6"/>
  <c r="S111" i="6"/>
  <c r="R111" i="6"/>
  <c r="Q111" i="6"/>
  <c r="U110" i="6"/>
  <c r="T110" i="6"/>
  <c r="S110" i="6"/>
  <c r="R110" i="6"/>
  <c r="Q110" i="6"/>
  <c r="U109" i="6"/>
  <c r="T109" i="6"/>
  <c r="S109" i="6"/>
  <c r="R109" i="6"/>
  <c r="Q109" i="6"/>
  <c r="U108" i="6"/>
  <c r="T108" i="6"/>
  <c r="S108" i="6"/>
  <c r="R108" i="6"/>
  <c r="Q108" i="6"/>
  <c r="U107" i="6"/>
  <c r="T107" i="6"/>
  <c r="S107" i="6"/>
  <c r="R107" i="6"/>
  <c r="Q107" i="6"/>
  <c r="U106" i="6"/>
  <c r="T106" i="6"/>
  <c r="S106" i="6"/>
  <c r="R106" i="6"/>
  <c r="Q106" i="6"/>
  <c r="U105" i="6"/>
  <c r="T105" i="6"/>
  <c r="S105" i="6"/>
  <c r="R105" i="6"/>
  <c r="Q105" i="6"/>
  <c r="U104" i="6"/>
  <c r="T104" i="6"/>
  <c r="S104" i="6"/>
  <c r="R104" i="6"/>
  <c r="Q104" i="6"/>
  <c r="U103" i="6"/>
  <c r="T103" i="6"/>
  <c r="S103" i="6"/>
  <c r="R103" i="6"/>
  <c r="Q103" i="6"/>
  <c r="U102" i="6"/>
  <c r="T102" i="6"/>
  <c r="S102" i="6"/>
  <c r="R102" i="6"/>
  <c r="Q102" i="6"/>
  <c r="U101" i="6"/>
  <c r="T101" i="6"/>
  <c r="S101" i="6"/>
  <c r="R101" i="6"/>
  <c r="Q101" i="6"/>
  <c r="U100" i="6"/>
  <c r="T100" i="6"/>
  <c r="S100" i="6"/>
  <c r="R100" i="6"/>
  <c r="Q100" i="6"/>
  <c r="U99" i="6"/>
  <c r="T99" i="6"/>
  <c r="S99" i="6"/>
  <c r="R99" i="6"/>
  <c r="Q99" i="6"/>
  <c r="U98" i="6"/>
  <c r="T98" i="6"/>
  <c r="S98" i="6"/>
  <c r="R98" i="6"/>
  <c r="Q98" i="6"/>
  <c r="U97" i="6"/>
  <c r="T97" i="6"/>
  <c r="S97" i="6"/>
  <c r="R97" i="6"/>
  <c r="Q97" i="6"/>
  <c r="U96" i="6"/>
  <c r="T96" i="6"/>
  <c r="S96" i="6"/>
  <c r="R96" i="6"/>
  <c r="Q96" i="6"/>
  <c r="U95" i="6"/>
  <c r="T95" i="6"/>
  <c r="S95" i="6"/>
  <c r="R95" i="6"/>
  <c r="Q95" i="6"/>
  <c r="U94" i="6"/>
  <c r="T94" i="6"/>
  <c r="S94" i="6"/>
  <c r="R94" i="6"/>
  <c r="Q94" i="6"/>
  <c r="U93" i="6"/>
  <c r="T93" i="6"/>
  <c r="S93" i="6"/>
  <c r="R93" i="6"/>
  <c r="Q93" i="6"/>
  <c r="U92" i="6"/>
  <c r="T92" i="6"/>
  <c r="S92" i="6"/>
  <c r="R92" i="6"/>
  <c r="Q92" i="6"/>
  <c r="U91" i="6"/>
  <c r="T91" i="6"/>
  <c r="S91" i="6"/>
  <c r="R91" i="6"/>
  <c r="Q91" i="6"/>
  <c r="U90" i="6"/>
  <c r="T90" i="6"/>
  <c r="S90" i="6"/>
  <c r="R90" i="6"/>
  <c r="Q90" i="6"/>
  <c r="U89" i="6"/>
  <c r="T89" i="6"/>
  <c r="S89" i="6"/>
  <c r="R89" i="6"/>
  <c r="Q89" i="6"/>
  <c r="U88" i="6"/>
  <c r="T88" i="6"/>
  <c r="S88" i="6"/>
  <c r="R88" i="6"/>
  <c r="Q88" i="6"/>
  <c r="U87" i="6"/>
  <c r="T87" i="6"/>
  <c r="S87" i="6"/>
  <c r="R87" i="6"/>
  <c r="Q87" i="6"/>
  <c r="U86" i="6"/>
  <c r="T86" i="6"/>
  <c r="S86" i="6"/>
  <c r="R86" i="6"/>
  <c r="Q86" i="6"/>
  <c r="U85" i="6"/>
  <c r="T85" i="6"/>
  <c r="S85" i="6"/>
  <c r="R85" i="6"/>
  <c r="Q85" i="6"/>
  <c r="U84" i="6"/>
  <c r="T84" i="6"/>
  <c r="S84" i="6"/>
  <c r="R84" i="6"/>
  <c r="Q84" i="6"/>
  <c r="U83" i="6"/>
  <c r="T83" i="6"/>
  <c r="S83" i="6"/>
  <c r="R83" i="6"/>
  <c r="Q83" i="6"/>
  <c r="U82" i="6"/>
  <c r="T82" i="6"/>
  <c r="S82" i="6"/>
  <c r="R82" i="6"/>
  <c r="Q82" i="6"/>
  <c r="U81" i="6"/>
  <c r="T81" i="6"/>
  <c r="S81" i="6"/>
  <c r="R81" i="6"/>
  <c r="Q81" i="6"/>
  <c r="U80" i="6"/>
  <c r="T80" i="6"/>
  <c r="S80" i="6"/>
  <c r="R80" i="6"/>
  <c r="Q80" i="6"/>
  <c r="U79" i="6"/>
  <c r="T79" i="6"/>
  <c r="S79" i="6"/>
  <c r="R79" i="6"/>
  <c r="Q79" i="6"/>
  <c r="U78" i="6"/>
  <c r="T78" i="6"/>
  <c r="S78" i="6"/>
  <c r="R78" i="6"/>
  <c r="Q78" i="6"/>
  <c r="U77" i="6"/>
  <c r="T77" i="6"/>
  <c r="S77" i="6"/>
  <c r="R77" i="6"/>
  <c r="Q77" i="6"/>
  <c r="U76" i="6"/>
  <c r="T76" i="6"/>
  <c r="S76" i="6"/>
  <c r="R76" i="6"/>
  <c r="Q76" i="6"/>
  <c r="U75" i="6"/>
  <c r="T75" i="6"/>
  <c r="S75" i="6"/>
  <c r="R75" i="6"/>
  <c r="Q75" i="6"/>
  <c r="U74" i="6"/>
  <c r="T74" i="6"/>
  <c r="S74" i="6"/>
  <c r="R74" i="6"/>
  <c r="Q74" i="6"/>
  <c r="U73" i="6"/>
  <c r="T73" i="6"/>
  <c r="S73" i="6"/>
  <c r="R73" i="6"/>
  <c r="Q73" i="6"/>
  <c r="U72" i="6"/>
  <c r="T72" i="6"/>
  <c r="S72" i="6"/>
  <c r="R72" i="6"/>
  <c r="Q72" i="6"/>
  <c r="U71" i="6"/>
  <c r="T71" i="6"/>
  <c r="S71" i="6"/>
  <c r="R71" i="6"/>
  <c r="Q71" i="6"/>
  <c r="U70" i="6"/>
  <c r="T70" i="6"/>
  <c r="S70" i="6"/>
  <c r="R70" i="6"/>
  <c r="Q70" i="6"/>
  <c r="U69" i="6"/>
  <c r="T69" i="6"/>
  <c r="S69" i="6"/>
  <c r="R69" i="6"/>
  <c r="Q69" i="6"/>
  <c r="U68" i="6"/>
  <c r="T68" i="6"/>
  <c r="S68" i="6"/>
  <c r="R68" i="6"/>
  <c r="Q68" i="6"/>
  <c r="U67" i="6"/>
  <c r="T67" i="6"/>
  <c r="S67" i="6"/>
  <c r="R67" i="6"/>
  <c r="Q67" i="6"/>
  <c r="U66" i="6"/>
  <c r="T66" i="6"/>
  <c r="S66" i="6"/>
  <c r="R66" i="6"/>
  <c r="Q66" i="6"/>
  <c r="U65" i="6"/>
  <c r="T65" i="6"/>
  <c r="S65" i="6"/>
  <c r="R65" i="6"/>
  <c r="Q65" i="6"/>
  <c r="U64" i="6"/>
  <c r="T64" i="6"/>
  <c r="S64" i="6"/>
  <c r="R64" i="6"/>
  <c r="Q64" i="6"/>
  <c r="U63" i="6"/>
  <c r="T63" i="6"/>
  <c r="S63" i="6"/>
  <c r="R63" i="6"/>
  <c r="Q63" i="6"/>
  <c r="U62" i="6"/>
  <c r="T62" i="6"/>
  <c r="S62" i="6"/>
  <c r="R62" i="6"/>
  <c r="Q62" i="6"/>
  <c r="U61" i="6"/>
  <c r="T61" i="6"/>
  <c r="S61" i="6"/>
  <c r="R61" i="6"/>
  <c r="Q61" i="6"/>
  <c r="U60" i="6"/>
  <c r="T60" i="6"/>
  <c r="S60" i="6"/>
  <c r="R60" i="6"/>
  <c r="Q60" i="6"/>
  <c r="U59" i="6"/>
  <c r="T59" i="6"/>
  <c r="S59" i="6"/>
  <c r="R59" i="6"/>
  <c r="Q59" i="6"/>
  <c r="U58" i="6"/>
  <c r="T58" i="6"/>
  <c r="S58" i="6"/>
  <c r="R58" i="6"/>
  <c r="Q58" i="6"/>
  <c r="U57" i="6"/>
  <c r="T57" i="6"/>
  <c r="S57" i="6"/>
  <c r="R57" i="6"/>
  <c r="Q57" i="6"/>
  <c r="U56" i="6"/>
  <c r="T56" i="6"/>
  <c r="S56" i="6"/>
  <c r="R56" i="6"/>
  <c r="Q56" i="6"/>
  <c r="U55" i="6"/>
  <c r="T55" i="6"/>
  <c r="S55" i="6"/>
  <c r="R55" i="6"/>
  <c r="Q55" i="6"/>
  <c r="U54" i="6"/>
  <c r="T54" i="6"/>
  <c r="S54" i="6"/>
  <c r="R54" i="6"/>
  <c r="Q54" i="6"/>
  <c r="U53" i="6"/>
  <c r="T53" i="6"/>
  <c r="S53" i="6"/>
  <c r="R53" i="6"/>
  <c r="Q53" i="6"/>
  <c r="U52" i="6"/>
  <c r="T52" i="6"/>
  <c r="S52" i="6"/>
  <c r="R52" i="6"/>
  <c r="Q52" i="6"/>
  <c r="U51" i="6"/>
  <c r="T51" i="6"/>
  <c r="S51" i="6"/>
  <c r="R51" i="6"/>
  <c r="Q51" i="6"/>
  <c r="U50" i="6"/>
  <c r="T50" i="6"/>
  <c r="S50" i="6"/>
  <c r="R50" i="6"/>
  <c r="Q50" i="6"/>
  <c r="U49" i="6"/>
  <c r="T49" i="6"/>
  <c r="S49" i="6"/>
  <c r="R49" i="6"/>
  <c r="Q49" i="6"/>
  <c r="U48" i="6"/>
  <c r="T48" i="6"/>
  <c r="S48" i="6"/>
  <c r="R48" i="6"/>
  <c r="Q48" i="6"/>
  <c r="U47" i="6"/>
  <c r="T47" i="6"/>
  <c r="S47" i="6"/>
  <c r="R47" i="6"/>
  <c r="Q47" i="6"/>
  <c r="U46" i="6"/>
  <c r="T46" i="6"/>
  <c r="S46" i="6"/>
  <c r="R46" i="6"/>
  <c r="Q46" i="6"/>
  <c r="U45" i="6"/>
  <c r="T45" i="6"/>
  <c r="S45" i="6"/>
  <c r="R45" i="6"/>
  <c r="Q45" i="6"/>
  <c r="U44" i="6"/>
  <c r="T44" i="6"/>
  <c r="S44" i="6"/>
  <c r="R44" i="6"/>
  <c r="Q44" i="6"/>
  <c r="U43" i="6"/>
  <c r="T43" i="6"/>
  <c r="S43" i="6"/>
  <c r="R43" i="6"/>
  <c r="Q43" i="6"/>
  <c r="U42" i="6"/>
  <c r="T42" i="6"/>
  <c r="S42" i="6"/>
  <c r="R42" i="6"/>
  <c r="Q42" i="6"/>
  <c r="U41" i="6"/>
  <c r="T41" i="6"/>
  <c r="S41" i="6"/>
  <c r="R41" i="6"/>
  <c r="Q41" i="6"/>
  <c r="U40" i="6"/>
  <c r="T40" i="6"/>
  <c r="S40" i="6"/>
  <c r="R40" i="6"/>
  <c r="Q40" i="6"/>
  <c r="U39" i="6"/>
  <c r="T39" i="6"/>
  <c r="S39" i="6"/>
  <c r="R39" i="6"/>
  <c r="Q39" i="6"/>
  <c r="U38" i="6"/>
  <c r="T38" i="6"/>
  <c r="S38" i="6"/>
  <c r="R38" i="6"/>
  <c r="Q38" i="6"/>
  <c r="U37" i="6"/>
  <c r="T37" i="6"/>
  <c r="S37" i="6"/>
  <c r="R37" i="6"/>
  <c r="Q37" i="6"/>
  <c r="U36" i="6"/>
  <c r="T36" i="6"/>
  <c r="S36" i="6"/>
  <c r="R36" i="6"/>
  <c r="Q36" i="6"/>
  <c r="U35" i="6"/>
  <c r="T35" i="6"/>
  <c r="S35" i="6"/>
  <c r="R35" i="6"/>
  <c r="Q35" i="6"/>
  <c r="U34" i="6"/>
  <c r="T34" i="6"/>
  <c r="S34" i="6"/>
  <c r="R34" i="6"/>
  <c r="Q34" i="6"/>
  <c r="U33" i="6"/>
  <c r="T33" i="6"/>
  <c r="S33" i="6"/>
  <c r="R33" i="6"/>
  <c r="Q33" i="6"/>
  <c r="U32" i="6"/>
  <c r="T32" i="6"/>
  <c r="S32" i="6"/>
  <c r="R32" i="6"/>
  <c r="Q32" i="6"/>
  <c r="U31" i="6"/>
  <c r="T31" i="6"/>
  <c r="S31" i="6"/>
  <c r="R31" i="6"/>
  <c r="Q31" i="6"/>
  <c r="U30" i="6"/>
  <c r="T30" i="6"/>
  <c r="S30" i="6"/>
  <c r="R30" i="6"/>
  <c r="Q30" i="6"/>
  <c r="U29" i="6"/>
  <c r="T29" i="6"/>
  <c r="S29" i="6"/>
  <c r="R29" i="6"/>
  <c r="Q29" i="6"/>
  <c r="U28" i="6"/>
  <c r="T28" i="6"/>
  <c r="S28" i="6"/>
  <c r="R28" i="6"/>
  <c r="Q28" i="6"/>
  <c r="U27" i="6"/>
  <c r="T27" i="6"/>
  <c r="S27" i="6"/>
  <c r="R27" i="6"/>
  <c r="Q27" i="6"/>
  <c r="U26" i="6"/>
  <c r="T26" i="6"/>
  <c r="S26" i="6"/>
  <c r="R26" i="6"/>
  <c r="Q26" i="6"/>
  <c r="U25" i="6"/>
  <c r="T25" i="6"/>
  <c r="S25" i="6"/>
  <c r="R25" i="6"/>
  <c r="Q25" i="6"/>
  <c r="U24" i="6"/>
  <c r="T24" i="6"/>
  <c r="S24" i="6"/>
  <c r="R24" i="6"/>
  <c r="Q24" i="6"/>
  <c r="U23" i="6"/>
  <c r="T23" i="6"/>
  <c r="S23" i="6"/>
  <c r="R23" i="6"/>
  <c r="Q23" i="6"/>
  <c r="U22" i="6"/>
  <c r="T22" i="6"/>
  <c r="S22" i="6"/>
  <c r="R22" i="6"/>
  <c r="Q22" i="6"/>
  <c r="U21" i="6"/>
  <c r="T21" i="6"/>
  <c r="S21" i="6"/>
  <c r="R21" i="6"/>
  <c r="Q21" i="6"/>
  <c r="U20" i="6"/>
  <c r="T20" i="6"/>
  <c r="S20" i="6"/>
  <c r="R20" i="6"/>
  <c r="Q20" i="6"/>
  <c r="U19" i="6"/>
  <c r="T19" i="6"/>
  <c r="S19" i="6"/>
  <c r="R19" i="6"/>
  <c r="Q19" i="6"/>
  <c r="U18" i="6"/>
  <c r="T18" i="6"/>
  <c r="S18" i="6"/>
  <c r="R18" i="6"/>
  <c r="Q18" i="6"/>
  <c r="U17" i="6"/>
  <c r="T17" i="6"/>
  <c r="S17" i="6"/>
  <c r="R17" i="6"/>
  <c r="Q17" i="6"/>
  <c r="U16" i="6"/>
  <c r="T16" i="6"/>
  <c r="S16" i="6"/>
  <c r="R16" i="6"/>
  <c r="Q16" i="6"/>
  <c r="U15" i="6"/>
  <c r="T15" i="6"/>
  <c r="S15" i="6"/>
  <c r="R15" i="6"/>
  <c r="Q15" i="6"/>
  <c r="U14" i="6"/>
  <c r="T14" i="6"/>
  <c r="S14" i="6"/>
  <c r="R14" i="6"/>
  <c r="Q14" i="6"/>
  <c r="U13" i="6"/>
  <c r="T13" i="6"/>
  <c r="S13" i="6"/>
  <c r="R13" i="6"/>
  <c r="Q13" i="6"/>
  <c r="U12" i="6"/>
  <c r="T12" i="6"/>
  <c r="S12" i="6"/>
  <c r="R12" i="6"/>
  <c r="Q12" i="6"/>
  <c r="U11" i="6"/>
  <c r="T11" i="6"/>
  <c r="S11" i="6"/>
  <c r="R11" i="6"/>
  <c r="Q11" i="6"/>
  <c r="U10" i="6"/>
  <c r="T10" i="6"/>
  <c r="S10" i="6"/>
  <c r="R10" i="6"/>
  <c r="Q10" i="6"/>
  <c r="U9" i="6"/>
  <c r="T9" i="6"/>
  <c r="S9" i="6"/>
  <c r="R9" i="6"/>
  <c r="Q9" i="6"/>
  <c r="U8" i="6"/>
  <c r="T8" i="6"/>
  <c r="S8" i="6"/>
  <c r="R8" i="6"/>
  <c r="Q8" i="6"/>
  <c r="U7" i="6"/>
  <c r="T7" i="6"/>
  <c r="S7" i="6"/>
  <c r="R7" i="6"/>
  <c r="Q7" i="6"/>
  <c r="U6" i="6"/>
  <c r="T6" i="6"/>
  <c r="S6" i="6"/>
  <c r="R6" i="6"/>
  <c r="Q6" i="6"/>
  <c r="U5" i="6"/>
  <c r="T5" i="6"/>
  <c r="S5" i="6"/>
  <c r="R5" i="6"/>
  <c r="Q5" i="6"/>
  <c r="U4" i="6"/>
  <c r="T4" i="6"/>
  <c r="S4" i="6"/>
  <c r="R4" i="6"/>
  <c r="Q4" i="6"/>
  <c r="U3" i="6"/>
  <c r="T3" i="6"/>
  <c r="S3" i="6"/>
  <c r="R3" i="6"/>
  <c r="Q3" i="6"/>
  <c r="U2" i="6"/>
  <c r="T2" i="6"/>
  <c r="S2" i="6"/>
  <c r="R2" i="6"/>
  <c r="Q2" i="6"/>
  <c r="Z463" i="5"/>
  <c r="X463" i="5"/>
  <c r="W463" i="5"/>
  <c r="V463" i="5"/>
  <c r="Y463" i="5" s="1"/>
  <c r="U463" i="5"/>
  <c r="T463" i="5"/>
  <c r="S463" i="5"/>
  <c r="AA463" i="5" s="1"/>
  <c r="R463" i="5"/>
  <c r="Q463" i="5"/>
  <c r="Z462" i="5"/>
  <c r="X462" i="5"/>
  <c r="W462" i="5"/>
  <c r="V462" i="5"/>
  <c r="Y462" i="5" s="1"/>
  <c r="U462" i="5"/>
  <c r="T462" i="5"/>
  <c r="S462" i="5"/>
  <c r="AA462" i="5" s="1"/>
  <c r="R462" i="5"/>
  <c r="Q462" i="5"/>
  <c r="W461" i="5"/>
  <c r="Z461" i="5" s="1"/>
  <c r="V461" i="5"/>
  <c r="U461" i="5"/>
  <c r="X461" i="5" s="1"/>
  <c r="T461" i="5"/>
  <c r="S461" i="5"/>
  <c r="AA461" i="5" s="1"/>
  <c r="R461" i="5"/>
  <c r="Q461" i="5"/>
  <c r="Z460" i="5"/>
  <c r="Y460" i="5"/>
  <c r="W460" i="5"/>
  <c r="V460" i="5"/>
  <c r="U460" i="5"/>
  <c r="X460" i="5" s="1"/>
  <c r="T460" i="5"/>
  <c r="S460" i="5"/>
  <c r="R460" i="5"/>
  <c r="Q460" i="5"/>
  <c r="W459" i="5"/>
  <c r="Z459" i="5" s="1"/>
  <c r="V459" i="5"/>
  <c r="Y459" i="5" s="1"/>
  <c r="U459" i="5"/>
  <c r="X459" i="5" s="1"/>
  <c r="T459" i="5"/>
  <c r="S459" i="5"/>
  <c r="AA459" i="5" s="1"/>
  <c r="R459" i="5"/>
  <c r="Q459" i="5"/>
  <c r="Y458" i="5"/>
  <c r="X458" i="5"/>
  <c r="W458" i="5"/>
  <c r="V458" i="5"/>
  <c r="U458" i="5"/>
  <c r="T458" i="5"/>
  <c r="S458" i="5"/>
  <c r="AA458" i="5" s="1"/>
  <c r="R458" i="5"/>
  <c r="Q458" i="5"/>
  <c r="Z457" i="5"/>
  <c r="W457" i="5"/>
  <c r="V457" i="5"/>
  <c r="Y457" i="5" s="1"/>
  <c r="U457" i="5"/>
  <c r="T457" i="5"/>
  <c r="S457" i="5"/>
  <c r="AA457" i="5" s="1"/>
  <c r="R457" i="5"/>
  <c r="Q457" i="5"/>
  <c r="W456" i="5"/>
  <c r="Z456" i="5" s="1"/>
  <c r="V456" i="5"/>
  <c r="Y456" i="5" s="1"/>
  <c r="U456" i="5"/>
  <c r="T456" i="5"/>
  <c r="S456" i="5"/>
  <c r="AA456" i="5" s="1"/>
  <c r="R456" i="5"/>
  <c r="Q456" i="5"/>
  <c r="Z455" i="5"/>
  <c r="Y455" i="5"/>
  <c r="X455" i="5"/>
  <c r="W455" i="5"/>
  <c r="V455" i="5"/>
  <c r="U455" i="5"/>
  <c r="T455" i="5"/>
  <c r="S455" i="5"/>
  <c r="AA455" i="5" s="1"/>
  <c r="R455" i="5"/>
  <c r="Q455" i="5"/>
  <c r="W454" i="5"/>
  <c r="Z454" i="5" s="1"/>
  <c r="V454" i="5"/>
  <c r="Y454" i="5" s="1"/>
  <c r="U454" i="5"/>
  <c r="X454" i="5" s="1"/>
  <c r="T454" i="5"/>
  <c r="S454" i="5"/>
  <c r="AA454" i="5" s="1"/>
  <c r="R454" i="5"/>
  <c r="Q454" i="5"/>
  <c r="X453" i="5"/>
  <c r="W453" i="5"/>
  <c r="Z453" i="5" s="1"/>
  <c r="V453" i="5"/>
  <c r="U453" i="5"/>
  <c r="T453" i="5"/>
  <c r="S453" i="5"/>
  <c r="AA453" i="5" s="1"/>
  <c r="R453" i="5"/>
  <c r="Q453" i="5"/>
  <c r="Z452" i="5"/>
  <c r="Y452" i="5"/>
  <c r="X452" i="5"/>
  <c r="W452" i="5"/>
  <c r="V452" i="5"/>
  <c r="U452" i="5"/>
  <c r="T452" i="5"/>
  <c r="S452" i="5"/>
  <c r="AA452" i="5" s="1"/>
  <c r="R452" i="5"/>
  <c r="Q452" i="5"/>
  <c r="W451" i="5"/>
  <c r="V451" i="5"/>
  <c r="Y451" i="5" s="1"/>
  <c r="U451" i="5"/>
  <c r="X451" i="5" s="1"/>
  <c r="T451" i="5"/>
  <c r="S451" i="5"/>
  <c r="AA451" i="5" s="1"/>
  <c r="R451" i="5"/>
  <c r="Q451" i="5"/>
  <c r="Y450" i="5"/>
  <c r="X450" i="5"/>
  <c r="W450" i="5"/>
  <c r="V450" i="5"/>
  <c r="U450" i="5"/>
  <c r="T450" i="5"/>
  <c r="S450" i="5"/>
  <c r="AA450" i="5" s="1"/>
  <c r="R450" i="5"/>
  <c r="Q450" i="5"/>
  <c r="Z449" i="5"/>
  <c r="Y449" i="5"/>
  <c r="W449" i="5"/>
  <c r="V449" i="5"/>
  <c r="U449" i="5"/>
  <c r="X449" i="5" s="1"/>
  <c r="T449" i="5"/>
  <c r="S449" i="5"/>
  <c r="AA449" i="5" s="1"/>
  <c r="R449" i="5"/>
  <c r="Q449" i="5"/>
  <c r="X448" i="5"/>
  <c r="W448" i="5"/>
  <c r="Z448" i="5" s="1"/>
  <c r="V448" i="5"/>
  <c r="Y448" i="5" s="1"/>
  <c r="U448" i="5"/>
  <c r="T448" i="5"/>
  <c r="S448" i="5"/>
  <c r="AA448" i="5" s="1"/>
  <c r="R448" i="5"/>
  <c r="Q448" i="5"/>
  <c r="Z447" i="5"/>
  <c r="Y447" i="5"/>
  <c r="X447" i="5"/>
  <c r="W447" i="5"/>
  <c r="V447" i="5"/>
  <c r="U447" i="5"/>
  <c r="T447" i="5"/>
  <c r="S447" i="5"/>
  <c r="AA447" i="5" s="1"/>
  <c r="R447" i="5"/>
  <c r="Q447" i="5"/>
  <c r="Z446" i="5"/>
  <c r="W446" i="5"/>
  <c r="V446" i="5"/>
  <c r="Y446" i="5" s="1"/>
  <c r="U446" i="5"/>
  <c r="X446" i="5" s="1"/>
  <c r="T446" i="5"/>
  <c r="S446" i="5"/>
  <c r="AA446" i="5" s="1"/>
  <c r="R446" i="5"/>
  <c r="Q446" i="5"/>
  <c r="X445" i="5"/>
  <c r="W445" i="5"/>
  <c r="Z445" i="5" s="1"/>
  <c r="V445" i="5"/>
  <c r="U445" i="5"/>
  <c r="T445" i="5"/>
  <c r="S445" i="5"/>
  <c r="AA445" i="5" s="1"/>
  <c r="R445" i="5"/>
  <c r="Q445" i="5"/>
  <c r="Z444" i="5"/>
  <c r="Y444" i="5"/>
  <c r="X444" i="5"/>
  <c r="W444" i="5"/>
  <c r="V444" i="5"/>
  <c r="U444" i="5"/>
  <c r="T444" i="5"/>
  <c r="S444" i="5"/>
  <c r="AA444" i="5" s="1"/>
  <c r="R444" i="5"/>
  <c r="Q444" i="5"/>
  <c r="W443" i="5"/>
  <c r="V443" i="5"/>
  <c r="Y443" i="5" s="1"/>
  <c r="U443" i="5"/>
  <c r="X443" i="5" s="1"/>
  <c r="T443" i="5"/>
  <c r="S443" i="5"/>
  <c r="AA443" i="5" s="1"/>
  <c r="R443" i="5"/>
  <c r="Q443" i="5"/>
  <c r="Y442" i="5"/>
  <c r="X442" i="5"/>
  <c r="W442" i="5"/>
  <c r="V442" i="5"/>
  <c r="U442" i="5"/>
  <c r="T442" i="5"/>
  <c r="S442" i="5"/>
  <c r="AA442" i="5" s="1"/>
  <c r="R442" i="5"/>
  <c r="Q442" i="5"/>
  <c r="Z441" i="5"/>
  <c r="Y441" i="5"/>
  <c r="W441" i="5"/>
  <c r="V441" i="5"/>
  <c r="U441" i="5"/>
  <c r="X441" i="5" s="1"/>
  <c r="T441" i="5"/>
  <c r="S441" i="5"/>
  <c r="AA441" i="5" s="1"/>
  <c r="R441" i="5"/>
  <c r="Q441" i="5"/>
  <c r="X440" i="5"/>
  <c r="W440" i="5"/>
  <c r="Z440" i="5" s="1"/>
  <c r="V440" i="5"/>
  <c r="Y440" i="5" s="1"/>
  <c r="U440" i="5"/>
  <c r="T440" i="5"/>
  <c r="S440" i="5"/>
  <c r="AA440" i="5" s="1"/>
  <c r="R440" i="5"/>
  <c r="Q440" i="5"/>
  <c r="Z439" i="5"/>
  <c r="Y439" i="5"/>
  <c r="X439" i="5"/>
  <c r="W439" i="5"/>
  <c r="V439" i="5"/>
  <c r="U439" i="5"/>
  <c r="T439" i="5"/>
  <c r="S439" i="5"/>
  <c r="AA439" i="5" s="1"/>
  <c r="R439" i="5"/>
  <c r="Q439" i="5"/>
  <c r="Z438" i="5"/>
  <c r="W438" i="5"/>
  <c r="V438" i="5"/>
  <c r="Y438" i="5" s="1"/>
  <c r="U438" i="5"/>
  <c r="X438" i="5" s="1"/>
  <c r="T438" i="5"/>
  <c r="S438" i="5"/>
  <c r="AA438" i="5" s="1"/>
  <c r="R438" i="5"/>
  <c r="Q438" i="5"/>
  <c r="X437" i="5"/>
  <c r="W437" i="5"/>
  <c r="Z437" i="5" s="1"/>
  <c r="V437" i="5"/>
  <c r="U437" i="5"/>
  <c r="T437" i="5"/>
  <c r="S437" i="5"/>
  <c r="AA437" i="5" s="1"/>
  <c r="R437" i="5"/>
  <c r="Q437" i="5"/>
  <c r="Z436" i="5"/>
  <c r="Y436" i="5"/>
  <c r="X436" i="5"/>
  <c r="W436" i="5"/>
  <c r="V436" i="5"/>
  <c r="U436" i="5"/>
  <c r="T436" i="5"/>
  <c r="S436" i="5"/>
  <c r="AA436" i="5" s="1"/>
  <c r="R436" i="5"/>
  <c r="Q436" i="5"/>
  <c r="W435" i="5"/>
  <c r="V435" i="5"/>
  <c r="Y435" i="5" s="1"/>
  <c r="U435" i="5"/>
  <c r="X435" i="5" s="1"/>
  <c r="T435" i="5"/>
  <c r="S435" i="5"/>
  <c r="AA435" i="5" s="1"/>
  <c r="R435" i="5"/>
  <c r="Q435" i="5"/>
  <c r="Y434" i="5"/>
  <c r="X434" i="5"/>
  <c r="W434" i="5"/>
  <c r="V434" i="5"/>
  <c r="U434" i="5"/>
  <c r="T434" i="5"/>
  <c r="S434" i="5"/>
  <c r="AA434" i="5" s="1"/>
  <c r="R434" i="5"/>
  <c r="Q434" i="5"/>
  <c r="Z433" i="5"/>
  <c r="Y433" i="5"/>
  <c r="W433" i="5"/>
  <c r="V433" i="5"/>
  <c r="U433" i="5"/>
  <c r="X433" i="5" s="1"/>
  <c r="T433" i="5"/>
  <c r="S433" i="5"/>
  <c r="AA433" i="5" s="1"/>
  <c r="R433" i="5"/>
  <c r="Q433" i="5"/>
  <c r="X432" i="5"/>
  <c r="W432" i="5"/>
  <c r="Z432" i="5" s="1"/>
  <c r="V432" i="5"/>
  <c r="Y432" i="5" s="1"/>
  <c r="U432" i="5"/>
  <c r="T432" i="5"/>
  <c r="S432" i="5"/>
  <c r="AA432" i="5" s="1"/>
  <c r="R432" i="5"/>
  <c r="Q432" i="5"/>
  <c r="Z431" i="5"/>
  <c r="Y431" i="5"/>
  <c r="X431" i="5"/>
  <c r="W431" i="5"/>
  <c r="V431" i="5"/>
  <c r="U431" i="5"/>
  <c r="T431" i="5"/>
  <c r="S431" i="5"/>
  <c r="AA431" i="5" s="1"/>
  <c r="R431" i="5"/>
  <c r="Q431" i="5"/>
  <c r="Z430" i="5"/>
  <c r="W430" i="5"/>
  <c r="V430" i="5"/>
  <c r="Y430" i="5" s="1"/>
  <c r="U430" i="5"/>
  <c r="X430" i="5" s="1"/>
  <c r="T430" i="5"/>
  <c r="S430" i="5"/>
  <c r="AA430" i="5" s="1"/>
  <c r="R430" i="5"/>
  <c r="Q430" i="5"/>
  <c r="X429" i="5"/>
  <c r="W429" i="5"/>
  <c r="Z429" i="5" s="1"/>
  <c r="V429" i="5"/>
  <c r="U429" i="5"/>
  <c r="T429" i="5"/>
  <c r="S429" i="5"/>
  <c r="AA429" i="5" s="1"/>
  <c r="R429" i="5"/>
  <c r="Q429" i="5"/>
  <c r="Z428" i="5"/>
  <c r="Y428" i="5"/>
  <c r="X428" i="5"/>
  <c r="W428" i="5"/>
  <c r="V428" i="5"/>
  <c r="U428" i="5"/>
  <c r="T428" i="5"/>
  <c r="S428" i="5"/>
  <c r="AA428" i="5" s="1"/>
  <c r="R428" i="5"/>
  <c r="Q428" i="5"/>
  <c r="W427" i="5"/>
  <c r="V427" i="5"/>
  <c r="Y427" i="5" s="1"/>
  <c r="U427" i="5"/>
  <c r="X427" i="5" s="1"/>
  <c r="T427" i="5"/>
  <c r="S427" i="5"/>
  <c r="AA427" i="5" s="1"/>
  <c r="R427" i="5"/>
  <c r="Q427" i="5"/>
  <c r="Y426" i="5"/>
  <c r="X426" i="5"/>
  <c r="W426" i="5"/>
  <c r="V426" i="5"/>
  <c r="U426" i="5"/>
  <c r="T426" i="5"/>
  <c r="S426" i="5"/>
  <c r="AA426" i="5" s="1"/>
  <c r="R426" i="5"/>
  <c r="Q426" i="5"/>
  <c r="Z425" i="5"/>
  <c r="Y425" i="5"/>
  <c r="W425" i="5"/>
  <c r="V425" i="5"/>
  <c r="U425" i="5"/>
  <c r="X425" i="5" s="1"/>
  <c r="T425" i="5"/>
  <c r="S425" i="5"/>
  <c r="AA425" i="5" s="1"/>
  <c r="R425" i="5"/>
  <c r="Q425" i="5"/>
  <c r="X424" i="5"/>
  <c r="W424" i="5"/>
  <c r="Z424" i="5" s="1"/>
  <c r="V424" i="5"/>
  <c r="Y424" i="5" s="1"/>
  <c r="U424" i="5"/>
  <c r="T424" i="5"/>
  <c r="S424" i="5"/>
  <c r="AA424" i="5" s="1"/>
  <c r="R424" i="5"/>
  <c r="Q424" i="5"/>
  <c r="Z423" i="5"/>
  <c r="Y423" i="5"/>
  <c r="X423" i="5"/>
  <c r="W423" i="5"/>
  <c r="V423" i="5"/>
  <c r="U423" i="5"/>
  <c r="T423" i="5"/>
  <c r="S423" i="5"/>
  <c r="AA423" i="5" s="1"/>
  <c r="R423" i="5"/>
  <c r="Q423" i="5"/>
  <c r="Z422" i="5"/>
  <c r="W422" i="5"/>
  <c r="V422" i="5"/>
  <c r="Y422" i="5" s="1"/>
  <c r="U422" i="5"/>
  <c r="X422" i="5" s="1"/>
  <c r="T422" i="5"/>
  <c r="S422" i="5"/>
  <c r="AA422" i="5" s="1"/>
  <c r="R422" i="5"/>
  <c r="Q422" i="5"/>
  <c r="X421" i="5"/>
  <c r="W421" i="5"/>
  <c r="Z421" i="5" s="1"/>
  <c r="V421" i="5"/>
  <c r="U421" i="5"/>
  <c r="T421" i="5"/>
  <c r="S421" i="5"/>
  <c r="AA421" i="5" s="1"/>
  <c r="R421" i="5"/>
  <c r="Q421" i="5"/>
  <c r="Z420" i="5"/>
  <c r="Y420" i="5"/>
  <c r="X420" i="5"/>
  <c r="W420" i="5"/>
  <c r="V420" i="5"/>
  <c r="U420" i="5"/>
  <c r="T420" i="5"/>
  <c r="S420" i="5"/>
  <c r="AA420" i="5" s="1"/>
  <c r="R420" i="5"/>
  <c r="Q420" i="5"/>
  <c r="W419" i="5"/>
  <c r="V419" i="5"/>
  <c r="Y419" i="5" s="1"/>
  <c r="U419" i="5"/>
  <c r="X419" i="5" s="1"/>
  <c r="T419" i="5"/>
  <c r="S419" i="5"/>
  <c r="AA419" i="5" s="1"/>
  <c r="R419" i="5"/>
  <c r="Q419" i="5"/>
  <c r="Y418" i="5"/>
  <c r="X418" i="5"/>
  <c r="W418" i="5"/>
  <c r="V418" i="5"/>
  <c r="U418" i="5"/>
  <c r="T418" i="5"/>
  <c r="S418" i="5"/>
  <c r="AA418" i="5" s="1"/>
  <c r="R418" i="5"/>
  <c r="Q418" i="5"/>
  <c r="Z417" i="5"/>
  <c r="Y417" i="5"/>
  <c r="W417" i="5"/>
  <c r="V417" i="5"/>
  <c r="U417" i="5"/>
  <c r="X417" i="5" s="1"/>
  <c r="T417" i="5"/>
  <c r="S417" i="5"/>
  <c r="AA417" i="5" s="1"/>
  <c r="R417" i="5"/>
  <c r="Q417" i="5"/>
  <c r="X416" i="5"/>
  <c r="W416" i="5"/>
  <c r="Z416" i="5" s="1"/>
  <c r="V416" i="5"/>
  <c r="Y416" i="5" s="1"/>
  <c r="U416" i="5"/>
  <c r="T416" i="5"/>
  <c r="S416" i="5"/>
  <c r="AA416" i="5" s="1"/>
  <c r="R416" i="5"/>
  <c r="Q416" i="5"/>
  <c r="Z415" i="5"/>
  <c r="Y415" i="5"/>
  <c r="X415" i="5"/>
  <c r="W415" i="5"/>
  <c r="V415" i="5"/>
  <c r="U415" i="5"/>
  <c r="T415" i="5"/>
  <c r="S415" i="5"/>
  <c r="AA415" i="5" s="1"/>
  <c r="R415" i="5"/>
  <c r="Q415" i="5"/>
  <c r="Z414" i="5"/>
  <c r="W414" i="5"/>
  <c r="V414" i="5"/>
  <c r="Y414" i="5" s="1"/>
  <c r="U414" i="5"/>
  <c r="X414" i="5" s="1"/>
  <c r="T414" i="5"/>
  <c r="S414" i="5"/>
  <c r="AA414" i="5" s="1"/>
  <c r="R414" i="5"/>
  <c r="Q414" i="5"/>
  <c r="X413" i="5"/>
  <c r="W413" i="5"/>
  <c r="Z413" i="5" s="1"/>
  <c r="V413" i="5"/>
  <c r="U413" i="5"/>
  <c r="T413" i="5"/>
  <c r="S413" i="5"/>
  <c r="AA413" i="5" s="1"/>
  <c r="R413" i="5"/>
  <c r="Q413" i="5"/>
  <c r="Z412" i="5"/>
  <c r="Y412" i="5"/>
  <c r="X412" i="5"/>
  <c r="W412" i="5"/>
  <c r="V412" i="5"/>
  <c r="U412" i="5"/>
  <c r="T412" i="5"/>
  <c r="S412" i="5"/>
  <c r="AA412" i="5" s="1"/>
  <c r="R412" i="5"/>
  <c r="Q412" i="5"/>
  <c r="W411" i="5"/>
  <c r="V411" i="5"/>
  <c r="Y411" i="5" s="1"/>
  <c r="U411" i="5"/>
  <c r="X411" i="5" s="1"/>
  <c r="T411" i="5"/>
  <c r="S411" i="5"/>
  <c r="AA411" i="5" s="1"/>
  <c r="R411" i="5"/>
  <c r="Q411" i="5"/>
  <c r="Y410" i="5"/>
  <c r="X410" i="5"/>
  <c r="W410" i="5"/>
  <c r="V410" i="5"/>
  <c r="U410" i="5"/>
  <c r="T410" i="5"/>
  <c r="S410" i="5"/>
  <c r="AA410" i="5" s="1"/>
  <c r="R410" i="5"/>
  <c r="Q410" i="5"/>
  <c r="Z409" i="5"/>
  <c r="Y409" i="5"/>
  <c r="W409" i="5"/>
  <c r="V409" i="5"/>
  <c r="U409" i="5"/>
  <c r="X409" i="5" s="1"/>
  <c r="T409" i="5"/>
  <c r="S409" i="5"/>
  <c r="AA409" i="5" s="1"/>
  <c r="R409" i="5"/>
  <c r="Q409" i="5"/>
  <c r="X408" i="5"/>
  <c r="W408" i="5"/>
  <c r="Z408" i="5" s="1"/>
  <c r="V408" i="5"/>
  <c r="Y408" i="5" s="1"/>
  <c r="U408" i="5"/>
  <c r="T408" i="5"/>
  <c r="S408" i="5"/>
  <c r="AA408" i="5" s="1"/>
  <c r="R408" i="5"/>
  <c r="Q408" i="5"/>
  <c r="Z407" i="5"/>
  <c r="Y407" i="5"/>
  <c r="X407" i="5"/>
  <c r="W407" i="5"/>
  <c r="V407" i="5"/>
  <c r="U407" i="5"/>
  <c r="T407" i="5"/>
  <c r="S407" i="5"/>
  <c r="AA407" i="5" s="1"/>
  <c r="R407" i="5"/>
  <c r="Q407" i="5"/>
  <c r="Z406" i="5"/>
  <c r="W406" i="5"/>
  <c r="V406" i="5"/>
  <c r="Y406" i="5" s="1"/>
  <c r="U406" i="5"/>
  <c r="X406" i="5" s="1"/>
  <c r="T406" i="5"/>
  <c r="S406" i="5"/>
  <c r="AA406" i="5" s="1"/>
  <c r="R406" i="5"/>
  <c r="Q406" i="5"/>
  <c r="X405" i="5"/>
  <c r="W405" i="5"/>
  <c r="Z405" i="5" s="1"/>
  <c r="V405" i="5"/>
  <c r="U405" i="5"/>
  <c r="T405" i="5"/>
  <c r="S405" i="5"/>
  <c r="AA405" i="5" s="1"/>
  <c r="R405" i="5"/>
  <c r="Q405" i="5"/>
  <c r="Z404" i="5"/>
  <c r="Y404" i="5"/>
  <c r="X404" i="5"/>
  <c r="W404" i="5"/>
  <c r="V404" i="5"/>
  <c r="U404" i="5"/>
  <c r="T404" i="5"/>
  <c r="S404" i="5"/>
  <c r="AA404" i="5" s="1"/>
  <c r="R404" i="5"/>
  <c r="Q404" i="5"/>
  <c r="W403" i="5"/>
  <c r="V403" i="5"/>
  <c r="Y403" i="5" s="1"/>
  <c r="U403" i="5"/>
  <c r="X403" i="5" s="1"/>
  <c r="T403" i="5"/>
  <c r="S403" i="5"/>
  <c r="AA403" i="5" s="1"/>
  <c r="R403" i="5"/>
  <c r="Q403" i="5"/>
  <c r="Y402" i="5"/>
  <c r="X402" i="5"/>
  <c r="W402" i="5"/>
  <c r="V402" i="5"/>
  <c r="U402" i="5"/>
  <c r="T402" i="5"/>
  <c r="S402" i="5"/>
  <c r="AA402" i="5" s="1"/>
  <c r="R402" i="5"/>
  <c r="Q402" i="5"/>
  <c r="Z401" i="5"/>
  <c r="Y401" i="5"/>
  <c r="W401" i="5"/>
  <c r="V401" i="5"/>
  <c r="U401" i="5"/>
  <c r="X401" i="5" s="1"/>
  <c r="T401" i="5"/>
  <c r="S401" i="5"/>
  <c r="AA401" i="5" s="1"/>
  <c r="R401" i="5"/>
  <c r="Q401" i="5"/>
  <c r="X400" i="5"/>
  <c r="W400" i="5"/>
  <c r="Z400" i="5" s="1"/>
  <c r="V400" i="5"/>
  <c r="Y400" i="5" s="1"/>
  <c r="U400" i="5"/>
  <c r="T400" i="5"/>
  <c r="S400" i="5"/>
  <c r="AA400" i="5" s="1"/>
  <c r="R400" i="5"/>
  <c r="Q400" i="5"/>
  <c r="Z399" i="5"/>
  <c r="Y399" i="5"/>
  <c r="X399" i="5"/>
  <c r="W399" i="5"/>
  <c r="V399" i="5"/>
  <c r="U399" i="5"/>
  <c r="T399" i="5"/>
  <c r="S399" i="5"/>
  <c r="AA399" i="5" s="1"/>
  <c r="R399" i="5"/>
  <c r="Q399" i="5"/>
  <c r="Z398" i="5"/>
  <c r="W398" i="5"/>
  <c r="V398" i="5"/>
  <c r="Y398" i="5" s="1"/>
  <c r="U398" i="5"/>
  <c r="X398" i="5" s="1"/>
  <c r="T398" i="5"/>
  <c r="S398" i="5"/>
  <c r="AA398" i="5" s="1"/>
  <c r="R398" i="5"/>
  <c r="Q398" i="5"/>
  <c r="X397" i="5"/>
  <c r="W397" i="5"/>
  <c r="Z397" i="5" s="1"/>
  <c r="V397" i="5"/>
  <c r="U397" i="5"/>
  <c r="T397" i="5"/>
  <c r="S397" i="5"/>
  <c r="AA397" i="5" s="1"/>
  <c r="R397" i="5"/>
  <c r="Q397" i="5"/>
  <c r="Z396" i="5"/>
  <c r="Y396" i="5"/>
  <c r="X396" i="5"/>
  <c r="W396" i="5"/>
  <c r="V396" i="5"/>
  <c r="U396" i="5"/>
  <c r="T396" i="5"/>
  <c r="S396" i="5"/>
  <c r="R396" i="5"/>
  <c r="Q396" i="5"/>
  <c r="W395" i="5"/>
  <c r="V395" i="5"/>
  <c r="Y395" i="5" s="1"/>
  <c r="U395" i="5"/>
  <c r="X395" i="5" s="1"/>
  <c r="T395" i="5"/>
  <c r="S395" i="5"/>
  <c r="AA395" i="5" s="1"/>
  <c r="R395" i="5"/>
  <c r="Q395" i="5"/>
  <c r="Y394" i="5"/>
  <c r="X394" i="5"/>
  <c r="W394" i="5"/>
  <c r="V394" i="5"/>
  <c r="U394" i="5"/>
  <c r="T394" i="5"/>
  <c r="S394" i="5"/>
  <c r="AA394" i="5" s="1"/>
  <c r="R394" i="5"/>
  <c r="Q394" i="5"/>
  <c r="Z393" i="5"/>
  <c r="Y393" i="5"/>
  <c r="W393" i="5"/>
  <c r="V393" i="5"/>
  <c r="U393" i="5"/>
  <c r="X393" i="5" s="1"/>
  <c r="T393" i="5"/>
  <c r="S393" i="5"/>
  <c r="AA393" i="5" s="1"/>
  <c r="R393" i="5"/>
  <c r="Q393" i="5"/>
  <c r="X392" i="5"/>
  <c r="W392" i="5"/>
  <c r="Z392" i="5" s="1"/>
  <c r="V392" i="5"/>
  <c r="Y392" i="5" s="1"/>
  <c r="U392" i="5"/>
  <c r="T392" i="5"/>
  <c r="S392" i="5"/>
  <c r="AA392" i="5" s="1"/>
  <c r="R392" i="5"/>
  <c r="Q392" i="5"/>
  <c r="Z391" i="5"/>
  <c r="Y391" i="5"/>
  <c r="X391" i="5"/>
  <c r="W391" i="5"/>
  <c r="V391" i="5"/>
  <c r="U391" i="5"/>
  <c r="T391" i="5"/>
  <c r="S391" i="5"/>
  <c r="AA391" i="5" s="1"/>
  <c r="R391" i="5"/>
  <c r="Q391" i="5"/>
  <c r="Z390" i="5"/>
  <c r="W390" i="5"/>
  <c r="V390" i="5"/>
  <c r="Y390" i="5" s="1"/>
  <c r="U390" i="5"/>
  <c r="X390" i="5" s="1"/>
  <c r="T390" i="5"/>
  <c r="S390" i="5"/>
  <c r="AA390" i="5" s="1"/>
  <c r="R390" i="5"/>
  <c r="Q390" i="5"/>
  <c r="X389" i="5"/>
  <c r="W389" i="5"/>
  <c r="Z389" i="5" s="1"/>
  <c r="V389" i="5"/>
  <c r="U389" i="5"/>
  <c r="T389" i="5"/>
  <c r="S389" i="5"/>
  <c r="AA389" i="5" s="1"/>
  <c r="R389" i="5"/>
  <c r="Q389" i="5"/>
  <c r="Z388" i="5"/>
  <c r="Y388" i="5"/>
  <c r="X388" i="5"/>
  <c r="W388" i="5"/>
  <c r="V388" i="5"/>
  <c r="U388" i="5"/>
  <c r="T388" i="5"/>
  <c r="S388" i="5"/>
  <c r="R388" i="5"/>
  <c r="Q388" i="5"/>
  <c r="W387" i="5"/>
  <c r="V387" i="5"/>
  <c r="Y387" i="5" s="1"/>
  <c r="U387" i="5"/>
  <c r="X387" i="5" s="1"/>
  <c r="T387" i="5"/>
  <c r="S387" i="5"/>
  <c r="AA387" i="5" s="1"/>
  <c r="R387" i="5"/>
  <c r="Q387" i="5"/>
  <c r="Y386" i="5"/>
  <c r="X386" i="5"/>
  <c r="W386" i="5"/>
  <c r="V386" i="5"/>
  <c r="U386" i="5"/>
  <c r="T386" i="5"/>
  <c r="S386" i="5"/>
  <c r="AA386" i="5" s="1"/>
  <c r="R386" i="5"/>
  <c r="Q386" i="5"/>
  <c r="Z385" i="5"/>
  <c r="Y385" i="5"/>
  <c r="W385" i="5"/>
  <c r="V385" i="5"/>
  <c r="U385" i="5"/>
  <c r="X385" i="5" s="1"/>
  <c r="T385" i="5"/>
  <c r="S385" i="5"/>
  <c r="AA385" i="5" s="1"/>
  <c r="R385" i="5"/>
  <c r="Q385" i="5"/>
  <c r="X384" i="5"/>
  <c r="W384" i="5"/>
  <c r="Z384" i="5" s="1"/>
  <c r="V384" i="5"/>
  <c r="Y384" i="5" s="1"/>
  <c r="U384" i="5"/>
  <c r="T384" i="5"/>
  <c r="S384" i="5"/>
  <c r="AA384" i="5" s="1"/>
  <c r="R384" i="5"/>
  <c r="Q384" i="5"/>
  <c r="Z383" i="5"/>
  <c r="Y383" i="5"/>
  <c r="X383" i="5"/>
  <c r="W383" i="5"/>
  <c r="V383" i="5"/>
  <c r="U383" i="5"/>
  <c r="T383" i="5"/>
  <c r="S383" i="5"/>
  <c r="AA383" i="5" s="1"/>
  <c r="R383" i="5"/>
  <c r="Q383" i="5"/>
  <c r="Z382" i="5"/>
  <c r="W382" i="5"/>
  <c r="V382" i="5"/>
  <c r="Y382" i="5" s="1"/>
  <c r="U382" i="5"/>
  <c r="X382" i="5" s="1"/>
  <c r="T382" i="5"/>
  <c r="S382" i="5"/>
  <c r="AA382" i="5" s="1"/>
  <c r="R382" i="5"/>
  <c r="Q382" i="5"/>
  <c r="X381" i="5"/>
  <c r="W381" i="5"/>
  <c r="Z381" i="5" s="1"/>
  <c r="V381" i="5"/>
  <c r="U381" i="5"/>
  <c r="T381" i="5"/>
  <c r="S381" i="5"/>
  <c r="AA381" i="5" s="1"/>
  <c r="R381" i="5"/>
  <c r="Q381" i="5"/>
  <c r="Z380" i="5"/>
  <c r="Y380" i="5"/>
  <c r="X380" i="5"/>
  <c r="W380" i="5"/>
  <c r="V380" i="5"/>
  <c r="U380" i="5"/>
  <c r="T380" i="5"/>
  <c r="S380" i="5"/>
  <c r="R380" i="5"/>
  <c r="Q380" i="5"/>
  <c r="W379" i="5"/>
  <c r="V379" i="5"/>
  <c r="Y379" i="5" s="1"/>
  <c r="U379" i="5"/>
  <c r="X379" i="5" s="1"/>
  <c r="T379" i="5"/>
  <c r="S379" i="5"/>
  <c r="AA379" i="5" s="1"/>
  <c r="R379" i="5"/>
  <c r="Q379" i="5"/>
  <c r="Y378" i="5"/>
  <c r="X378" i="5"/>
  <c r="W378" i="5"/>
  <c r="V378" i="5"/>
  <c r="U378" i="5"/>
  <c r="T378" i="5"/>
  <c r="S378" i="5"/>
  <c r="AA378" i="5" s="1"/>
  <c r="R378" i="5"/>
  <c r="Q378" i="5"/>
  <c r="Z377" i="5"/>
  <c r="Y377" i="5"/>
  <c r="W377" i="5"/>
  <c r="V377" i="5"/>
  <c r="U377" i="5"/>
  <c r="X377" i="5" s="1"/>
  <c r="T377" i="5"/>
  <c r="S377" i="5"/>
  <c r="AA377" i="5" s="1"/>
  <c r="R377" i="5"/>
  <c r="Q377" i="5"/>
  <c r="X376" i="5"/>
  <c r="W376" i="5"/>
  <c r="Z376" i="5" s="1"/>
  <c r="V376" i="5"/>
  <c r="Y376" i="5" s="1"/>
  <c r="U376" i="5"/>
  <c r="T376" i="5"/>
  <c r="S376" i="5"/>
  <c r="AA376" i="5" s="1"/>
  <c r="R376" i="5"/>
  <c r="Q376" i="5"/>
  <c r="Z375" i="5"/>
  <c r="Y375" i="5"/>
  <c r="X375" i="5"/>
  <c r="W375" i="5"/>
  <c r="V375" i="5"/>
  <c r="U375" i="5"/>
  <c r="T375" i="5"/>
  <c r="S375" i="5"/>
  <c r="AA375" i="5" s="1"/>
  <c r="R375" i="5"/>
  <c r="Q375" i="5"/>
  <c r="Z374" i="5"/>
  <c r="W374" i="5"/>
  <c r="V374" i="5"/>
  <c r="Y374" i="5" s="1"/>
  <c r="U374" i="5"/>
  <c r="X374" i="5" s="1"/>
  <c r="T374" i="5"/>
  <c r="S374" i="5"/>
  <c r="AA374" i="5" s="1"/>
  <c r="R374" i="5"/>
  <c r="Q374" i="5"/>
  <c r="X373" i="5"/>
  <c r="W373" i="5"/>
  <c r="Z373" i="5" s="1"/>
  <c r="V373" i="5"/>
  <c r="U373" i="5"/>
  <c r="T373" i="5"/>
  <c r="S373" i="5"/>
  <c r="AA373" i="5" s="1"/>
  <c r="R373" i="5"/>
  <c r="Q373" i="5"/>
  <c r="Z372" i="5"/>
  <c r="Y372" i="5"/>
  <c r="X372" i="5"/>
  <c r="W372" i="5"/>
  <c r="V372" i="5"/>
  <c r="U372" i="5"/>
  <c r="T372" i="5"/>
  <c r="S372" i="5"/>
  <c r="R372" i="5"/>
  <c r="Q372" i="5"/>
  <c r="W371" i="5"/>
  <c r="V371" i="5"/>
  <c r="Y371" i="5" s="1"/>
  <c r="U371" i="5"/>
  <c r="X371" i="5" s="1"/>
  <c r="T371" i="5"/>
  <c r="S371" i="5"/>
  <c r="AA371" i="5" s="1"/>
  <c r="R371" i="5"/>
  <c r="Q371" i="5"/>
  <c r="Y370" i="5"/>
  <c r="X370" i="5"/>
  <c r="W370" i="5"/>
  <c r="V370" i="5"/>
  <c r="U370" i="5"/>
  <c r="T370" i="5"/>
  <c r="S370" i="5"/>
  <c r="AA370" i="5" s="1"/>
  <c r="R370" i="5"/>
  <c r="Q370" i="5"/>
  <c r="Z369" i="5"/>
  <c r="Y369" i="5"/>
  <c r="W369" i="5"/>
  <c r="V369" i="5"/>
  <c r="U369" i="5"/>
  <c r="X369" i="5" s="1"/>
  <c r="T369" i="5"/>
  <c r="S369" i="5"/>
  <c r="AA369" i="5" s="1"/>
  <c r="R369" i="5"/>
  <c r="Q369" i="5"/>
  <c r="X368" i="5"/>
  <c r="W368" i="5"/>
  <c r="Z368" i="5" s="1"/>
  <c r="V368" i="5"/>
  <c r="Y368" i="5" s="1"/>
  <c r="U368" i="5"/>
  <c r="T368" i="5"/>
  <c r="S368" i="5"/>
  <c r="AA368" i="5" s="1"/>
  <c r="R368" i="5"/>
  <c r="Q368" i="5"/>
  <c r="Z367" i="5"/>
  <c r="Y367" i="5"/>
  <c r="X367" i="5"/>
  <c r="W367" i="5"/>
  <c r="V367" i="5"/>
  <c r="U367" i="5"/>
  <c r="T367" i="5"/>
  <c r="S367" i="5"/>
  <c r="AA367" i="5" s="1"/>
  <c r="R367" i="5"/>
  <c r="Q367" i="5"/>
  <c r="Z366" i="5"/>
  <c r="W366" i="5"/>
  <c r="V366" i="5"/>
  <c r="Y366" i="5" s="1"/>
  <c r="U366" i="5"/>
  <c r="X366" i="5" s="1"/>
  <c r="T366" i="5"/>
  <c r="S366" i="5"/>
  <c r="AA366" i="5" s="1"/>
  <c r="R366" i="5"/>
  <c r="Q366" i="5"/>
  <c r="X365" i="5"/>
  <c r="W365" i="5"/>
  <c r="Z365" i="5" s="1"/>
  <c r="V365" i="5"/>
  <c r="U365" i="5"/>
  <c r="T365" i="5"/>
  <c r="S365" i="5"/>
  <c r="AA365" i="5" s="1"/>
  <c r="R365" i="5"/>
  <c r="Q365" i="5"/>
  <c r="Z364" i="5"/>
  <c r="Y364" i="5"/>
  <c r="X364" i="5"/>
  <c r="W364" i="5"/>
  <c r="V364" i="5"/>
  <c r="U364" i="5"/>
  <c r="T364" i="5"/>
  <c r="S364" i="5"/>
  <c r="AA364" i="5" s="1"/>
  <c r="R364" i="5"/>
  <c r="Q364" i="5"/>
  <c r="W363" i="5"/>
  <c r="Z363" i="5" s="1"/>
  <c r="V363" i="5"/>
  <c r="Y363" i="5" s="1"/>
  <c r="U363" i="5"/>
  <c r="X363" i="5" s="1"/>
  <c r="T363" i="5"/>
  <c r="S363" i="5"/>
  <c r="AA363" i="5" s="1"/>
  <c r="R363" i="5"/>
  <c r="Q363" i="5"/>
  <c r="Z362" i="5"/>
  <c r="X362" i="5"/>
  <c r="W362" i="5"/>
  <c r="V362" i="5"/>
  <c r="Y362" i="5" s="1"/>
  <c r="U362" i="5"/>
  <c r="T362" i="5"/>
  <c r="S362" i="5"/>
  <c r="AA362" i="5" s="1"/>
  <c r="R362" i="5"/>
  <c r="Q362" i="5"/>
  <c r="Z361" i="5"/>
  <c r="Y361" i="5"/>
  <c r="W361" i="5"/>
  <c r="V361" i="5"/>
  <c r="U361" i="5"/>
  <c r="X361" i="5" s="1"/>
  <c r="T361" i="5"/>
  <c r="AA361" i="5" s="1"/>
  <c r="S361" i="5"/>
  <c r="R361" i="5"/>
  <c r="Q361" i="5"/>
  <c r="W360" i="5"/>
  <c r="Z360" i="5" s="1"/>
  <c r="V360" i="5"/>
  <c r="Y360" i="5" s="1"/>
  <c r="U360" i="5"/>
  <c r="X360" i="5" s="1"/>
  <c r="T360" i="5"/>
  <c r="S360" i="5"/>
  <c r="R360" i="5"/>
  <c r="Q360" i="5"/>
  <c r="X359" i="5"/>
  <c r="W359" i="5"/>
  <c r="Z359" i="5" s="1"/>
  <c r="V359" i="5"/>
  <c r="U359" i="5"/>
  <c r="T359" i="5"/>
  <c r="S359" i="5"/>
  <c r="AA359" i="5" s="1"/>
  <c r="R359" i="5"/>
  <c r="Q359" i="5"/>
  <c r="AA358" i="5"/>
  <c r="Z358" i="5"/>
  <c r="W358" i="5"/>
  <c r="V358" i="5"/>
  <c r="Y358" i="5" s="1"/>
  <c r="U358" i="5"/>
  <c r="X358" i="5" s="1"/>
  <c r="T358" i="5"/>
  <c r="S358" i="5"/>
  <c r="R358" i="5"/>
  <c r="Q358" i="5"/>
  <c r="Y357" i="5"/>
  <c r="W357" i="5"/>
  <c r="Z357" i="5" s="1"/>
  <c r="V357" i="5"/>
  <c r="U357" i="5"/>
  <c r="X357" i="5" s="1"/>
  <c r="T357" i="5"/>
  <c r="S357" i="5"/>
  <c r="AA357" i="5" s="1"/>
  <c r="R357" i="5"/>
  <c r="Q357" i="5"/>
  <c r="Z356" i="5"/>
  <c r="Y356" i="5"/>
  <c r="X356" i="5"/>
  <c r="W356" i="5"/>
  <c r="V356" i="5"/>
  <c r="U356" i="5"/>
  <c r="T356" i="5"/>
  <c r="S356" i="5"/>
  <c r="R356" i="5"/>
  <c r="Q356" i="5"/>
  <c r="W355" i="5"/>
  <c r="Z355" i="5" s="1"/>
  <c r="V355" i="5"/>
  <c r="Y355" i="5" s="1"/>
  <c r="U355" i="5"/>
  <c r="X355" i="5" s="1"/>
  <c r="T355" i="5"/>
  <c r="AA355" i="5" s="1"/>
  <c r="S355" i="5"/>
  <c r="R355" i="5"/>
  <c r="Q355" i="5"/>
  <c r="X354" i="5"/>
  <c r="W354" i="5"/>
  <c r="Z354" i="5" s="1"/>
  <c r="V354" i="5"/>
  <c r="Y354" i="5" s="1"/>
  <c r="U354" i="5"/>
  <c r="T354" i="5"/>
  <c r="S354" i="5"/>
  <c r="AA354" i="5" s="1"/>
  <c r="R354" i="5"/>
  <c r="Q354" i="5"/>
  <c r="AA353" i="5"/>
  <c r="Z353" i="5"/>
  <c r="Y353" i="5"/>
  <c r="W353" i="5"/>
  <c r="V353" i="5"/>
  <c r="U353" i="5"/>
  <c r="X353" i="5" s="1"/>
  <c r="T353" i="5"/>
  <c r="S353" i="5"/>
  <c r="R353" i="5"/>
  <c r="Q353" i="5"/>
  <c r="X352" i="5"/>
  <c r="W352" i="5"/>
  <c r="Z352" i="5" s="1"/>
  <c r="V352" i="5"/>
  <c r="Y352" i="5" s="1"/>
  <c r="U352" i="5"/>
  <c r="T352" i="5"/>
  <c r="S352" i="5"/>
  <c r="R352" i="5"/>
  <c r="Q352" i="5"/>
  <c r="AA351" i="5"/>
  <c r="Y351" i="5"/>
  <c r="X351" i="5"/>
  <c r="W351" i="5"/>
  <c r="Z351" i="5" s="1"/>
  <c r="V351" i="5"/>
  <c r="U351" i="5"/>
  <c r="T351" i="5"/>
  <c r="S351" i="5"/>
  <c r="R351" i="5"/>
  <c r="Q351" i="5"/>
  <c r="Z350" i="5"/>
  <c r="W350" i="5"/>
  <c r="V350" i="5"/>
  <c r="Y350" i="5" s="1"/>
  <c r="U350" i="5"/>
  <c r="X350" i="5" s="1"/>
  <c r="T350" i="5"/>
  <c r="AA350" i="5" s="1"/>
  <c r="S350" i="5"/>
  <c r="R350" i="5"/>
  <c r="Q350" i="5"/>
  <c r="W349" i="5"/>
  <c r="Z349" i="5" s="1"/>
  <c r="V349" i="5"/>
  <c r="Y349" i="5" s="1"/>
  <c r="U349" i="5"/>
  <c r="X349" i="5" s="1"/>
  <c r="T349" i="5"/>
  <c r="S349" i="5"/>
  <c r="AA349" i="5" s="1"/>
  <c r="R349" i="5"/>
  <c r="Q349" i="5"/>
  <c r="Y348" i="5"/>
  <c r="X348" i="5"/>
  <c r="W348" i="5"/>
  <c r="V348" i="5"/>
  <c r="U348" i="5"/>
  <c r="T348" i="5"/>
  <c r="S348" i="5"/>
  <c r="AA348" i="5" s="1"/>
  <c r="R348" i="5"/>
  <c r="Q348" i="5"/>
  <c r="AA347" i="5"/>
  <c r="W347" i="5"/>
  <c r="Z347" i="5" s="1"/>
  <c r="V347" i="5"/>
  <c r="Y347" i="5" s="1"/>
  <c r="U347" i="5"/>
  <c r="X347" i="5" s="1"/>
  <c r="T347" i="5"/>
  <c r="S347" i="5"/>
  <c r="R347" i="5"/>
  <c r="Q347" i="5"/>
  <c r="Z346" i="5"/>
  <c r="X346" i="5"/>
  <c r="W346" i="5"/>
  <c r="V346" i="5"/>
  <c r="Y346" i="5" s="1"/>
  <c r="U346" i="5"/>
  <c r="T346" i="5"/>
  <c r="S346" i="5"/>
  <c r="AA346" i="5" s="1"/>
  <c r="R346" i="5"/>
  <c r="Q346" i="5"/>
  <c r="Z345" i="5"/>
  <c r="Y345" i="5"/>
  <c r="W345" i="5"/>
  <c r="V345" i="5"/>
  <c r="U345" i="5"/>
  <c r="X345" i="5" s="1"/>
  <c r="T345" i="5"/>
  <c r="AA345" i="5" s="1"/>
  <c r="S345" i="5"/>
  <c r="R345" i="5"/>
  <c r="Q345" i="5"/>
  <c r="W344" i="5"/>
  <c r="Z344" i="5" s="1"/>
  <c r="V344" i="5"/>
  <c r="Y344" i="5" s="1"/>
  <c r="U344" i="5"/>
  <c r="X344" i="5" s="1"/>
  <c r="T344" i="5"/>
  <c r="S344" i="5"/>
  <c r="R344" i="5"/>
  <c r="Q344" i="5"/>
  <c r="X343" i="5"/>
  <c r="W343" i="5"/>
  <c r="Z343" i="5" s="1"/>
  <c r="V343" i="5"/>
  <c r="U343" i="5"/>
  <c r="T343" i="5"/>
  <c r="S343" i="5"/>
  <c r="AA343" i="5" s="1"/>
  <c r="R343" i="5"/>
  <c r="Q343" i="5"/>
  <c r="AA342" i="5"/>
  <c r="Z342" i="5"/>
  <c r="W342" i="5"/>
  <c r="V342" i="5"/>
  <c r="Y342" i="5" s="1"/>
  <c r="U342" i="5"/>
  <c r="X342" i="5" s="1"/>
  <c r="T342" i="5"/>
  <c r="S342" i="5"/>
  <c r="R342" i="5"/>
  <c r="Q342" i="5"/>
  <c r="Y341" i="5"/>
  <c r="W341" i="5"/>
  <c r="Z341" i="5" s="1"/>
  <c r="V341" i="5"/>
  <c r="U341" i="5"/>
  <c r="X341" i="5" s="1"/>
  <c r="T341" i="5"/>
  <c r="S341" i="5"/>
  <c r="AA341" i="5" s="1"/>
  <c r="R341" i="5"/>
  <c r="Q341" i="5"/>
  <c r="Z340" i="5"/>
  <c r="Y340" i="5"/>
  <c r="X340" i="5"/>
  <c r="W340" i="5"/>
  <c r="V340" i="5"/>
  <c r="U340" i="5"/>
  <c r="T340" i="5"/>
  <c r="S340" i="5"/>
  <c r="AA340" i="5" s="1"/>
  <c r="R340" i="5"/>
  <c r="Q340" i="5"/>
  <c r="W339" i="5"/>
  <c r="Z339" i="5" s="1"/>
  <c r="V339" i="5"/>
  <c r="Y339" i="5" s="1"/>
  <c r="U339" i="5"/>
  <c r="X339" i="5" s="1"/>
  <c r="T339" i="5"/>
  <c r="AA339" i="5" s="1"/>
  <c r="S339" i="5"/>
  <c r="R339" i="5"/>
  <c r="Q339" i="5"/>
  <c r="X338" i="5"/>
  <c r="W338" i="5"/>
  <c r="Z338" i="5" s="1"/>
  <c r="V338" i="5"/>
  <c r="Y338" i="5" s="1"/>
  <c r="U338" i="5"/>
  <c r="T338" i="5"/>
  <c r="S338" i="5"/>
  <c r="AA338" i="5" s="1"/>
  <c r="R338" i="5"/>
  <c r="Q338" i="5"/>
  <c r="AA337" i="5"/>
  <c r="Z337" i="5"/>
  <c r="Y337" i="5"/>
  <c r="W337" i="5"/>
  <c r="V337" i="5"/>
  <c r="U337" i="5"/>
  <c r="X337" i="5" s="1"/>
  <c r="T337" i="5"/>
  <c r="S337" i="5"/>
  <c r="R337" i="5"/>
  <c r="Q337" i="5"/>
  <c r="X336" i="5"/>
  <c r="W336" i="5"/>
  <c r="Z336" i="5" s="1"/>
  <c r="V336" i="5"/>
  <c r="Y336" i="5" s="1"/>
  <c r="U336" i="5"/>
  <c r="T336" i="5"/>
  <c r="S336" i="5"/>
  <c r="R336" i="5"/>
  <c r="Q336" i="5"/>
  <c r="Y335" i="5"/>
  <c r="X335" i="5"/>
  <c r="W335" i="5"/>
  <c r="Z335" i="5" s="1"/>
  <c r="V335" i="5"/>
  <c r="U335" i="5"/>
  <c r="T335" i="5"/>
  <c r="S335" i="5"/>
  <c r="AA335" i="5" s="1"/>
  <c r="R335" i="5"/>
  <c r="Q335" i="5"/>
  <c r="Z334" i="5"/>
  <c r="W334" i="5"/>
  <c r="V334" i="5"/>
  <c r="Y334" i="5" s="1"/>
  <c r="U334" i="5"/>
  <c r="X334" i="5" s="1"/>
  <c r="T334" i="5"/>
  <c r="S334" i="5"/>
  <c r="AA334" i="5" s="1"/>
  <c r="R334" i="5"/>
  <c r="Q334" i="5"/>
  <c r="W333" i="5"/>
  <c r="Z333" i="5" s="1"/>
  <c r="V333" i="5"/>
  <c r="Y333" i="5" s="1"/>
  <c r="U333" i="5"/>
  <c r="T333" i="5"/>
  <c r="S333" i="5"/>
  <c r="R333" i="5"/>
  <c r="Q333" i="5"/>
  <c r="Z332" i="5"/>
  <c r="Y332" i="5"/>
  <c r="X332" i="5"/>
  <c r="W332" i="5"/>
  <c r="V332" i="5"/>
  <c r="U332" i="5"/>
  <c r="T332" i="5"/>
  <c r="S332" i="5"/>
  <c r="AA332" i="5" s="1"/>
  <c r="R332" i="5"/>
  <c r="Q332" i="5"/>
  <c r="Z331" i="5"/>
  <c r="W331" i="5"/>
  <c r="V331" i="5"/>
  <c r="Y331" i="5" s="1"/>
  <c r="U331" i="5"/>
  <c r="X331" i="5" s="1"/>
  <c r="T331" i="5"/>
  <c r="S331" i="5"/>
  <c r="AA331" i="5" s="1"/>
  <c r="R331" i="5"/>
  <c r="Q331" i="5"/>
  <c r="Z330" i="5"/>
  <c r="W330" i="5"/>
  <c r="V330" i="5"/>
  <c r="U330" i="5"/>
  <c r="X330" i="5" s="1"/>
  <c r="T330" i="5"/>
  <c r="S330" i="5"/>
  <c r="AA330" i="5" s="1"/>
  <c r="R330" i="5"/>
  <c r="Q330" i="5"/>
  <c r="Z329" i="5"/>
  <c r="X329" i="5"/>
  <c r="W329" i="5"/>
  <c r="V329" i="5"/>
  <c r="U329" i="5"/>
  <c r="T329" i="5"/>
  <c r="S329" i="5"/>
  <c r="AA329" i="5" s="1"/>
  <c r="R329" i="5"/>
  <c r="Q329" i="5"/>
  <c r="AA328" i="5"/>
  <c r="X328" i="5"/>
  <c r="W328" i="5"/>
  <c r="Z328" i="5" s="1"/>
  <c r="V328" i="5"/>
  <c r="Y328" i="5" s="1"/>
  <c r="U328" i="5"/>
  <c r="T328" i="5"/>
  <c r="S328" i="5"/>
  <c r="R328" i="5"/>
  <c r="Q328" i="5"/>
  <c r="Y327" i="5"/>
  <c r="X327" i="5"/>
  <c r="W327" i="5"/>
  <c r="Z327" i="5" s="1"/>
  <c r="V327" i="5"/>
  <c r="U327" i="5"/>
  <c r="T327" i="5"/>
  <c r="S327" i="5"/>
  <c r="AA327" i="5" s="1"/>
  <c r="R327" i="5"/>
  <c r="Q327" i="5"/>
  <c r="Z326" i="5"/>
  <c r="W326" i="5"/>
  <c r="V326" i="5"/>
  <c r="Y326" i="5" s="1"/>
  <c r="U326" i="5"/>
  <c r="X326" i="5" s="1"/>
  <c r="T326" i="5"/>
  <c r="S326" i="5"/>
  <c r="AA326" i="5" s="1"/>
  <c r="R326" i="5"/>
  <c r="Q326" i="5"/>
  <c r="W325" i="5"/>
  <c r="Z325" i="5" s="1"/>
  <c r="V325" i="5"/>
  <c r="Y325" i="5" s="1"/>
  <c r="U325" i="5"/>
  <c r="T325" i="5"/>
  <c r="S325" i="5"/>
  <c r="R325" i="5"/>
  <c r="Q325" i="5"/>
  <c r="Z324" i="5"/>
  <c r="Y324" i="5"/>
  <c r="X324" i="5"/>
  <c r="W324" i="5"/>
  <c r="V324" i="5"/>
  <c r="U324" i="5"/>
  <c r="T324" i="5"/>
  <c r="S324" i="5"/>
  <c r="AA324" i="5" s="1"/>
  <c r="R324" i="5"/>
  <c r="Q324" i="5"/>
  <c r="Z323" i="5"/>
  <c r="W323" i="5"/>
  <c r="V323" i="5"/>
  <c r="Y323" i="5" s="1"/>
  <c r="U323" i="5"/>
  <c r="X323" i="5" s="1"/>
  <c r="T323" i="5"/>
  <c r="S323" i="5"/>
  <c r="AA323" i="5" s="1"/>
  <c r="R323" i="5"/>
  <c r="Q323" i="5"/>
  <c r="Z322" i="5"/>
  <c r="W322" i="5"/>
  <c r="V322" i="5"/>
  <c r="U322" i="5"/>
  <c r="X322" i="5" s="1"/>
  <c r="T322" i="5"/>
  <c r="S322" i="5"/>
  <c r="AA322" i="5" s="1"/>
  <c r="R322" i="5"/>
  <c r="Q322" i="5"/>
  <c r="Z321" i="5"/>
  <c r="X321" i="5"/>
  <c r="W321" i="5"/>
  <c r="V321" i="5"/>
  <c r="U321" i="5"/>
  <c r="T321" i="5"/>
  <c r="S321" i="5"/>
  <c r="AA321" i="5" s="1"/>
  <c r="R321" i="5"/>
  <c r="Q321" i="5"/>
  <c r="AA320" i="5"/>
  <c r="X320" i="5"/>
  <c r="W320" i="5"/>
  <c r="Z320" i="5" s="1"/>
  <c r="V320" i="5"/>
  <c r="Y320" i="5" s="1"/>
  <c r="U320" i="5"/>
  <c r="T320" i="5"/>
  <c r="S320" i="5"/>
  <c r="R320" i="5"/>
  <c r="Q320" i="5"/>
  <c r="Z319" i="5"/>
  <c r="Y319" i="5"/>
  <c r="X319" i="5"/>
  <c r="W319" i="5"/>
  <c r="V319" i="5"/>
  <c r="U319" i="5"/>
  <c r="T319" i="5"/>
  <c r="S319" i="5"/>
  <c r="AA319" i="5" s="1"/>
  <c r="R319" i="5"/>
  <c r="Q319" i="5"/>
  <c r="Z318" i="5"/>
  <c r="W318" i="5"/>
  <c r="V318" i="5"/>
  <c r="Y318" i="5" s="1"/>
  <c r="U318" i="5"/>
  <c r="X318" i="5" s="1"/>
  <c r="T318" i="5"/>
  <c r="S318" i="5"/>
  <c r="AA318" i="5" s="1"/>
  <c r="R318" i="5"/>
  <c r="Q318" i="5"/>
  <c r="X317" i="5"/>
  <c r="W317" i="5"/>
  <c r="Z317" i="5" s="1"/>
  <c r="V317" i="5"/>
  <c r="Y317" i="5" s="1"/>
  <c r="U317" i="5"/>
  <c r="T317" i="5"/>
  <c r="S317" i="5"/>
  <c r="R317" i="5"/>
  <c r="Q317" i="5"/>
  <c r="Z316" i="5"/>
  <c r="Y316" i="5"/>
  <c r="X316" i="5"/>
  <c r="W316" i="5"/>
  <c r="V316" i="5"/>
  <c r="U316" i="5"/>
  <c r="T316" i="5"/>
  <c r="S316" i="5"/>
  <c r="AA316" i="5" s="1"/>
  <c r="R316" i="5"/>
  <c r="Q316" i="5"/>
  <c r="Z315" i="5"/>
  <c r="W315" i="5"/>
  <c r="V315" i="5"/>
  <c r="Y315" i="5" s="1"/>
  <c r="U315" i="5"/>
  <c r="X315" i="5" s="1"/>
  <c r="T315" i="5"/>
  <c r="S315" i="5"/>
  <c r="R315" i="5"/>
  <c r="Q315" i="5"/>
  <c r="Z314" i="5"/>
  <c r="W314" i="5"/>
  <c r="V314" i="5"/>
  <c r="Y314" i="5" s="1"/>
  <c r="U314" i="5"/>
  <c r="X314" i="5" s="1"/>
  <c r="T314" i="5"/>
  <c r="S314" i="5"/>
  <c r="AA314" i="5" s="1"/>
  <c r="R314" i="5"/>
  <c r="Q314" i="5"/>
  <c r="Z313" i="5"/>
  <c r="Y313" i="5"/>
  <c r="X313" i="5"/>
  <c r="W313" i="5"/>
  <c r="V313" i="5"/>
  <c r="U313" i="5"/>
  <c r="T313" i="5"/>
  <c r="S313" i="5"/>
  <c r="AA313" i="5" s="1"/>
  <c r="R313" i="5"/>
  <c r="Q313" i="5"/>
  <c r="AA312" i="5"/>
  <c r="X312" i="5"/>
  <c r="W312" i="5"/>
  <c r="Z312" i="5" s="1"/>
  <c r="V312" i="5"/>
  <c r="Y312" i="5" s="1"/>
  <c r="U312" i="5"/>
  <c r="T312" i="5"/>
  <c r="S312" i="5"/>
  <c r="R312" i="5"/>
  <c r="Q312" i="5"/>
  <c r="Z311" i="5"/>
  <c r="Y311" i="5"/>
  <c r="X311" i="5"/>
  <c r="W311" i="5"/>
  <c r="V311" i="5"/>
  <c r="U311" i="5"/>
  <c r="T311" i="5"/>
  <c r="S311" i="5"/>
  <c r="AA311" i="5" s="1"/>
  <c r="R311" i="5"/>
  <c r="Q311" i="5"/>
  <c r="Z310" i="5"/>
  <c r="W310" i="5"/>
  <c r="V310" i="5"/>
  <c r="Y310" i="5" s="1"/>
  <c r="U310" i="5"/>
  <c r="T310" i="5"/>
  <c r="S310" i="5"/>
  <c r="AA310" i="5" s="1"/>
  <c r="R310" i="5"/>
  <c r="Q310" i="5"/>
  <c r="W309" i="5"/>
  <c r="Z309" i="5" s="1"/>
  <c r="V309" i="5"/>
  <c r="Y309" i="5" s="1"/>
  <c r="U309" i="5"/>
  <c r="T309" i="5"/>
  <c r="S309" i="5"/>
  <c r="R309" i="5"/>
  <c r="Q309" i="5"/>
  <c r="Z308" i="5"/>
  <c r="Y308" i="5"/>
  <c r="X308" i="5"/>
  <c r="W308" i="5"/>
  <c r="V308" i="5"/>
  <c r="U308" i="5"/>
  <c r="T308" i="5"/>
  <c r="S308" i="5"/>
  <c r="AA308" i="5" s="1"/>
  <c r="R308" i="5"/>
  <c r="Q308" i="5"/>
  <c r="Z307" i="5"/>
  <c r="W307" i="5"/>
  <c r="V307" i="5"/>
  <c r="Y307" i="5" s="1"/>
  <c r="U307" i="5"/>
  <c r="X307" i="5" s="1"/>
  <c r="T307" i="5"/>
  <c r="S307" i="5"/>
  <c r="AA307" i="5" s="1"/>
  <c r="R307" i="5"/>
  <c r="Q307" i="5"/>
  <c r="Z306" i="5"/>
  <c r="W306" i="5"/>
  <c r="V306" i="5"/>
  <c r="Y306" i="5" s="1"/>
  <c r="U306" i="5"/>
  <c r="X306" i="5" s="1"/>
  <c r="T306" i="5"/>
  <c r="S306" i="5"/>
  <c r="AA306" i="5" s="1"/>
  <c r="R306" i="5"/>
  <c r="Q306" i="5"/>
  <c r="Z305" i="5"/>
  <c r="Y305" i="5"/>
  <c r="X305" i="5"/>
  <c r="W305" i="5"/>
  <c r="V305" i="5"/>
  <c r="U305" i="5"/>
  <c r="T305" i="5"/>
  <c r="S305" i="5"/>
  <c r="AA305" i="5" s="1"/>
  <c r="R305" i="5"/>
  <c r="Q305" i="5"/>
  <c r="AA304" i="5"/>
  <c r="X304" i="5"/>
  <c r="W304" i="5"/>
  <c r="Z304" i="5" s="1"/>
  <c r="V304" i="5"/>
  <c r="Y304" i="5" s="1"/>
  <c r="U304" i="5"/>
  <c r="T304" i="5"/>
  <c r="S304" i="5"/>
  <c r="R304" i="5"/>
  <c r="Q304" i="5"/>
  <c r="Z303" i="5"/>
  <c r="Y303" i="5"/>
  <c r="X303" i="5"/>
  <c r="W303" i="5"/>
  <c r="V303" i="5"/>
  <c r="U303" i="5"/>
  <c r="T303" i="5"/>
  <c r="S303" i="5"/>
  <c r="AA303" i="5" s="1"/>
  <c r="R303" i="5"/>
  <c r="Q303" i="5"/>
  <c r="Z302" i="5"/>
  <c r="W302" i="5"/>
  <c r="V302" i="5"/>
  <c r="Y302" i="5" s="1"/>
  <c r="U302" i="5"/>
  <c r="X302" i="5" s="1"/>
  <c r="T302" i="5"/>
  <c r="S302" i="5"/>
  <c r="AA302" i="5" s="1"/>
  <c r="R302" i="5"/>
  <c r="Q302" i="5"/>
  <c r="X301" i="5"/>
  <c r="W301" i="5"/>
  <c r="Z301" i="5" s="1"/>
  <c r="V301" i="5"/>
  <c r="Y301" i="5" s="1"/>
  <c r="U301" i="5"/>
  <c r="T301" i="5"/>
  <c r="S301" i="5"/>
  <c r="R301" i="5"/>
  <c r="Q301" i="5"/>
  <c r="Z300" i="5"/>
  <c r="X300" i="5"/>
  <c r="W300" i="5"/>
  <c r="V300" i="5"/>
  <c r="U300" i="5"/>
  <c r="T300" i="5"/>
  <c r="S300" i="5"/>
  <c r="AA300" i="5" s="1"/>
  <c r="R300" i="5"/>
  <c r="Q300" i="5"/>
  <c r="Z299" i="5"/>
  <c r="W299" i="5"/>
  <c r="V299" i="5"/>
  <c r="Y299" i="5" s="1"/>
  <c r="U299" i="5"/>
  <c r="X299" i="5" s="1"/>
  <c r="T299" i="5"/>
  <c r="S299" i="5"/>
  <c r="AA299" i="5" s="1"/>
  <c r="R299" i="5"/>
  <c r="Q299" i="5"/>
  <c r="Z298" i="5"/>
  <c r="W298" i="5"/>
  <c r="V298" i="5"/>
  <c r="Y298" i="5" s="1"/>
  <c r="U298" i="5"/>
  <c r="X298" i="5" s="1"/>
  <c r="T298" i="5"/>
  <c r="S298" i="5"/>
  <c r="AA298" i="5" s="1"/>
  <c r="R298" i="5"/>
  <c r="Q298" i="5"/>
  <c r="Y297" i="5"/>
  <c r="X297" i="5"/>
  <c r="W297" i="5"/>
  <c r="Z297" i="5" s="1"/>
  <c r="V297" i="5"/>
  <c r="U297" i="5"/>
  <c r="X296" i="5" s="1"/>
  <c r="T297" i="5"/>
  <c r="S297" i="5"/>
  <c r="AA297" i="5" s="1"/>
  <c r="R297" i="5"/>
  <c r="Q297" i="5"/>
  <c r="Z296" i="5"/>
  <c r="W296" i="5"/>
  <c r="V296" i="5"/>
  <c r="Y296" i="5" s="1"/>
  <c r="U296" i="5"/>
  <c r="T296" i="5"/>
  <c r="S296" i="5"/>
  <c r="AA296" i="5" s="1"/>
  <c r="R296" i="5"/>
  <c r="Q296" i="5"/>
  <c r="Z295" i="5"/>
  <c r="W295" i="5"/>
  <c r="V295" i="5"/>
  <c r="Y295" i="5" s="1"/>
  <c r="U295" i="5"/>
  <c r="X295" i="5" s="1"/>
  <c r="T295" i="5"/>
  <c r="S295" i="5"/>
  <c r="AA295" i="5" s="1"/>
  <c r="R295" i="5"/>
  <c r="Q295" i="5"/>
  <c r="Z294" i="5"/>
  <c r="W294" i="5"/>
  <c r="V294" i="5"/>
  <c r="U294" i="5"/>
  <c r="X293" i="5" s="1"/>
  <c r="T294" i="5"/>
  <c r="S294" i="5"/>
  <c r="AA294" i="5" s="1"/>
  <c r="R294" i="5"/>
  <c r="Q294" i="5"/>
  <c r="AA293" i="5"/>
  <c r="Y293" i="5"/>
  <c r="W293" i="5"/>
  <c r="Z293" i="5" s="1"/>
  <c r="V293" i="5"/>
  <c r="U293" i="5"/>
  <c r="T293" i="5"/>
  <c r="S293" i="5"/>
  <c r="R293" i="5"/>
  <c r="Q293" i="5"/>
  <c r="Z292" i="5"/>
  <c r="W292" i="5"/>
  <c r="V292" i="5"/>
  <c r="U292" i="5"/>
  <c r="X292" i="5" s="1"/>
  <c r="T292" i="5"/>
  <c r="S292" i="5"/>
  <c r="AA292" i="5" s="1"/>
  <c r="R292" i="5"/>
  <c r="Q292" i="5"/>
  <c r="W291" i="5"/>
  <c r="Z291" i="5" s="1"/>
  <c r="V291" i="5"/>
  <c r="U291" i="5"/>
  <c r="T291" i="5"/>
  <c r="S291" i="5"/>
  <c r="AA291" i="5" s="1"/>
  <c r="R291" i="5"/>
  <c r="Q291" i="5"/>
  <c r="Z290" i="5"/>
  <c r="Y290" i="5"/>
  <c r="X290" i="5"/>
  <c r="W290" i="5"/>
  <c r="V290" i="5"/>
  <c r="U290" i="5"/>
  <c r="T290" i="5"/>
  <c r="S290" i="5"/>
  <c r="AA290" i="5" s="1"/>
  <c r="R290" i="5"/>
  <c r="Q290" i="5"/>
  <c r="W289" i="5"/>
  <c r="Z289" i="5" s="1"/>
  <c r="V289" i="5"/>
  <c r="Y289" i="5" s="1"/>
  <c r="U289" i="5"/>
  <c r="X289" i="5" s="1"/>
  <c r="T289" i="5"/>
  <c r="S289" i="5"/>
  <c r="AA289" i="5" s="1"/>
  <c r="R289" i="5"/>
  <c r="Q289" i="5"/>
  <c r="Z288" i="5"/>
  <c r="X288" i="5"/>
  <c r="W288" i="5"/>
  <c r="V288" i="5"/>
  <c r="U288" i="5"/>
  <c r="T288" i="5"/>
  <c r="S288" i="5"/>
  <c r="AA288" i="5" s="1"/>
  <c r="R288" i="5"/>
  <c r="Q288" i="5"/>
  <c r="AA287" i="5"/>
  <c r="Z287" i="5"/>
  <c r="Y287" i="5"/>
  <c r="W287" i="5"/>
  <c r="V287" i="5"/>
  <c r="U287" i="5"/>
  <c r="T287" i="5"/>
  <c r="S287" i="5"/>
  <c r="R287" i="5"/>
  <c r="Q287" i="5"/>
  <c r="W286" i="5"/>
  <c r="Z286" i="5" s="1"/>
  <c r="V286" i="5"/>
  <c r="Y286" i="5" s="1"/>
  <c r="U286" i="5"/>
  <c r="T286" i="5"/>
  <c r="S286" i="5"/>
  <c r="AA286" i="5" s="1"/>
  <c r="R286" i="5"/>
  <c r="Q286" i="5"/>
  <c r="Z285" i="5"/>
  <c r="Y285" i="5"/>
  <c r="X285" i="5"/>
  <c r="W285" i="5"/>
  <c r="V285" i="5"/>
  <c r="U285" i="5"/>
  <c r="T285" i="5"/>
  <c r="S285" i="5"/>
  <c r="AA285" i="5" s="1"/>
  <c r="R285" i="5"/>
  <c r="Q285" i="5"/>
  <c r="Z284" i="5"/>
  <c r="W284" i="5"/>
  <c r="V284" i="5"/>
  <c r="Y284" i="5" s="1"/>
  <c r="U284" i="5"/>
  <c r="X284" i="5" s="1"/>
  <c r="T284" i="5"/>
  <c r="S284" i="5"/>
  <c r="AA284" i="5" s="1"/>
  <c r="R284" i="5"/>
  <c r="Q284" i="5"/>
  <c r="Y283" i="5"/>
  <c r="W283" i="5"/>
  <c r="Z283" i="5" s="1"/>
  <c r="V283" i="5"/>
  <c r="U283" i="5"/>
  <c r="T283" i="5"/>
  <c r="S283" i="5"/>
  <c r="AA283" i="5" s="1"/>
  <c r="R283" i="5"/>
  <c r="Q283" i="5"/>
  <c r="Z282" i="5"/>
  <c r="Y282" i="5"/>
  <c r="X282" i="5"/>
  <c r="W282" i="5"/>
  <c r="V282" i="5"/>
  <c r="U282" i="5"/>
  <c r="T282" i="5"/>
  <c r="S282" i="5"/>
  <c r="AA282" i="5" s="1"/>
  <c r="R282" i="5"/>
  <c r="Q282" i="5"/>
  <c r="W281" i="5"/>
  <c r="Z281" i="5" s="1"/>
  <c r="V281" i="5"/>
  <c r="Y281" i="5" s="1"/>
  <c r="U281" i="5"/>
  <c r="X281" i="5" s="1"/>
  <c r="T281" i="5"/>
  <c r="S281" i="5"/>
  <c r="AA281" i="5" s="1"/>
  <c r="R281" i="5"/>
  <c r="Q281" i="5"/>
  <c r="Z280" i="5"/>
  <c r="W280" i="5"/>
  <c r="V280" i="5"/>
  <c r="U280" i="5"/>
  <c r="T280" i="5"/>
  <c r="S280" i="5"/>
  <c r="AA280" i="5" s="1"/>
  <c r="R280" i="5"/>
  <c r="Q280" i="5"/>
  <c r="AA279" i="5"/>
  <c r="Z279" i="5"/>
  <c r="Y279" i="5"/>
  <c r="W279" i="5"/>
  <c r="V279" i="5"/>
  <c r="U279" i="5"/>
  <c r="X279" i="5" s="1"/>
  <c r="T279" i="5"/>
  <c r="S279" i="5"/>
  <c r="R279" i="5"/>
  <c r="Q279" i="5"/>
  <c r="W278" i="5"/>
  <c r="Z278" i="5" s="1"/>
  <c r="V278" i="5"/>
  <c r="Y278" i="5" s="1"/>
  <c r="U278" i="5"/>
  <c r="T278" i="5"/>
  <c r="S278" i="5"/>
  <c r="AA278" i="5" s="1"/>
  <c r="R278" i="5"/>
  <c r="Q278" i="5"/>
  <c r="Y277" i="5"/>
  <c r="X277" i="5"/>
  <c r="W277" i="5"/>
  <c r="V277" i="5"/>
  <c r="U277" i="5"/>
  <c r="T277" i="5"/>
  <c r="S277" i="5"/>
  <c r="AA277" i="5" s="1"/>
  <c r="R277" i="5"/>
  <c r="Q277" i="5"/>
  <c r="Z276" i="5"/>
  <c r="W276" i="5"/>
  <c r="V276" i="5"/>
  <c r="Y276" i="5" s="1"/>
  <c r="U276" i="5"/>
  <c r="X276" i="5" s="1"/>
  <c r="T276" i="5"/>
  <c r="S276" i="5"/>
  <c r="R276" i="5"/>
  <c r="Q276" i="5"/>
  <c r="Y275" i="5"/>
  <c r="W275" i="5"/>
  <c r="Z275" i="5" s="1"/>
  <c r="V275" i="5"/>
  <c r="U275" i="5"/>
  <c r="T275" i="5"/>
  <c r="S275" i="5"/>
  <c r="AA275" i="5" s="1"/>
  <c r="R275" i="5"/>
  <c r="Q275" i="5"/>
  <c r="Z274" i="5"/>
  <c r="Y274" i="5"/>
  <c r="X274" i="5"/>
  <c r="W274" i="5"/>
  <c r="V274" i="5"/>
  <c r="U274" i="5"/>
  <c r="T274" i="5"/>
  <c r="S274" i="5"/>
  <c r="AA274" i="5" s="1"/>
  <c r="R274" i="5"/>
  <c r="Q274" i="5"/>
  <c r="W273" i="5"/>
  <c r="Z273" i="5" s="1"/>
  <c r="V273" i="5"/>
  <c r="Y273" i="5" s="1"/>
  <c r="U273" i="5"/>
  <c r="T273" i="5"/>
  <c r="S273" i="5"/>
  <c r="AA273" i="5" s="1"/>
  <c r="R273" i="5"/>
  <c r="Q273" i="5"/>
  <c r="Y272" i="5"/>
  <c r="W272" i="5"/>
  <c r="V272" i="5"/>
  <c r="U272" i="5"/>
  <c r="T272" i="5"/>
  <c r="S272" i="5"/>
  <c r="AA272" i="5" s="1"/>
  <c r="R272" i="5"/>
  <c r="Q272" i="5"/>
  <c r="Z271" i="5"/>
  <c r="Y271" i="5"/>
  <c r="W271" i="5"/>
  <c r="V271" i="5"/>
  <c r="U271" i="5"/>
  <c r="X271" i="5" s="1"/>
  <c r="T271" i="5"/>
  <c r="S271" i="5"/>
  <c r="AA271" i="5" s="1"/>
  <c r="R271" i="5"/>
  <c r="Q271" i="5"/>
  <c r="X270" i="5"/>
  <c r="W270" i="5"/>
  <c r="Z270" i="5" s="1"/>
  <c r="V270" i="5"/>
  <c r="Y270" i="5" s="1"/>
  <c r="U270" i="5"/>
  <c r="T270" i="5"/>
  <c r="S270" i="5"/>
  <c r="AA270" i="5" s="1"/>
  <c r="R270" i="5"/>
  <c r="Q270" i="5"/>
  <c r="Z269" i="5"/>
  <c r="Y269" i="5"/>
  <c r="X269" i="5"/>
  <c r="W269" i="5"/>
  <c r="Z268" i="5" s="1"/>
  <c r="V269" i="5"/>
  <c r="U269" i="5"/>
  <c r="T269" i="5"/>
  <c r="S269" i="5"/>
  <c r="AA269" i="5" s="1"/>
  <c r="R269" i="5"/>
  <c r="Q269" i="5"/>
  <c r="W268" i="5"/>
  <c r="V268" i="5"/>
  <c r="Y268" i="5" s="1"/>
  <c r="U268" i="5"/>
  <c r="X268" i="5" s="1"/>
  <c r="T268" i="5"/>
  <c r="S268" i="5"/>
  <c r="R268" i="5"/>
  <c r="Q268" i="5"/>
  <c r="W267" i="5"/>
  <c r="Z267" i="5" s="1"/>
  <c r="V267" i="5"/>
  <c r="U267" i="5"/>
  <c r="X267" i="5" s="1"/>
  <c r="T267" i="5"/>
  <c r="S267" i="5"/>
  <c r="AA267" i="5" s="1"/>
  <c r="R267" i="5"/>
  <c r="Q267" i="5"/>
  <c r="Z266" i="5"/>
  <c r="Y266" i="5"/>
  <c r="W266" i="5"/>
  <c r="V266" i="5"/>
  <c r="U266" i="5"/>
  <c r="T266" i="5"/>
  <c r="S266" i="5"/>
  <c r="AA266" i="5" s="1"/>
  <c r="R266" i="5"/>
  <c r="Q266" i="5"/>
  <c r="AA265" i="5"/>
  <c r="W265" i="5"/>
  <c r="Z265" i="5" s="1"/>
  <c r="V265" i="5"/>
  <c r="Y265" i="5" s="1"/>
  <c r="U265" i="5"/>
  <c r="X265" i="5" s="1"/>
  <c r="T265" i="5"/>
  <c r="S265" i="5"/>
  <c r="R265" i="5"/>
  <c r="Q265" i="5"/>
  <c r="Z264" i="5"/>
  <c r="X264" i="5"/>
  <c r="W264" i="5"/>
  <c r="V264" i="5"/>
  <c r="U264" i="5"/>
  <c r="T264" i="5"/>
  <c r="S264" i="5"/>
  <c r="AA264" i="5" s="1"/>
  <c r="R264" i="5"/>
  <c r="Q264" i="5"/>
  <c r="Z263" i="5"/>
  <c r="Y263" i="5"/>
  <c r="W263" i="5"/>
  <c r="V263" i="5"/>
  <c r="U263" i="5"/>
  <c r="X263" i="5" s="1"/>
  <c r="T263" i="5"/>
  <c r="AA263" i="5" s="1"/>
  <c r="S263" i="5"/>
  <c r="R263" i="5"/>
  <c r="Q263" i="5"/>
  <c r="X262" i="5"/>
  <c r="W262" i="5"/>
  <c r="Z262" i="5" s="1"/>
  <c r="V262" i="5"/>
  <c r="Y262" i="5" s="1"/>
  <c r="U262" i="5"/>
  <c r="T262" i="5"/>
  <c r="S262" i="5"/>
  <c r="R262" i="5"/>
  <c r="Q262" i="5"/>
  <c r="Y261" i="5"/>
  <c r="X261" i="5"/>
  <c r="W261" i="5"/>
  <c r="V261" i="5"/>
  <c r="U261" i="5"/>
  <c r="T261" i="5"/>
  <c r="S261" i="5"/>
  <c r="AA261" i="5" s="1"/>
  <c r="R261" i="5"/>
  <c r="Q261" i="5"/>
  <c r="W260" i="5"/>
  <c r="V260" i="5"/>
  <c r="Y260" i="5" s="1"/>
  <c r="U260" i="5"/>
  <c r="X260" i="5" s="1"/>
  <c r="T260" i="5"/>
  <c r="S260" i="5"/>
  <c r="R260" i="5"/>
  <c r="Q260" i="5"/>
  <c r="X259" i="5"/>
  <c r="W259" i="5"/>
  <c r="Z259" i="5" s="1"/>
  <c r="V259" i="5"/>
  <c r="U259" i="5"/>
  <c r="T259" i="5"/>
  <c r="S259" i="5"/>
  <c r="AA259" i="5" s="1"/>
  <c r="R259" i="5"/>
  <c r="Q259" i="5"/>
  <c r="Z258" i="5"/>
  <c r="Y258" i="5"/>
  <c r="X258" i="5"/>
  <c r="W258" i="5"/>
  <c r="V258" i="5"/>
  <c r="U258" i="5"/>
  <c r="T258" i="5"/>
  <c r="S258" i="5"/>
  <c r="AA258" i="5" s="1"/>
  <c r="R258" i="5"/>
  <c r="Q258" i="5"/>
  <c r="W257" i="5"/>
  <c r="Z257" i="5" s="1"/>
  <c r="V257" i="5"/>
  <c r="Y257" i="5" s="1"/>
  <c r="U257" i="5"/>
  <c r="X257" i="5" s="1"/>
  <c r="T257" i="5"/>
  <c r="S257" i="5"/>
  <c r="AA257" i="5" s="1"/>
  <c r="R257" i="5"/>
  <c r="Q257" i="5"/>
  <c r="Z256" i="5"/>
  <c r="W256" i="5"/>
  <c r="V256" i="5"/>
  <c r="U256" i="5"/>
  <c r="T256" i="5"/>
  <c r="S256" i="5"/>
  <c r="AA256" i="5" s="1"/>
  <c r="R256" i="5"/>
  <c r="Q256" i="5"/>
  <c r="AA255" i="5"/>
  <c r="Z255" i="5"/>
  <c r="Y255" i="5"/>
  <c r="W255" i="5"/>
  <c r="V255" i="5"/>
  <c r="U255" i="5"/>
  <c r="X255" i="5" s="1"/>
  <c r="T255" i="5"/>
  <c r="S255" i="5"/>
  <c r="R255" i="5"/>
  <c r="Q255" i="5"/>
  <c r="W254" i="5"/>
  <c r="Z254" i="5" s="1"/>
  <c r="V254" i="5"/>
  <c r="Y254" i="5" s="1"/>
  <c r="U254" i="5"/>
  <c r="T254" i="5"/>
  <c r="S254" i="5"/>
  <c r="R254" i="5"/>
  <c r="Q254" i="5"/>
  <c r="Y253" i="5"/>
  <c r="X253" i="5"/>
  <c r="W253" i="5"/>
  <c r="V253" i="5"/>
  <c r="U253" i="5"/>
  <c r="T253" i="5"/>
  <c r="S253" i="5"/>
  <c r="AA253" i="5" s="1"/>
  <c r="R253" i="5"/>
  <c r="Q253" i="5"/>
  <c r="Z252" i="5"/>
  <c r="W252" i="5"/>
  <c r="V252" i="5"/>
  <c r="Y252" i="5" s="1"/>
  <c r="U252" i="5"/>
  <c r="X252" i="5" s="1"/>
  <c r="T252" i="5"/>
  <c r="S252" i="5"/>
  <c r="R252" i="5"/>
  <c r="Q252" i="5"/>
  <c r="Y251" i="5"/>
  <c r="W251" i="5"/>
  <c r="Z251" i="5" s="1"/>
  <c r="V251" i="5"/>
  <c r="U251" i="5"/>
  <c r="X251" i="5" s="1"/>
  <c r="T251" i="5"/>
  <c r="S251" i="5"/>
  <c r="AA251" i="5" s="1"/>
  <c r="R251" i="5"/>
  <c r="Q251" i="5"/>
  <c r="Z250" i="5"/>
  <c r="Y250" i="5"/>
  <c r="X250" i="5"/>
  <c r="W250" i="5"/>
  <c r="V250" i="5"/>
  <c r="U250" i="5"/>
  <c r="T250" i="5"/>
  <c r="S250" i="5"/>
  <c r="AA250" i="5" s="1"/>
  <c r="R250" i="5"/>
  <c r="Q250" i="5"/>
  <c r="AA249" i="5"/>
  <c r="W249" i="5"/>
  <c r="Z249" i="5" s="1"/>
  <c r="V249" i="5"/>
  <c r="Y249" i="5" s="1"/>
  <c r="U249" i="5"/>
  <c r="X249" i="5" s="1"/>
  <c r="T249" i="5"/>
  <c r="S249" i="5"/>
  <c r="R249" i="5"/>
  <c r="Q249" i="5"/>
  <c r="Z248" i="5"/>
  <c r="X248" i="5"/>
  <c r="W248" i="5"/>
  <c r="V248" i="5"/>
  <c r="U248" i="5"/>
  <c r="T248" i="5"/>
  <c r="S248" i="5"/>
  <c r="AA248" i="5" s="1"/>
  <c r="R248" i="5"/>
  <c r="Q248" i="5"/>
  <c r="AA247" i="5"/>
  <c r="Z247" i="5"/>
  <c r="Y247" i="5"/>
  <c r="W247" i="5"/>
  <c r="V247" i="5"/>
  <c r="U247" i="5"/>
  <c r="X247" i="5" s="1"/>
  <c r="T247" i="5"/>
  <c r="S247" i="5"/>
  <c r="R247" i="5"/>
  <c r="Q247" i="5"/>
  <c r="X246" i="5"/>
  <c r="W246" i="5"/>
  <c r="Z246" i="5" s="1"/>
  <c r="V246" i="5"/>
  <c r="Y246" i="5" s="1"/>
  <c r="U246" i="5"/>
  <c r="T246" i="5"/>
  <c r="S246" i="5"/>
  <c r="R246" i="5"/>
  <c r="Q246" i="5"/>
  <c r="Y245" i="5"/>
  <c r="X245" i="5"/>
  <c r="W245" i="5"/>
  <c r="Z245" i="5" s="1"/>
  <c r="V245" i="5"/>
  <c r="U245" i="5"/>
  <c r="T245" i="5"/>
  <c r="S245" i="5"/>
  <c r="AA245" i="5" s="1"/>
  <c r="R245" i="5"/>
  <c r="Q245" i="5"/>
  <c r="W244" i="5"/>
  <c r="V244" i="5"/>
  <c r="Y244" i="5" s="1"/>
  <c r="U244" i="5"/>
  <c r="T244" i="5"/>
  <c r="S244" i="5"/>
  <c r="AA244" i="5" s="1"/>
  <c r="R244" i="5"/>
  <c r="Q244" i="5"/>
  <c r="Y243" i="5"/>
  <c r="W243" i="5"/>
  <c r="Z243" i="5" s="1"/>
  <c r="V243" i="5"/>
  <c r="U243" i="5"/>
  <c r="T243" i="5"/>
  <c r="S243" i="5"/>
  <c r="AA243" i="5" s="1"/>
  <c r="R243" i="5"/>
  <c r="Q243" i="5"/>
  <c r="Z242" i="5"/>
  <c r="Y242" i="5"/>
  <c r="X242" i="5"/>
  <c r="W242" i="5"/>
  <c r="V242" i="5"/>
  <c r="U242" i="5"/>
  <c r="T242" i="5"/>
  <c r="S242" i="5"/>
  <c r="AA242" i="5" s="1"/>
  <c r="R242" i="5"/>
  <c r="Q242" i="5"/>
  <c r="W241" i="5"/>
  <c r="Z241" i="5" s="1"/>
  <c r="V241" i="5"/>
  <c r="Y241" i="5" s="1"/>
  <c r="U241" i="5"/>
  <c r="X241" i="5" s="1"/>
  <c r="T241" i="5"/>
  <c r="S241" i="5"/>
  <c r="AA241" i="5" s="1"/>
  <c r="R241" i="5"/>
  <c r="Q241" i="5"/>
  <c r="Y240" i="5"/>
  <c r="X240" i="5"/>
  <c r="W240" i="5"/>
  <c r="V240" i="5"/>
  <c r="U240" i="5"/>
  <c r="T240" i="5"/>
  <c r="S240" i="5"/>
  <c r="AA240" i="5" s="1"/>
  <c r="R240" i="5"/>
  <c r="Q240" i="5"/>
  <c r="Z239" i="5"/>
  <c r="Y239" i="5"/>
  <c r="W239" i="5"/>
  <c r="V239" i="5"/>
  <c r="U239" i="5"/>
  <c r="T239" i="5"/>
  <c r="S239" i="5"/>
  <c r="AA239" i="5" s="1"/>
  <c r="R239" i="5"/>
  <c r="Q239" i="5"/>
  <c r="W238" i="5"/>
  <c r="Z238" i="5" s="1"/>
  <c r="V238" i="5"/>
  <c r="Y238" i="5" s="1"/>
  <c r="U238" i="5"/>
  <c r="T238" i="5"/>
  <c r="S238" i="5"/>
  <c r="AA238" i="5" s="1"/>
  <c r="R238" i="5"/>
  <c r="Q238" i="5"/>
  <c r="Z237" i="5"/>
  <c r="Y237" i="5"/>
  <c r="X237" i="5"/>
  <c r="W237" i="5"/>
  <c r="V237" i="5"/>
  <c r="U237" i="5"/>
  <c r="T237" i="5"/>
  <c r="S237" i="5"/>
  <c r="AA237" i="5" s="1"/>
  <c r="R237" i="5"/>
  <c r="Q237" i="5"/>
  <c r="AA236" i="5"/>
  <c r="Z236" i="5"/>
  <c r="W236" i="5"/>
  <c r="V236" i="5"/>
  <c r="Y236" i="5" s="1"/>
  <c r="U236" i="5"/>
  <c r="X236" i="5" s="1"/>
  <c r="T236" i="5"/>
  <c r="S236" i="5"/>
  <c r="R236" i="5"/>
  <c r="Q236" i="5"/>
  <c r="Y235" i="5"/>
  <c r="X235" i="5"/>
  <c r="W235" i="5"/>
  <c r="Z235" i="5" s="1"/>
  <c r="V235" i="5"/>
  <c r="U235" i="5"/>
  <c r="T235" i="5"/>
  <c r="S235" i="5"/>
  <c r="AA235" i="5" s="1"/>
  <c r="R235" i="5"/>
  <c r="Q235" i="5"/>
  <c r="Z234" i="5"/>
  <c r="Y234" i="5"/>
  <c r="X234" i="5"/>
  <c r="W234" i="5"/>
  <c r="V234" i="5"/>
  <c r="U234" i="5"/>
  <c r="T234" i="5"/>
  <c r="S234" i="5"/>
  <c r="AA234" i="5" s="1"/>
  <c r="R234" i="5"/>
  <c r="Q234" i="5"/>
  <c r="W233" i="5"/>
  <c r="Z233" i="5" s="1"/>
  <c r="V233" i="5"/>
  <c r="Y233" i="5" s="1"/>
  <c r="U233" i="5"/>
  <c r="T233" i="5"/>
  <c r="S233" i="5"/>
  <c r="AA233" i="5" s="1"/>
  <c r="R233" i="5"/>
  <c r="Q233" i="5"/>
  <c r="Y232" i="5"/>
  <c r="W232" i="5"/>
  <c r="Z232" i="5" s="1"/>
  <c r="V232" i="5"/>
  <c r="U232" i="5"/>
  <c r="T232" i="5"/>
  <c r="S232" i="5"/>
  <c r="AA232" i="5" s="1"/>
  <c r="R232" i="5"/>
  <c r="Q232" i="5"/>
  <c r="Z231" i="5"/>
  <c r="Y231" i="5"/>
  <c r="W231" i="5"/>
  <c r="V231" i="5"/>
  <c r="U231" i="5"/>
  <c r="X231" i="5" s="1"/>
  <c r="T231" i="5"/>
  <c r="S231" i="5"/>
  <c r="AA231" i="5" s="1"/>
  <c r="R231" i="5"/>
  <c r="Q231" i="5"/>
  <c r="X230" i="5"/>
  <c r="W230" i="5"/>
  <c r="Z230" i="5" s="1"/>
  <c r="V230" i="5"/>
  <c r="Y230" i="5" s="1"/>
  <c r="U230" i="5"/>
  <c r="T230" i="5"/>
  <c r="S230" i="5"/>
  <c r="AA230" i="5" s="1"/>
  <c r="R230" i="5"/>
  <c r="Q230" i="5"/>
  <c r="Z229" i="5"/>
  <c r="Y229" i="5"/>
  <c r="X229" i="5"/>
  <c r="W229" i="5"/>
  <c r="V229" i="5"/>
  <c r="U229" i="5"/>
  <c r="T229" i="5"/>
  <c r="S229" i="5"/>
  <c r="AA229" i="5" s="1"/>
  <c r="R229" i="5"/>
  <c r="Q229" i="5"/>
  <c r="Z228" i="5"/>
  <c r="W228" i="5"/>
  <c r="V228" i="5"/>
  <c r="Y228" i="5" s="1"/>
  <c r="U228" i="5"/>
  <c r="T228" i="5"/>
  <c r="S228" i="5"/>
  <c r="AA228" i="5" s="1"/>
  <c r="R228" i="5"/>
  <c r="Q228" i="5"/>
  <c r="W227" i="5"/>
  <c r="Z227" i="5" s="1"/>
  <c r="V227" i="5"/>
  <c r="Y227" i="5" s="1"/>
  <c r="U227" i="5"/>
  <c r="T227" i="5"/>
  <c r="S227" i="5"/>
  <c r="AA227" i="5" s="1"/>
  <c r="R227" i="5"/>
  <c r="Q227" i="5"/>
  <c r="Z226" i="5"/>
  <c r="X226" i="5"/>
  <c r="W226" i="5"/>
  <c r="V226" i="5"/>
  <c r="U226" i="5"/>
  <c r="T226" i="5"/>
  <c r="S226" i="5"/>
  <c r="AA226" i="5" s="1"/>
  <c r="R226" i="5"/>
  <c r="Q226" i="5"/>
  <c r="W225" i="5"/>
  <c r="Z225" i="5" s="1"/>
  <c r="V225" i="5"/>
  <c r="Y225" i="5" s="1"/>
  <c r="U225" i="5"/>
  <c r="X225" i="5" s="1"/>
  <c r="T225" i="5"/>
  <c r="S225" i="5"/>
  <c r="AA225" i="5" s="1"/>
  <c r="R225" i="5"/>
  <c r="Q225" i="5"/>
  <c r="Y224" i="5"/>
  <c r="X224" i="5"/>
  <c r="W224" i="5"/>
  <c r="V224" i="5"/>
  <c r="U224" i="5"/>
  <c r="T224" i="5"/>
  <c r="S224" i="5"/>
  <c r="AA224" i="5" s="1"/>
  <c r="R224" i="5"/>
  <c r="Q224" i="5"/>
  <c r="Z223" i="5"/>
  <c r="Y223" i="5"/>
  <c r="W223" i="5"/>
  <c r="V223" i="5"/>
  <c r="U223" i="5"/>
  <c r="X223" i="5" s="1"/>
  <c r="T223" i="5"/>
  <c r="S223" i="5"/>
  <c r="AA223" i="5" s="1"/>
  <c r="R223" i="5"/>
  <c r="Q223" i="5"/>
  <c r="W222" i="5"/>
  <c r="Z222" i="5" s="1"/>
  <c r="V222" i="5"/>
  <c r="Y222" i="5" s="1"/>
  <c r="U222" i="5"/>
  <c r="T222" i="5"/>
  <c r="S222" i="5"/>
  <c r="AA222" i="5" s="1"/>
  <c r="R222" i="5"/>
  <c r="Q222" i="5"/>
  <c r="Z221" i="5"/>
  <c r="Y221" i="5"/>
  <c r="W221" i="5"/>
  <c r="V221" i="5"/>
  <c r="U221" i="5"/>
  <c r="T221" i="5"/>
  <c r="S221" i="5"/>
  <c r="AA221" i="5" s="1"/>
  <c r="R221" i="5"/>
  <c r="Q221" i="5"/>
  <c r="AA220" i="5"/>
  <c r="Z220" i="5"/>
  <c r="W220" i="5"/>
  <c r="V220" i="5"/>
  <c r="Y220" i="5" s="1"/>
  <c r="U220" i="5"/>
  <c r="X220" i="5" s="1"/>
  <c r="T220" i="5"/>
  <c r="S220" i="5"/>
  <c r="R220" i="5"/>
  <c r="Q220" i="5"/>
  <c r="Y219" i="5"/>
  <c r="X219" i="5"/>
  <c r="W219" i="5"/>
  <c r="Z219" i="5" s="1"/>
  <c r="V219" i="5"/>
  <c r="U219" i="5"/>
  <c r="T219" i="5"/>
  <c r="S219" i="5"/>
  <c r="AA219" i="5" s="1"/>
  <c r="R219" i="5"/>
  <c r="Q219" i="5"/>
  <c r="Z218" i="5"/>
  <c r="Y218" i="5"/>
  <c r="X218" i="5"/>
  <c r="W218" i="5"/>
  <c r="V218" i="5"/>
  <c r="U218" i="5"/>
  <c r="T218" i="5"/>
  <c r="S218" i="5"/>
  <c r="AA218" i="5" s="1"/>
  <c r="R218" i="5"/>
  <c r="Q218" i="5"/>
  <c r="W217" i="5"/>
  <c r="Z217" i="5" s="1"/>
  <c r="V217" i="5"/>
  <c r="Y217" i="5" s="1"/>
  <c r="U217" i="5"/>
  <c r="T217" i="5"/>
  <c r="S217" i="5"/>
  <c r="AA217" i="5" s="1"/>
  <c r="R217" i="5"/>
  <c r="Q217" i="5"/>
  <c r="Y216" i="5"/>
  <c r="W216" i="5"/>
  <c r="Z216" i="5" s="1"/>
  <c r="V216" i="5"/>
  <c r="U216" i="5"/>
  <c r="T216" i="5"/>
  <c r="S216" i="5"/>
  <c r="AA216" i="5" s="1"/>
  <c r="R216" i="5"/>
  <c r="Q216" i="5"/>
  <c r="Y215" i="5"/>
  <c r="W215" i="5"/>
  <c r="V215" i="5"/>
  <c r="U215" i="5"/>
  <c r="X215" i="5" s="1"/>
  <c r="T215" i="5"/>
  <c r="S215" i="5"/>
  <c r="AA215" i="5" s="1"/>
  <c r="R215" i="5"/>
  <c r="Q215" i="5"/>
  <c r="X214" i="5"/>
  <c r="W214" i="5"/>
  <c r="Z214" i="5" s="1"/>
  <c r="V214" i="5"/>
  <c r="Y214" i="5" s="1"/>
  <c r="U214" i="5"/>
  <c r="T214" i="5"/>
  <c r="S214" i="5"/>
  <c r="AA214" i="5" s="1"/>
  <c r="R214" i="5"/>
  <c r="Q214" i="5"/>
  <c r="Z213" i="5"/>
  <c r="Y213" i="5"/>
  <c r="X213" i="5"/>
  <c r="W213" i="5"/>
  <c r="V213" i="5"/>
  <c r="U213" i="5"/>
  <c r="T213" i="5"/>
  <c r="S213" i="5"/>
  <c r="AA213" i="5" s="1"/>
  <c r="R213" i="5"/>
  <c r="Q213" i="5"/>
  <c r="Z212" i="5"/>
  <c r="W212" i="5"/>
  <c r="V212" i="5"/>
  <c r="Y212" i="5" s="1"/>
  <c r="U212" i="5"/>
  <c r="T212" i="5"/>
  <c r="S212" i="5"/>
  <c r="AA212" i="5" s="1"/>
  <c r="R212" i="5"/>
  <c r="Q212" i="5"/>
  <c r="W211" i="5"/>
  <c r="Z211" i="5" s="1"/>
  <c r="V211" i="5"/>
  <c r="Y211" i="5" s="1"/>
  <c r="U211" i="5"/>
  <c r="T211" i="5"/>
  <c r="S211" i="5"/>
  <c r="AA211" i="5" s="1"/>
  <c r="R211" i="5"/>
  <c r="Q211" i="5"/>
  <c r="Z210" i="5"/>
  <c r="X210" i="5"/>
  <c r="W210" i="5"/>
  <c r="V210" i="5"/>
  <c r="U210" i="5"/>
  <c r="T210" i="5"/>
  <c r="S210" i="5"/>
  <c r="AA210" i="5" s="1"/>
  <c r="R210" i="5"/>
  <c r="Q210" i="5"/>
  <c r="W209" i="5"/>
  <c r="Z209" i="5" s="1"/>
  <c r="V209" i="5"/>
  <c r="Y209" i="5" s="1"/>
  <c r="U209" i="5"/>
  <c r="X209" i="5" s="1"/>
  <c r="T209" i="5"/>
  <c r="S209" i="5"/>
  <c r="AA209" i="5" s="1"/>
  <c r="R209" i="5"/>
  <c r="Q209" i="5"/>
  <c r="Y208" i="5"/>
  <c r="X208" i="5"/>
  <c r="W208" i="5"/>
  <c r="V208" i="5"/>
  <c r="U208" i="5"/>
  <c r="T208" i="5"/>
  <c r="S208" i="5"/>
  <c r="AA208" i="5" s="1"/>
  <c r="R208" i="5"/>
  <c r="Q208" i="5"/>
  <c r="Z207" i="5"/>
  <c r="Y207" i="5"/>
  <c r="W207" i="5"/>
  <c r="V207" i="5"/>
  <c r="U207" i="5"/>
  <c r="X207" i="5" s="1"/>
  <c r="T207" i="5"/>
  <c r="S207" i="5"/>
  <c r="AA207" i="5" s="1"/>
  <c r="R207" i="5"/>
  <c r="Q207" i="5"/>
  <c r="W206" i="5"/>
  <c r="Z206" i="5" s="1"/>
  <c r="V206" i="5"/>
  <c r="Y206" i="5" s="1"/>
  <c r="U206" i="5"/>
  <c r="X206" i="5" s="1"/>
  <c r="T206" i="5"/>
  <c r="S206" i="5"/>
  <c r="AA206" i="5" s="1"/>
  <c r="R206" i="5"/>
  <c r="Q206" i="5"/>
  <c r="Z205" i="5"/>
  <c r="Y205" i="5"/>
  <c r="W205" i="5"/>
  <c r="V205" i="5"/>
  <c r="U205" i="5"/>
  <c r="T205" i="5"/>
  <c r="S205" i="5"/>
  <c r="AA205" i="5" s="1"/>
  <c r="R205" i="5"/>
  <c r="Q205" i="5"/>
  <c r="AA204" i="5"/>
  <c r="Z204" i="5"/>
  <c r="W204" i="5"/>
  <c r="V204" i="5"/>
  <c r="Y204" i="5" s="1"/>
  <c r="U204" i="5"/>
  <c r="X204" i="5" s="1"/>
  <c r="T204" i="5"/>
  <c r="S204" i="5"/>
  <c r="R204" i="5"/>
  <c r="Q204" i="5"/>
  <c r="Y203" i="5"/>
  <c r="X203" i="5"/>
  <c r="W203" i="5"/>
  <c r="Z203" i="5" s="1"/>
  <c r="V203" i="5"/>
  <c r="U203" i="5"/>
  <c r="T203" i="5"/>
  <c r="S203" i="5"/>
  <c r="AA203" i="5" s="1"/>
  <c r="R203" i="5"/>
  <c r="Q203" i="5"/>
  <c r="Z202" i="5"/>
  <c r="Y202" i="5"/>
  <c r="X202" i="5"/>
  <c r="W202" i="5"/>
  <c r="V202" i="5"/>
  <c r="U202" i="5"/>
  <c r="T202" i="5"/>
  <c r="S202" i="5"/>
  <c r="AA202" i="5" s="1"/>
  <c r="R202" i="5"/>
  <c r="Q202" i="5"/>
  <c r="W201" i="5"/>
  <c r="Z201" i="5" s="1"/>
  <c r="V201" i="5"/>
  <c r="Y201" i="5" s="1"/>
  <c r="U201" i="5"/>
  <c r="X201" i="5" s="1"/>
  <c r="T201" i="5"/>
  <c r="AA201" i="5" s="1"/>
  <c r="S201" i="5"/>
  <c r="R201" i="5"/>
  <c r="Q201" i="5"/>
  <c r="Z200" i="5"/>
  <c r="X200" i="5"/>
  <c r="W200" i="5"/>
  <c r="V200" i="5"/>
  <c r="Y200" i="5" s="1"/>
  <c r="U200" i="5"/>
  <c r="T200" i="5"/>
  <c r="S200" i="5"/>
  <c r="AA200" i="5" s="1"/>
  <c r="R200" i="5"/>
  <c r="Q200" i="5"/>
  <c r="AA199" i="5"/>
  <c r="Z199" i="5"/>
  <c r="Y199" i="5"/>
  <c r="W199" i="5"/>
  <c r="V199" i="5"/>
  <c r="U199" i="5"/>
  <c r="X199" i="5" s="1"/>
  <c r="T199" i="5"/>
  <c r="S199" i="5"/>
  <c r="R199" i="5"/>
  <c r="Q199" i="5"/>
  <c r="Z198" i="5"/>
  <c r="W198" i="5"/>
  <c r="V198" i="5"/>
  <c r="Y198" i="5" s="1"/>
  <c r="U198" i="5"/>
  <c r="X198" i="5" s="1"/>
  <c r="T198" i="5"/>
  <c r="S198" i="5"/>
  <c r="AA198" i="5" s="1"/>
  <c r="R198" i="5"/>
  <c r="Q198" i="5"/>
  <c r="Z197" i="5"/>
  <c r="Y197" i="5"/>
  <c r="X197" i="5"/>
  <c r="W197" i="5"/>
  <c r="V197" i="5"/>
  <c r="U197" i="5"/>
  <c r="T197" i="5"/>
  <c r="S197" i="5"/>
  <c r="AA197" i="5" s="1"/>
  <c r="R197" i="5"/>
  <c r="Q197" i="5"/>
  <c r="AA196" i="5"/>
  <c r="Z196" i="5"/>
  <c r="X196" i="5"/>
  <c r="W196" i="5"/>
  <c r="V196" i="5"/>
  <c r="Y196" i="5" s="1"/>
  <c r="U196" i="5"/>
  <c r="T196" i="5"/>
  <c r="S196" i="5"/>
  <c r="R196" i="5"/>
  <c r="Q196" i="5"/>
  <c r="AA195" i="5"/>
  <c r="X195" i="5"/>
  <c r="W195" i="5"/>
  <c r="Z195" i="5" s="1"/>
  <c r="V195" i="5"/>
  <c r="U195" i="5"/>
  <c r="T195" i="5"/>
  <c r="S195" i="5"/>
  <c r="R195" i="5"/>
  <c r="Q195" i="5"/>
  <c r="Z194" i="5"/>
  <c r="Y194" i="5"/>
  <c r="X194" i="5"/>
  <c r="W194" i="5"/>
  <c r="V194" i="5"/>
  <c r="U194" i="5"/>
  <c r="T194" i="5"/>
  <c r="S194" i="5"/>
  <c r="AA194" i="5" s="1"/>
  <c r="R194" i="5"/>
  <c r="Q194" i="5"/>
  <c r="W193" i="5"/>
  <c r="Z193" i="5" s="1"/>
  <c r="V193" i="5"/>
  <c r="Y193" i="5" s="1"/>
  <c r="U193" i="5"/>
  <c r="X193" i="5" s="1"/>
  <c r="T193" i="5"/>
  <c r="AA193" i="5" s="1"/>
  <c r="S193" i="5"/>
  <c r="R193" i="5"/>
  <c r="Q193" i="5"/>
  <c r="X192" i="5"/>
  <c r="W192" i="5"/>
  <c r="Z192" i="5" s="1"/>
  <c r="V192" i="5"/>
  <c r="U192" i="5"/>
  <c r="T192" i="5"/>
  <c r="S192" i="5"/>
  <c r="AA192" i="5" s="1"/>
  <c r="R192" i="5"/>
  <c r="Q192" i="5"/>
  <c r="Z191" i="5"/>
  <c r="W191" i="5"/>
  <c r="V191" i="5"/>
  <c r="Y191" i="5" s="1"/>
  <c r="U191" i="5"/>
  <c r="X191" i="5" s="1"/>
  <c r="T191" i="5"/>
  <c r="S191" i="5"/>
  <c r="AA191" i="5" s="1"/>
  <c r="R191" i="5"/>
  <c r="Q191" i="5"/>
  <c r="W190" i="5"/>
  <c r="Z190" i="5" s="1"/>
  <c r="V190" i="5"/>
  <c r="Y190" i="5" s="1"/>
  <c r="U190" i="5"/>
  <c r="X190" i="5" s="1"/>
  <c r="T190" i="5"/>
  <c r="S190" i="5"/>
  <c r="AA190" i="5" s="1"/>
  <c r="R190" i="5"/>
  <c r="Q190" i="5"/>
  <c r="Z189" i="5"/>
  <c r="Y189" i="5"/>
  <c r="X189" i="5"/>
  <c r="W189" i="5"/>
  <c r="V189" i="5"/>
  <c r="U189" i="5"/>
  <c r="T189" i="5"/>
  <c r="S189" i="5"/>
  <c r="AA189" i="5" s="1"/>
  <c r="R189" i="5"/>
  <c r="Q189" i="5"/>
  <c r="AA188" i="5"/>
  <c r="Z188" i="5"/>
  <c r="X188" i="5"/>
  <c r="W188" i="5"/>
  <c r="V188" i="5"/>
  <c r="Y188" i="5" s="1"/>
  <c r="U188" i="5"/>
  <c r="T188" i="5"/>
  <c r="S188" i="5"/>
  <c r="R188" i="5"/>
  <c r="Q188" i="5"/>
  <c r="W187" i="5"/>
  <c r="Z187" i="5" s="1"/>
  <c r="V187" i="5"/>
  <c r="Y187" i="5" s="1"/>
  <c r="U187" i="5"/>
  <c r="X187" i="5" s="1"/>
  <c r="T187" i="5"/>
  <c r="S187" i="5"/>
  <c r="AA187" i="5" s="1"/>
  <c r="R187" i="5"/>
  <c r="Q187" i="5"/>
  <c r="Z186" i="5"/>
  <c r="X186" i="5"/>
  <c r="W186" i="5"/>
  <c r="V186" i="5"/>
  <c r="Y185" i="5" s="1"/>
  <c r="U186" i="5"/>
  <c r="T186" i="5"/>
  <c r="S186" i="5"/>
  <c r="AA186" i="5" s="1"/>
  <c r="R186" i="5"/>
  <c r="Q186" i="5"/>
  <c r="AA185" i="5"/>
  <c r="X185" i="5"/>
  <c r="W185" i="5"/>
  <c r="Z185" i="5" s="1"/>
  <c r="V185" i="5"/>
  <c r="U185" i="5"/>
  <c r="T185" i="5"/>
  <c r="S185" i="5"/>
  <c r="R185" i="5"/>
  <c r="Q185" i="5"/>
  <c r="X184" i="5"/>
  <c r="W184" i="5"/>
  <c r="Z184" i="5" s="1"/>
  <c r="V184" i="5"/>
  <c r="Y184" i="5" s="1"/>
  <c r="U184" i="5"/>
  <c r="T184" i="5"/>
  <c r="S184" i="5"/>
  <c r="AA184" i="5" s="1"/>
  <c r="R184" i="5"/>
  <c r="Q184" i="5"/>
  <c r="AA183" i="5"/>
  <c r="W183" i="5"/>
  <c r="Z183" i="5" s="1"/>
  <c r="V183" i="5"/>
  <c r="Y183" i="5" s="1"/>
  <c r="U183" i="5"/>
  <c r="X183" i="5" s="1"/>
  <c r="T183" i="5"/>
  <c r="S183" i="5"/>
  <c r="R183" i="5"/>
  <c r="Q183" i="5"/>
  <c r="Y182" i="5"/>
  <c r="W182" i="5"/>
  <c r="Z182" i="5" s="1"/>
  <c r="V182" i="5"/>
  <c r="U182" i="5"/>
  <c r="T182" i="5"/>
  <c r="S182" i="5"/>
  <c r="AA182" i="5" s="1"/>
  <c r="R182" i="5"/>
  <c r="Q182" i="5"/>
  <c r="Z181" i="5"/>
  <c r="Y181" i="5"/>
  <c r="X181" i="5"/>
  <c r="W181" i="5"/>
  <c r="V181" i="5"/>
  <c r="U181" i="5"/>
  <c r="T181" i="5"/>
  <c r="S181" i="5"/>
  <c r="AA181" i="5" s="1"/>
  <c r="R181" i="5"/>
  <c r="Q181" i="5"/>
  <c r="Z180" i="5"/>
  <c r="X180" i="5"/>
  <c r="W180" i="5"/>
  <c r="V180" i="5"/>
  <c r="Y180" i="5" s="1"/>
  <c r="U180" i="5"/>
  <c r="T180" i="5"/>
  <c r="S180" i="5"/>
  <c r="AA180" i="5" s="1"/>
  <c r="R180" i="5"/>
  <c r="Q180" i="5"/>
  <c r="X179" i="5"/>
  <c r="W179" i="5"/>
  <c r="Z179" i="5" s="1"/>
  <c r="V179" i="5"/>
  <c r="U179" i="5"/>
  <c r="T179" i="5"/>
  <c r="S179" i="5"/>
  <c r="AA179" i="5" s="1"/>
  <c r="R179" i="5"/>
  <c r="Q179" i="5"/>
  <c r="Z178" i="5"/>
  <c r="X178" i="5"/>
  <c r="W178" i="5"/>
  <c r="V178" i="5"/>
  <c r="Y178" i="5" s="1"/>
  <c r="U178" i="5"/>
  <c r="T178" i="5"/>
  <c r="S178" i="5"/>
  <c r="R178" i="5"/>
  <c r="Q178" i="5"/>
  <c r="X177" i="5"/>
  <c r="W177" i="5"/>
  <c r="Z177" i="5" s="1"/>
  <c r="V177" i="5"/>
  <c r="Y177" i="5" s="1"/>
  <c r="U177" i="5"/>
  <c r="T177" i="5"/>
  <c r="S177" i="5"/>
  <c r="AA177" i="5" s="1"/>
  <c r="R177" i="5"/>
  <c r="Q177" i="5"/>
  <c r="X176" i="5"/>
  <c r="W176" i="5"/>
  <c r="Z176" i="5" s="1"/>
  <c r="V176" i="5"/>
  <c r="U176" i="5"/>
  <c r="T176" i="5"/>
  <c r="S176" i="5"/>
  <c r="AA176" i="5" s="1"/>
  <c r="R176" i="5"/>
  <c r="Q176" i="5"/>
  <c r="Z175" i="5"/>
  <c r="W175" i="5"/>
  <c r="V175" i="5"/>
  <c r="Y175" i="5" s="1"/>
  <c r="U175" i="5"/>
  <c r="X175" i="5" s="1"/>
  <c r="T175" i="5"/>
  <c r="S175" i="5"/>
  <c r="AA175" i="5" s="1"/>
  <c r="R175" i="5"/>
  <c r="Q175" i="5"/>
  <c r="X174" i="5"/>
  <c r="W174" i="5"/>
  <c r="Z174" i="5" s="1"/>
  <c r="V174" i="5"/>
  <c r="Y174" i="5" s="1"/>
  <c r="U174" i="5"/>
  <c r="T174" i="5"/>
  <c r="S174" i="5"/>
  <c r="AA174" i="5" s="1"/>
  <c r="R174" i="5"/>
  <c r="Q174" i="5"/>
  <c r="X173" i="5"/>
  <c r="W173" i="5"/>
  <c r="Z173" i="5" s="1"/>
  <c r="V173" i="5"/>
  <c r="U173" i="5"/>
  <c r="T173" i="5"/>
  <c r="S173" i="5"/>
  <c r="AA173" i="5" s="1"/>
  <c r="R173" i="5"/>
  <c r="Q173" i="5"/>
  <c r="Z172" i="5"/>
  <c r="W172" i="5"/>
  <c r="V172" i="5"/>
  <c r="Y172" i="5" s="1"/>
  <c r="U172" i="5"/>
  <c r="X172" i="5" s="1"/>
  <c r="T172" i="5"/>
  <c r="S172" i="5"/>
  <c r="R172" i="5"/>
  <c r="Q172" i="5"/>
  <c r="Y171" i="5"/>
  <c r="W171" i="5"/>
  <c r="Z171" i="5" s="1"/>
  <c r="V171" i="5"/>
  <c r="U171" i="5"/>
  <c r="X171" i="5" s="1"/>
  <c r="T171" i="5"/>
  <c r="S171" i="5"/>
  <c r="AA171" i="5" s="1"/>
  <c r="R171" i="5"/>
  <c r="Q171" i="5"/>
  <c r="Y170" i="5"/>
  <c r="X170" i="5"/>
  <c r="W170" i="5"/>
  <c r="V170" i="5"/>
  <c r="U170" i="5"/>
  <c r="T170" i="5"/>
  <c r="S170" i="5"/>
  <c r="AA170" i="5" s="1"/>
  <c r="R170" i="5"/>
  <c r="Q170" i="5"/>
  <c r="W169" i="5"/>
  <c r="Z169" i="5" s="1"/>
  <c r="V169" i="5"/>
  <c r="Y169" i="5" s="1"/>
  <c r="U169" i="5"/>
  <c r="X169" i="5" s="1"/>
  <c r="T169" i="5"/>
  <c r="S169" i="5"/>
  <c r="AA169" i="5" s="1"/>
  <c r="R169" i="5"/>
  <c r="Q169" i="5"/>
  <c r="Z168" i="5"/>
  <c r="X168" i="5"/>
  <c r="W168" i="5"/>
  <c r="V168" i="5"/>
  <c r="Y168" i="5" s="1"/>
  <c r="U168" i="5"/>
  <c r="T168" i="5"/>
  <c r="S168" i="5"/>
  <c r="AA168" i="5" s="1"/>
  <c r="R168" i="5"/>
  <c r="Q168" i="5"/>
  <c r="Z167" i="5"/>
  <c r="Y167" i="5"/>
  <c r="W167" i="5"/>
  <c r="V167" i="5"/>
  <c r="U167" i="5"/>
  <c r="X167" i="5" s="1"/>
  <c r="T167" i="5"/>
  <c r="S167" i="5"/>
  <c r="AA167" i="5" s="1"/>
  <c r="R167" i="5"/>
  <c r="Q167" i="5"/>
  <c r="X166" i="5"/>
  <c r="W166" i="5"/>
  <c r="Z166" i="5" s="1"/>
  <c r="V166" i="5"/>
  <c r="Y166" i="5" s="1"/>
  <c r="U166" i="5"/>
  <c r="T166" i="5"/>
  <c r="S166" i="5"/>
  <c r="AA166" i="5" s="1"/>
  <c r="R166" i="5"/>
  <c r="Q166" i="5"/>
  <c r="X165" i="5"/>
  <c r="W165" i="5"/>
  <c r="Z165" i="5" s="1"/>
  <c r="V165" i="5"/>
  <c r="U165" i="5"/>
  <c r="T165" i="5"/>
  <c r="S165" i="5"/>
  <c r="AA165" i="5" s="1"/>
  <c r="R165" i="5"/>
  <c r="Q165" i="5"/>
  <c r="Z164" i="5"/>
  <c r="W164" i="5"/>
  <c r="V164" i="5"/>
  <c r="Y164" i="5" s="1"/>
  <c r="U164" i="5"/>
  <c r="X164" i="5" s="1"/>
  <c r="T164" i="5"/>
  <c r="S164" i="5"/>
  <c r="R164" i="5"/>
  <c r="Q164" i="5"/>
  <c r="Y163" i="5"/>
  <c r="W163" i="5"/>
  <c r="Z163" i="5" s="1"/>
  <c r="V163" i="5"/>
  <c r="U163" i="5"/>
  <c r="X163" i="5" s="1"/>
  <c r="T163" i="5"/>
  <c r="S163" i="5"/>
  <c r="AA163" i="5" s="1"/>
  <c r="R163" i="5"/>
  <c r="Q163" i="5"/>
  <c r="Y162" i="5"/>
  <c r="X162" i="5"/>
  <c r="W162" i="5"/>
  <c r="V162" i="5"/>
  <c r="U162" i="5"/>
  <c r="T162" i="5"/>
  <c r="S162" i="5"/>
  <c r="AA162" i="5" s="1"/>
  <c r="R162" i="5"/>
  <c r="Q162" i="5"/>
  <c r="W161" i="5"/>
  <c r="Z161" i="5" s="1"/>
  <c r="V161" i="5"/>
  <c r="Y161" i="5" s="1"/>
  <c r="U161" i="5"/>
  <c r="X161" i="5" s="1"/>
  <c r="T161" i="5"/>
  <c r="S161" i="5"/>
  <c r="AA161" i="5" s="1"/>
  <c r="R161" i="5"/>
  <c r="Q161" i="5"/>
  <c r="Z160" i="5"/>
  <c r="W160" i="5"/>
  <c r="V160" i="5"/>
  <c r="Y160" i="5" s="1"/>
  <c r="U160" i="5"/>
  <c r="T160" i="5"/>
  <c r="S160" i="5"/>
  <c r="AA160" i="5" s="1"/>
  <c r="R160" i="5"/>
  <c r="Q160" i="5"/>
  <c r="Z159" i="5"/>
  <c r="Y159" i="5"/>
  <c r="W159" i="5"/>
  <c r="V159" i="5"/>
  <c r="U159" i="5"/>
  <c r="X159" i="5" s="1"/>
  <c r="T159" i="5"/>
  <c r="S159" i="5"/>
  <c r="AA159" i="5" s="1"/>
  <c r="R159" i="5"/>
  <c r="Q159" i="5"/>
  <c r="X158" i="5"/>
  <c r="W158" i="5"/>
  <c r="Z158" i="5" s="1"/>
  <c r="V158" i="5"/>
  <c r="Y158" i="5" s="1"/>
  <c r="U158" i="5"/>
  <c r="T158" i="5"/>
  <c r="S158" i="5"/>
  <c r="AA158" i="5" s="1"/>
  <c r="R158" i="5"/>
  <c r="Q158" i="5"/>
  <c r="Y157" i="5"/>
  <c r="X157" i="5"/>
  <c r="W157" i="5"/>
  <c r="Z157" i="5" s="1"/>
  <c r="V157" i="5"/>
  <c r="U157" i="5"/>
  <c r="T157" i="5"/>
  <c r="S157" i="5"/>
  <c r="AA157" i="5" s="1"/>
  <c r="R157" i="5"/>
  <c r="Q157" i="5"/>
  <c r="Z156" i="5"/>
  <c r="W156" i="5"/>
  <c r="V156" i="5"/>
  <c r="Y156" i="5" s="1"/>
  <c r="U156" i="5"/>
  <c r="X156" i="5" s="1"/>
  <c r="T156" i="5"/>
  <c r="S156" i="5"/>
  <c r="R156" i="5"/>
  <c r="Q156" i="5"/>
  <c r="Y155" i="5"/>
  <c r="W155" i="5"/>
  <c r="Z155" i="5" s="1"/>
  <c r="V155" i="5"/>
  <c r="U155" i="5"/>
  <c r="X155" i="5" s="1"/>
  <c r="T155" i="5"/>
  <c r="S155" i="5"/>
  <c r="AA155" i="5" s="1"/>
  <c r="R155" i="5"/>
  <c r="Q155" i="5"/>
  <c r="Z154" i="5"/>
  <c r="Y154" i="5"/>
  <c r="X154" i="5"/>
  <c r="W154" i="5"/>
  <c r="V154" i="5"/>
  <c r="U154" i="5"/>
  <c r="T154" i="5"/>
  <c r="S154" i="5"/>
  <c r="AA154" i="5" s="1"/>
  <c r="R154" i="5"/>
  <c r="Q154" i="5"/>
  <c r="W153" i="5"/>
  <c r="Z153" i="5" s="1"/>
  <c r="V153" i="5"/>
  <c r="Y153" i="5" s="1"/>
  <c r="U153" i="5"/>
  <c r="X153" i="5" s="1"/>
  <c r="T153" i="5"/>
  <c r="S153" i="5"/>
  <c r="AA153" i="5" s="1"/>
  <c r="R153" i="5"/>
  <c r="Q153" i="5"/>
  <c r="Z152" i="5"/>
  <c r="W152" i="5"/>
  <c r="V152" i="5"/>
  <c r="Y152" i="5" s="1"/>
  <c r="U152" i="5"/>
  <c r="T152" i="5"/>
  <c r="S152" i="5"/>
  <c r="AA152" i="5" s="1"/>
  <c r="R152" i="5"/>
  <c r="Q152" i="5"/>
  <c r="Z151" i="5"/>
  <c r="Y151" i="5"/>
  <c r="W151" i="5"/>
  <c r="V151" i="5"/>
  <c r="U151" i="5"/>
  <c r="X151" i="5" s="1"/>
  <c r="T151" i="5"/>
  <c r="S151" i="5"/>
  <c r="AA151" i="5" s="1"/>
  <c r="R151" i="5"/>
  <c r="Q151" i="5"/>
  <c r="X150" i="5"/>
  <c r="W150" i="5"/>
  <c r="Z150" i="5" s="1"/>
  <c r="V150" i="5"/>
  <c r="Y150" i="5" s="1"/>
  <c r="U150" i="5"/>
  <c r="T150" i="5"/>
  <c r="S150" i="5"/>
  <c r="AA150" i="5" s="1"/>
  <c r="R150" i="5"/>
  <c r="Q150" i="5"/>
  <c r="X149" i="5"/>
  <c r="W149" i="5"/>
  <c r="Z149" i="5" s="1"/>
  <c r="V149" i="5"/>
  <c r="U149" i="5"/>
  <c r="T149" i="5"/>
  <c r="S149" i="5"/>
  <c r="AA149" i="5" s="1"/>
  <c r="R149" i="5"/>
  <c r="Q149" i="5"/>
  <c r="W148" i="5"/>
  <c r="V148" i="5"/>
  <c r="Y148" i="5" s="1"/>
  <c r="U148" i="5"/>
  <c r="X148" i="5" s="1"/>
  <c r="T148" i="5"/>
  <c r="S148" i="5"/>
  <c r="R148" i="5"/>
  <c r="Q148" i="5"/>
  <c r="Y147" i="5"/>
  <c r="W147" i="5"/>
  <c r="Z147" i="5" s="1"/>
  <c r="V147" i="5"/>
  <c r="U147" i="5"/>
  <c r="X147" i="5" s="1"/>
  <c r="T147" i="5"/>
  <c r="S147" i="5"/>
  <c r="AA147" i="5" s="1"/>
  <c r="R147" i="5"/>
  <c r="Q147" i="5"/>
  <c r="Y146" i="5"/>
  <c r="X146" i="5"/>
  <c r="W146" i="5"/>
  <c r="V146" i="5"/>
  <c r="U146" i="5"/>
  <c r="T146" i="5"/>
  <c r="S146" i="5"/>
  <c r="AA146" i="5" s="1"/>
  <c r="R146" i="5"/>
  <c r="Q146" i="5"/>
  <c r="AA145" i="5"/>
  <c r="W145" i="5"/>
  <c r="Z145" i="5" s="1"/>
  <c r="V145" i="5"/>
  <c r="Y145" i="5" s="1"/>
  <c r="U145" i="5"/>
  <c r="X145" i="5" s="1"/>
  <c r="T145" i="5"/>
  <c r="S145" i="5"/>
  <c r="R145" i="5"/>
  <c r="Q145" i="5"/>
  <c r="Z144" i="5"/>
  <c r="W144" i="5"/>
  <c r="V144" i="5"/>
  <c r="Y144" i="5" s="1"/>
  <c r="U144" i="5"/>
  <c r="T144" i="5"/>
  <c r="S144" i="5"/>
  <c r="AA144" i="5" s="1"/>
  <c r="R144" i="5"/>
  <c r="Q144" i="5"/>
  <c r="Z143" i="5"/>
  <c r="Y143" i="5"/>
  <c r="W143" i="5"/>
  <c r="V143" i="5"/>
  <c r="U143" i="5"/>
  <c r="X143" i="5" s="1"/>
  <c r="T143" i="5"/>
  <c r="S143" i="5"/>
  <c r="AA143" i="5" s="1"/>
  <c r="R143" i="5"/>
  <c r="Q143" i="5"/>
  <c r="X142" i="5"/>
  <c r="W142" i="5"/>
  <c r="Z142" i="5" s="1"/>
  <c r="V142" i="5"/>
  <c r="Y142" i="5" s="1"/>
  <c r="U142" i="5"/>
  <c r="T142" i="5"/>
  <c r="S142" i="5"/>
  <c r="R142" i="5"/>
  <c r="Q142" i="5"/>
  <c r="X141" i="5"/>
  <c r="W141" i="5"/>
  <c r="Z141" i="5" s="1"/>
  <c r="V141" i="5"/>
  <c r="U141" i="5"/>
  <c r="T141" i="5"/>
  <c r="S141" i="5"/>
  <c r="AA141" i="5" s="1"/>
  <c r="R141" i="5"/>
  <c r="Q141" i="5"/>
  <c r="Z140" i="5"/>
  <c r="X140" i="5"/>
  <c r="W140" i="5"/>
  <c r="V140" i="5"/>
  <c r="Y140" i="5" s="1"/>
  <c r="U140" i="5"/>
  <c r="T140" i="5"/>
  <c r="S140" i="5"/>
  <c r="AA140" i="5" s="1"/>
  <c r="R140" i="5"/>
  <c r="Q140" i="5"/>
  <c r="Y139" i="5"/>
  <c r="W139" i="5"/>
  <c r="Z139" i="5" s="1"/>
  <c r="V139" i="5"/>
  <c r="U139" i="5"/>
  <c r="X139" i="5" s="1"/>
  <c r="T139" i="5"/>
  <c r="S139" i="5"/>
  <c r="AA139" i="5" s="1"/>
  <c r="R139" i="5"/>
  <c r="Q139" i="5"/>
  <c r="Y138" i="5"/>
  <c r="X138" i="5"/>
  <c r="W138" i="5"/>
  <c r="V138" i="5"/>
  <c r="U138" i="5"/>
  <c r="T138" i="5"/>
  <c r="S138" i="5"/>
  <c r="AA138" i="5" s="1"/>
  <c r="R138" i="5"/>
  <c r="Q138" i="5"/>
  <c r="AA137" i="5"/>
  <c r="Y137" i="5"/>
  <c r="W137" i="5"/>
  <c r="Z137" i="5" s="1"/>
  <c r="V137" i="5"/>
  <c r="U137" i="5"/>
  <c r="X137" i="5" s="1"/>
  <c r="T137" i="5"/>
  <c r="S137" i="5"/>
  <c r="R137" i="5"/>
  <c r="Q137" i="5"/>
  <c r="Z136" i="5"/>
  <c r="W136" i="5"/>
  <c r="V136" i="5"/>
  <c r="Y136" i="5" s="1"/>
  <c r="U136" i="5"/>
  <c r="T136" i="5"/>
  <c r="S136" i="5"/>
  <c r="AA136" i="5" s="1"/>
  <c r="R136" i="5"/>
  <c r="Q136" i="5"/>
  <c r="Z135" i="5"/>
  <c r="Y135" i="5"/>
  <c r="W135" i="5"/>
  <c r="V135" i="5"/>
  <c r="U135" i="5"/>
  <c r="X135" i="5" s="1"/>
  <c r="T135" i="5"/>
  <c r="S135" i="5"/>
  <c r="AA135" i="5" s="1"/>
  <c r="R135" i="5"/>
  <c r="Q135" i="5"/>
  <c r="Z134" i="5"/>
  <c r="X134" i="5"/>
  <c r="W134" i="5"/>
  <c r="V134" i="5"/>
  <c r="Y134" i="5" s="1"/>
  <c r="U134" i="5"/>
  <c r="T134" i="5"/>
  <c r="S134" i="5"/>
  <c r="R134" i="5"/>
  <c r="Q134" i="5"/>
  <c r="X133" i="5"/>
  <c r="W133" i="5"/>
  <c r="Z133" i="5" s="1"/>
  <c r="V133" i="5"/>
  <c r="U133" i="5"/>
  <c r="T133" i="5"/>
  <c r="S133" i="5"/>
  <c r="AA133" i="5" s="1"/>
  <c r="R133" i="5"/>
  <c r="Q133" i="5"/>
  <c r="X132" i="5"/>
  <c r="W132" i="5"/>
  <c r="V132" i="5"/>
  <c r="Y132" i="5" s="1"/>
  <c r="U132" i="5"/>
  <c r="T132" i="5"/>
  <c r="S132" i="5"/>
  <c r="R132" i="5"/>
  <c r="Q132" i="5"/>
  <c r="Y131" i="5"/>
  <c r="W131" i="5"/>
  <c r="Z131" i="5" s="1"/>
  <c r="V131" i="5"/>
  <c r="U131" i="5"/>
  <c r="X131" i="5" s="1"/>
  <c r="T131" i="5"/>
  <c r="S131" i="5"/>
  <c r="AA131" i="5" s="1"/>
  <c r="R131" i="5"/>
  <c r="Q131" i="5"/>
  <c r="Y130" i="5"/>
  <c r="X130" i="5"/>
  <c r="W130" i="5"/>
  <c r="V130" i="5"/>
  <c r="U130" i="5"/>
  <c r="T130" i="5"/>
  <c r="S130" i="5"/>
  <c r="AA130" i="5" s="1"/>
  <c r="R130" i="5"/>
  <c r="Q130" i="5"/>
  <c r="Y129" i="5"/>
  <c r="W129" i="5"/>
  <c r="Z129" i="5" s="1"/>
  <c r="V129" i="5"/>
  <c r="U129" i="5"/>
  <c r="X129" i="5" s="1"/>
  <c r="T129" i="5"/>
  <c r="S129" i="5"/>
  <c r="AA129" i="5" s="1"/>
  <c r="R129" i="5"/>
  <c r="Q129" i="5"/>
  <c r="Z128" i="5"/>
  <c r="W128" i="5"/>
  <c r="V128" i="5"/>
  <c r="Y128" i="5" s="1"/>
  <c r="U128" i="5"/>
  <c r="T128" i="5"/>
  <c r="S128" i="5"/>
  <c r="AA128" i="5" s="1"/>
  <c r="R128" i="5"/>
  <c r="Q128" i="5"/>
  <c r="AA127" i="5"/>
  <c r="Z127" i="5"/>
  <c r="Y127" i="5"/>
  <c r="W127" i="5"/>
  <c r="V127" i="5"/>
  <c r="U127" i="5"/>
  <c r="X127" i="5" s="1"/>
  <c r="T127" i="5"/>
  <c r="S127" i="5"/>
  <c r="R127" i="5"/>
  <c r="Q127" i="5"/>
  <c r="Z126" i="5"/>
  <c r="X126" i="5"/>
  <c r="W126" i="5"/>
  <c r="V126" i="5"/>
  <c r="Y126" i="5" s="1"/>
  <c r="U126" i="5"/>
  <c r="T126" i="5"/>
  <c r="S126" i="5"/>
  <c r="AA126" i="5" s="1"/>
  <c r="R126" i="5"/>
  <c r="Q126" i="5"/>
  <c r="X125" i="5"/>
  <c r="W125" i="5"/>
  <c r="Z125" i="5" s="1"/>
  <c r="V125" i="5"/>
  <c r="U125" i="5"/>
  <c r="T125" i="5"/>
  <c r="S125" i="5"/>
  <c r="AA125" i="5" s="1"/>
  <c r="R125" i="5"/>
  <c r="Q125" i="5"/>
  <c r="Z124" i="5"/>
  <c r="X124" i="5"/>
  <c r="W124" i="5"/>
  <c r="V124" i="5"/>
  <c r="Y124" i="5" s="1"/>
  <c r="U124" i="5"/>
  <c r="T124" i="5"/>
  <c r="S124" i="5"/>
  <c r="R124" i="5"/>
  <c r="Q124" i="5"/>
  <c r="W123" i="5"/>
  <c r="Z123" i="5" s="1"/>
  <c r="V123" i="5"/>
  <c r="U123" i="5"/>
  <c r="X123" i="5" s="1"/>
  <c r="T123" i="5"/>
  <c r="S123" i="5"/>
  <c r="AA123" i="5" s="1"/>
  <c r="R123" i="5"/>
  <c r="Q123" i="5"/>
  <c r="Z122" i="5"/>
  <c r="Y122" i="5"/>
  <c r="X122" i="5"/>
  <c r="W122" i="5"/>
  <c r="V122" i="5"/>
  <c r="U122" i="5"/>
  <c r="T122" i="5"/>
  <c r="S122" i="5"/>
  <c r="AA122" i="5" s="1"/>
  <c r="R122" i="5"/>
  <c r="Q122" i="5"/>
  <c r="AA121" i="5"/>
  <c r="Y121" i="5"/>
  <c r="W121" i="5"/>
  <c r="Z121" i="5" s="1"/>
  <c r="V121" i="5"/>
  <c r="U121" i="5"/>
  <c r="X121" i="5" s="1"/>
  <c r="T121" i="5"/>
  <c r="S121" i="5"/>
  <c r="R121" i="5"/>
  <c r="Q121" i="5"/>
  <c r="W120" i="5"/>
  <c r="V120" i="5"/>
  <c r="Y120" i="5" s="1"/>
  <c r="U120" i="5"/>
  <c r="T120" i="5"/>
  <c r="S120" i="5"/>
  <c r="AA120" i="5" s="1"/>
  <c r="R120" i="5"/>
  <c r="Q120" i="5"/>
  <c r="AA119" i="5"/>
  <c r="Z119" i="5"/>
  <c r="Y119" i="5"/>
  <c r="W119" i="5"/>
  <c r="V119" i="5"/>
  <c r="U119" i="5"/>
  <c r="X119" i="5" s="1"/>
  <c r="T119" i="5"/>
  <c r="S119" i="5"/>
  <c r="R119" i="5"/>
  <c r="Q119" i="5"/>
  <c r="Z118" i="5"/>
  <c r="X118" i="5"/>
  <c r="W118" i="5"/>
  <c r="V118" i="5"/>
  <c r="Y118" i="5" s="1"/>
  <c r="U118" i="5"/>
  <c r="T118" i="5"/>
  <c r="S118" i="5"/>
  <c r="AA118" i="5" s="1"/>
  <c r="R118" i="5"/>
  <c r="Q118" i="5"/>
  <c r="AA117" i="5"/>
  <c r="Y117" i="5"/>
  <c r="X117" i="5"/>
  <c r="W117" i="5"/>
  <c r="Z117" i="5" s="1"/>
  <c r="V117" i="5"/>
  <c r="U117" i="5"/>
  <c r="T117" i="5"/>
  <c r="S117" i="5"/>
  <c r="R117" i="5"/>
  <c r="Q117" i="5"/>
  <c r="X116" i="5"/>
  <c r="W116" i="5"/>
  <c r="V116" i="5"/>
  <c r="Y116" i="5" s="1"/>
  <c r="U116" i="5"/>
  <c r="T116" i="5"/>
  <c r="S116" i="5"/>
  <c r="AA116" i="5" s="1"/>
  <c r="R116" i="5"/>
  <c r="Q116" i="5"/>
  <c r="W115" i="5"/>
  <c r="Z115" i="5" s="1"/>
  <c r="V115" i="5"/>
  <c r="U115" i="5"/>
  <c r="X115" i="5" s="1"/>
  <c r="T115" i="5"/>
  <c r="S115" i="5"/>
  <c r="AA115" i="5" s="1"/>
  <c r="R115" i="5"/>
  <c r="Q115" i="5"/>
  <c r="Z114" i="5"/>
  <c r="Y114" i="5"/>
  <c r="X114" i="5"/>
  <c r="W114" i="5"/>
  <c r="V114" i="5"/>
  <c r="U114" i="5"/>
  <c r="T114" i="5"/>
  <c r="S114" i="5"/>
  <c r="R114" i="5"/>
  <c r="Q114" i="5"/>
  <c r="AA113" i="5"/>
  <c r="Y113" i="5"/>
  <c r="W113" i="5"/>
  <c r="Z113" i="5" s="1"/>
  <c r="V113" i="5"/>
  <c r="U113" i="5"/>
  <c r="X113" i="5" s="1"/>
  <c r="T113" i="5"/>
  <c r="S113" i="5"/>
  <c r="R113" i="5"/>
  <c r="Q113" i="5"/>
  <c r="X112" i="5"/>
  <c r="W112" i="5"/>
  <c r="V112" i="5"/>
  <c r="Y112" i="5" s="1"/>
  <c r="U112" i="5"/>
  <c r="T112" i="5"/>
  <c r="S112" i="5"/>
  <c r="AA112" i="5" s="1"/>
  <c r="R112" i="5"/>
  <c r="Q112" i="5"/>
  <c r="AA111" i="5"/>
  <c r="Z111" i="5"/>
  <c r="Y111" i="5"/>
  <c r="W111" i="5"/>
  <c r="V111" i="5"/>
  <c r="U111" i="5"/>
  <c r="X111" i="5" s="1"/>
  <c r="T111" i="5"/>
  <c r="S111" i="5"/>
  <c r="R111" i="5"/>
  <c r="Q111" i="5"/>
  <c r="Z110" i="5"/>
  <c r="W110" i="5"/>
  <c r="V110" i="5"/>
  <c r="Y110" i="5" s="1"/>
  <c r="U110" i="5"/>
  <c r="T110" i="5"/>
  <c r="S110" i="5"/>
  <c r="AA110" i="5" s="1"/>
  <c r="R110" i="5"/>
  <c r="Q110" i="5"/>
  <c r="Y109" i="5"/>
  <c r="X109" i="5"/>
  <c r="W109" i="5"/>
  <c r="Z109" i="5" s="1"/>
  <c r="V109" i="5"/>
  <c r="U109" i="5"/>
  <c r="T109" i="5"/>
  <c r="S109" i="5"/>
  <c r="AA109" i="5" s="1"/>
  <c r="R109" i="5"/>
  <c r="Q109" i="5"/>
  <c r="X108" i="5"/>
  <c r="W108" i="5"/>
  <c r="V108" i="5"/>
  <c r="Y108" i="5" s="1"/>
  <c r="U108" i="5"/>
  <c r="T108" i="5"/>
  <c r="S108" i="5"/>
  <c r="R108" i="5"/>
  <c r="Q108" i="5"/>
  <c r="W107" i="5"/>
  <c r="Z107" i="5" s="1"/>
  <c r="V107" i="5"/>
  <c r="U107" i="5"/>
  <c r="X107" i="5" s="1"/>
  <c r="T107" i="5"/>
  <c r="S107" i="5"/>
  <c r="AA107" i="5" s="1"/>
  <c r="R107" i="5"/>
  <c r="Q107" i="5"/>
  <c r="Z106" i="5"/>
  <c r="Y106" i="5"/>
  <c r="W106" i="5"/>
  <c r="V106" i="5"/>
  <c r="U106" i="5"/>
  <c r="T106" i="5"/>
  <c r="S106" i="5"/>
  <c r="R106" i="5"/>
  <c r="Q106" i="5"/>
  <c r="AA105" i="5"/>
  <c r="Y105" i="5"/>
  <c r="W105" i="5"/>
  <c r="Z105" i="5" s="1"/>
  <c r="V105" i="5"/>
  <c r="U105" i="5"/>
  <c r="X105" i="5" s="1"/>
  <c r="T105" i="5"/>
  <c r="S105" i="5"/>
  <c r="R105" i="5"/>
  <c r="Q105" i="5"/>
  <c r="Z104" i="5"/>
  <c r="W104" i="5"/>
  <c r="V104" i="5"/>
  <c r="Y104" i="5" s="1"/>
  <c r="U104" i="5"/>
  <c r="T104" i="5"/>
  <c r="S104" i="5"/>
  <c r="AA104" i="5" s="1"/>
  <c r="R104" i="5"/>
  <c r="Q104" i="5"/>
  <c r="Z103" i="5"/>
  <c r="Y103" i="5"/>
  <c r="W103" i="5"/>
  <c r="V103" i="5"/>
  <c r="U103" i="5"/>
  <c r="X103" i="5" s="1"/>
  <c r="T103" i="5"/>
  <c r="S103" i="5"/>
  <c r="AA103" i="5" s="1"/>
  <c r="R103" i="5"/>
  <c r="Q103" i="5"/>
  <c r="Z102" i="5"/>
  <c r="W102" i="5"/>
  <c r="V102" i="5"/>
  <c r="Y102" i="5" s="1"/>
  <c r="U102" i="5"/>
  <c r="X102" i="5" s="1"/>
  <c r="T102" i="5"/>
  <c r="S102" i="5"/>
  <c r="R102" i="5"/>
  <c r="Q102" i="5"/>
  <c r="Y101" i="5"/>
  <c r="W101" i="5"/>
  <c r="Z101" i="5" s="1"/>
  <c r="V101" i="5"/>
  <c r="U101" i="5"/>
  <c r="T101" i="5"/>
  <c r="S101" i="5"/>
  <c r="AA101" i="5" s="1"/>
  <c r="R101" i="5"/>
  <c r="Q101" i="5"/>
  <c r="Z100" i="5"/>
  <c r="X100" i="5"/>
  <c r="W100" i="5"/>
  <c r="V100" i="5"/>
  <c r="Y100" i="5" s="1"/>
  <c r="U100" i="5"/>
  <c r="T100" i="5"/>
  <c r="S100" i="5"/>
  <c r="AA100" i="5" s="1"/>
  <c r="R100" i="5"/>
  <c r="Q100" i="5"/>
  <c r="Y99" i="5"/>
  <c r="W99" i="5"/>
  <c r="Z99" i="5" s="1"/>
  <c r="V99" i="5"/>
  <c r="U99" i="5"/>
  <c r="X99" i="5" s="1"/>
  <c r="T99" i="5"/>
  <c r="S99" i="5"/>
  <c r="AA99" i="5" s="1"/>
  <c r="R99" i="5"/>
  <c r="Q99" i="5"/>
  <c r="Z98" i="5"/>
  <c r="Y98" i="5"/>
  <c r="W98" i="5"/>
  <c r="V98" i="5"/>
  <c r="U98" i="5"/>
  <c r="T98" i="5"/>
  <c r="S98" i="5"/>
  <c r="AA98" i="5" s="1"/>
  <c r="R98" i="5"/>
  <c r="Q98" i="5"/>
  <c r="Y97" i="5"/>
  <c r="W97" i="5"/>
  <c r="Z97" i="5" s="1"/>
  <c r="V97" i="5"/>
  <c r="U97" i="5"/>
  <c r="X97" i="5" s="1"/>
  <c r="T97" i="5"/>
  <c r="S97" i="5"/>
  <c r="AA97" i="5" s="1"/>
  <c r="R97" i="5"/>
  <c r="Q97" i="5"/>
  <c r="W96" i="5"/>
  <c r="V96" i="5"/>
  <c r="Y96" i="5" s="1"/>
  <c r="U96" i="5"/>
  <c r="X96" i="5" s="1"/>
  <c r="T96" i="5"/>
  <c r="S96" i="5"/>
  <c r="AA96" i="5" s="1"/>
  <c r="R96" i="5"/>
  <c r="Q96" i="5"/>
  <c r="Z95" i="5"/>
  <c r="Y95" i="5"/>
  <c r="X95" i="5"/>
  <c r="W95" i="5"/>
  <c r="V95" i="5"/>
  <c r="U95" i="5"/>
  <c r="T95" i="5"/>
  <c r="S95" i="5"/>
  <c r="AA95" i="5" s="1"/>
  <c r="R95" i="5"/>
  <c r="Q95" i="5"/>
  <c r="Z94" i="5"/>
  <c r="X94" i="5"/>
  <c r="W94" i="5"/>
  <c r="V94" i="5"/>
  <c r="Y94" i="5" s="1"/>
  <c r="U94" i="5"/>
  <c r="T94" i="5"/>
  <c r="S94" i="5"/>
  <c r="AA94" i="5" s="1"/>
  <c r="R94" i="5"/>
  <c r="Q94" i="5"/>
  <c r="AA93" i="5"/>
  <c r="X93" i="5"/>
  <c r="W93" i="5"/>
  <c r="Z93" i="5" s="1"/>
  <c r="V93" i="5"/>
  <c r="Y93" i="5" s="1"/>
  <c r="U93" i="5"/>
  <c r="T93" i="5"/>
  <c r="S93" i="5"/>
  <c r="R93" i="5"/>
  <c r="Q93" i="5"/>
  <c r="Y92" i="5"/>
  <c r="X92" i="5"/>
  <c r="W92" i="5"/>
  <c r="Z92" i="5" s="1"/>
  <c r="V92" i="5"/>
  <c r="U92" i="5"/>
  <c r="T92" i="5"/>
  <c r="S92" i="5"/>
  <c r="AA92" i="5" s="1"/>
  <c r="R92" i="5"/>
  <c r="Q92" i="5"/>
  <c r="Z91" i="5"/>
  <c r="W91" i="5"/>
  <c r="V91" i="5"/>
  <c r="Y91" i="5" s="1"/>
  <c r="U91" i="5"/>
  <c r="X91" i="5" s="1"/>
  <c r="T91" i="5"/>
  <c r="S91" i="5"/>
  <c r="R91" i="5"/>
  <c r="Q91" i="5"/>
  <c r="Z90" i="5"/>
  <c r="X90" i="5"/>
  <c r="W90" i="5"/>
  <c r="V90" i="5"/>
  <c r="U90" i="5"/>
  <c r="T90" i="5"/>
  <c r="S90" i="5"/>
  <c r="AA90" i="5" s="1"/>
  <c r="R90" i="5"/>
  <c r="Q90" i="5"/>
  <c r="Y89" i="5"/>
  <c r="W89" i="5"/>
  <c r="Z89" i="5" s="1"/>
  <c r="V89" i="5"/>
  <c r="U89" i="5"/>
  <c r="X89" i="5" s="1"/>
  <c r="T89" i="5"/>
  <c r="S89" i="5"/>
  <c r="AA89" i="5" s="1"/>
  <c r="R89" i="5"/>
  <c r="Q89" i="5"/>
  <c r="Z88" i="5"/>
  <c r="X88" i="5"/>
  <c r="W88" i="5"/>
  <c r="V88" i="5"/>
  <c r="Y88" i="5" s="1"/>
  <c r="U88" i="5"/>
  <c r="T88" i="5"/>
  <c r="S88" i="5"/>
  <c r="AA88" i="5" s="1"/>
  <c r="R88" i="5"/>
  <c r="Q88" i="5"/>
  <c r="Z87" i="5"/>
  <c r="X87" i="5"/>
  <c r="W87" i="5"/>
  <c r="V87" i="5"/>
  <c r="Y87" i="5" s="1"/>
  <c r="U87" i="5"/>
  <c r="T87" i="5"/>
  <c r="S87" i="5"/>
  <c r="AA87" i="5" s="1"/>
  <c r="R87" i="5"/>
  <c r="Q87" i="5"/>
  <c r="Z86" i="5"/>
  <c r="W86" i="5"/>
  <c r="V86" i="5"/>
  <c r="Y86" i="5" s="1"/>
  <c r="U86" i="5"/>
  <c r="X86" i="5" s="1"/>
  <c r="T86" i="5"/>
  <c r="S86" i="5"/>
  <c r="AA86" i="5" s="1"/>
  <c r="R86" i="5"/>
  <c r="Q86" i="5"/>
  <c r="X85" i="5"/>
  <c r="W85" i="5"/>
  <c r="Z85" i="5" s="1"/>
  <c r="V85" i="5"/>
  <c r="U85" i="5"/>
  <c r="T85" i="5"/>
  <c r="S85" i="5"/>
  <c r="AA85" i="5" s="1"/>
  <c r="R85" i="5"/>
  <c r="Q85" i="5"/>
  <c r="Z84" i="5"/>
  <c r="X84" i="5"/>
  <c r="W84" i="5"/>
  <c r="V84" i="5"/>
  <c r="Y84" i="5" s="1"/>
  <c r="U84" i="5"/>
  <c r="T84" i="5"/>
  <c r="S84" i="5"/>
  <c r="AA84" i="5" s="1"/>
  <c r="R84" i="5"/>
  <c r="Q84" i="5"/>
  <c r="W83" i="5"/>
  <c r="Z83" i="5" s="1"/>
  <c r="V83" i="5"/>
  <c r="U83" i="5"/>
  <c r="X83" i="5" s="1"/>
  <c r="T83" i="5"/>
  <c r="S83" i="5"/>
  <c r="R83" i="5"/>
  <c r="Q83" i="5"/>
  <c r="Y82" i="5"/>
  <c r="W82" i="5"/>
  <c r="Z82" i="5" s="1"/>
  <c r="V82" i="5"/>
  <c r="U82" i="5"/>
  <c r="X82" i="5" s="1"/>
  <c r="T82" i="5"/>
  <c r="S82" i="5"/>
  <c r="AA82" i="5" s="1"/>
  <c r="R82" i="5"/>
  <c r="Q82" i="5"/>
  <c r="Z81" i="5"/>
  <c r="Y81" i="5"/>
  <c r="X81" i="5"/>
  <c r="W81" i="5"/>
  <c r="V81" i="5"/>
  <c r="U81" i="5"/>
  <c r="T81" i="5"/>
  <c r="S81" i="5"/>
  <c r="AA81" i="5" s="1"/>
  <c r="R81" i="5"/>
  <c r="Q81" i="5"/>
  <c r="Z80" i="5"/>
  <c r="X80" i="5"/>
  <c r="W80" i="5"/>
  <c r="V80" i="5"/>
  <c r="Y80" i="5" s="1"/>
  <c r="U80" i="5"/>
  <c r="T80" i="5"/>
  <c r="S80" i="5"/>
  <c r="AA80" i="5" s="1"/>
  <c r="R80" i="5"/>
  <c r="Q80" i="5"/>
  <c r="Z79" i="5"/>
  <c r="W79" i="5"/>
  <c r="V79" i="5"/>
  <c r="Y79" i="5" s="1"/>
  <c r="U79" i="5"/>
  <c r="X79" i="5" s="1"/>
  <c r="T79" i="5"/>
  <c r="S79" i="5"/>
  <c r="AA79" i="5" s="1"/>
  <c r="R79" i="5"/>
  <c r="Q79" i="5"/>
  <c r="Z78" i="5"/>
  <c r="Y78" i="5"/>
  <c r="X78" i="5"/>
  <c r="W78" i="5"/>
  <c r="V78" i="5"/>
  <c r="U78" i="5"/>
  <c r="T78" i="5"/>
  <c r="S78" i="5"/>
  <c r="AA78" i="5" s="1"/>
  <c r="R78" i="5"/>
  <c r="Q78" i="5"/>
  <c r="X77" i="5"/>
  <c r="W77" i="5"/>
  <c r="Z77" i="5" s="1"/>
  <c r="V77" i="5"/>
  <c r="Y77" i="5" s="1"/>
  <c r="U77" i="5"/>
  <c r="T77" i="5"/>
  <c r="S77" i="5"/>
  <c r="AA77" i="5" s="1"/>
  <c r="R77" i="5"/>
  <c r="Q77" i="5"/>
  <c r="X76" i="5"/>
  <c r="W76" i="5"/>
  <c r="Z76" i="5" s="1"/>
  <c r="V76" i="5"/>
  <c r="Y76" i="5" s="1"/>
  <c r="U76" i="5"/>
  <c r="T76" i="5"/>
  <c r="S76" i="5"/>
  <c r="AA76" i="5" s="1"/>
  <c r="R76" i="5"/>
  <c r="Q76" i="5"/>
  <c r="Z75" i="5"/>
  <c r="Y75" i="5"/>
  <c r="W75" i="5"/>
  <c r="V75" i="5"/>
  <c r="U75" i="5"/>
  <c r="X75" i="5" s="1"/>
  <c r="T75" i="5"/>
  <c r="S75" i="5"/>
  <c r="AA75" i="5" s="1"/>
  <c r="R75" i="5"/>
  <c r="Q75" i="5"/>
  <c r="Z74" i="5"/>
  <c r="Y74" i="5"/>
  <c r="W74" i="5"/>
  <c r="V74" i="5"/>
  <c r="U74" i="5"/>
  <c r="X74" i="5" s="1"/>
  <c r="T74" i="5"/>
  <c r="S74" i="5"/>
  <c r="AA74" i="5" s="1"/>
  <c r="R74" i="5"/>
  <c r="Q74" i="5"/>
  <c r="Z73" i="5"/>
  <c r="Y73" i="5"/>
  <c r="W73" i="5"/>
  <c r="V73" i="5"/>
  <c r="U73" i="5"/>
  <c r="X73" i="5" s="1"/>
  <c r="T73" i="5"/>
  <c r="S73" i="5"/>
  <c r="AA73" i="5" s="1"/>
  <c r="R73" i="5"/>
  <c r="Q73" i="5"/>
  <c r="W72" i="5"/>
  <c r="Z72" i="5" s="1"/>
  <c r="V72" i="5"/>
  <c r="Y72" i="5" s="1"/>
  <c r="U72" i="5"/>
  <c r="T72" i="5"/>
  <c r="AA72" i="5" s="1"/>
  <c r="S72" i="5"/>
  <c r="R72" i="5"/>
  <c r="Q72" i="5"/>
  <c r="Z71" i="5"/>
  <c r="Y71" i="5"/>
  <c r="W71" i="5"/>
  <c r="V71" i="5"/>
  <c r="U71" i="5"/>
  <c r="X71" i="5" s="1"/>
  <c r="T71" i="5"/>
  <c r="S71" i="5"/>
  <c r="AA71" i="5" s="1"/>
  <c r="R71" i="5"/>
  <c r="Q71" i="5"/>
  <c r="Z70" i="5"/>
  <c r="W70" i="5"/>
  <c r="V70" i="5"/>
  <c r="Y70" i="5" s="1"/>
  <c r="U70" i="5"/>
  <c r="X70" i="5" s="1"/>
  <c r="T70" i="5"/>
  <c r="S70" i="5"/>
  <c r="AA70" i="5" s="1"/>
  <c r="R70" i="5"/>
  <c r="Q70" i="5"/>
  <c r="W69" i="5"/>
  <c r="Z69" i="5" s="1"/>
  <c r="V69" i="5"/>
  <c r="Y69" i="5" s="1"/>
  <c r="U69" i="5"/>
  <c r="T69" i="5"/>
  <c r="AA69" i="5" s="1"/>
  <c r="S69" i="5"/>
  <c r="R69" i="5"/>
  <c r="Q69" i="5"/>
  <c r="Z68" i="5"/>
  <c r="Y68" i="5"/>
  <c r="X68" i="5"/>
  <c r="W68" i="5"/>
  <c r="V68" i="5"/>
  <c r="U68" i="5"/>
  <c r="T68" i="5"/>
  <c r="S68" i="5"/>
  <c r="AA68" i="5" s="1"/>
  <c r="R68" i="5"/>
  <c r="Q68" i="5"/>
  <c r="Z67" i="5"/>
  <c r="Y67" i="5"/>
  <c r="W67" i="5"/>
  <c r="V67" i="5"/>
  <c r="U67" i="5"/>
  <c r="X67" i="5" s="1"/>
  <c r="T67" i="5"/>
  <c r="S67" i="5"/>
  <c r="AA67" i="5" s="1"/>
  <c r="R67" i="5"/>
  <c r="Q67" i="5"/>
  <c r="W66" i="5"/>
  <c r="Z66" i="5" s="1"/>
  <c r="V66" i="5"/>
  <c r="Y66" i="5" s="1"/>
  <c r="U66" i="5"/>
  <c r="X66" i="5" s="1"/>
  <c r="T66" i="5"/>
  <c r="S66" i="5"/>
  <c r="AA66" i="5" s="1"/>
  <c r="R66" i="5"/>
  <c r="Q66" i="5"/>
  <c r="Z65" i="5"/>
  <c r="Y65" i="5"/>
  <c r="X65" i="5"/>
  <c r="W65" i="5"/>
  <c r="V65" i="5"/>
  <c r="U65" i="5"/>
  <c r="T65" i="5"/>
  <c r="S65" i="5"/>
  <c r="AA65" i="5" s="1"/>
  <c r="R65" i="5"/>
  <c r="Q65" i="5"/>
  <c r="X64" i="5"/>
  <c r="W64" i="5"/>
  <c r="Z64" i="5" s="1"/>
  <c r="V64" i="5"/>
  <c r="Y64" i="5" s="1"/>
  <c r="U64" i="5"/>
  <c r="T64" i="5"/>
  <c r="S64" i="5"/>
  <c r="AA64" i="5" s="1"/>
  <c r="R64" i="5"/>
  <c r="Q64" i="5"/>
  <c r="W63" i="5"/>
  <c r="Z63" i="5" s="1"/>
  <c r="V63" i="5"/>
  <c r="Y63" i="5" s="1"/>
  <c r="U63" i="5"/>
  <c r="X63" i="5" s="1"/>
  <c r="T63" i="5"/>
  <c r="S63" i="5"/>
  <c r="AA63" i="5" s="1"/>
  <c r="R63" i="5"/>
  <c r="Q63" i="5"/>
  <c r="Z62" i="5"/>
  <c r="Y62" i="5"/>
  <c r="X62" i="5"/>
  <c r="W62" i="5"/>
  <c r="V62" i="5"/>
  <c r="U62" i="5"/>
  <c r="T62" i="5"/>
  <c r="S62" i="5"/>
  <c r="AA62" i="5" s="1"/>
  <c r="R62" i="5"/>
  <c r="Q62" i="5"/>
  <c r="X61" i="5"/>
  <c r="W61" i="5"/>
  <c r="Z61" i="5" s="1"/>
  <c r="V61" i="5"/>
  <c r="Y61" i="5" s="1"/>
  <c r="U61" i="5"/>
  <c r="T61" i="5"/>
  <c r="S61" i="5"/>
  <c r="AA61" i="5" s="1"/>
  <c r="R61" i="5"/>
  <c r="Q61" i="5"/>
  <c r="X60" i="5"/>
  <c r="W60" i="5"/>
  <c r="Z60" i="5" s="1"/>
  <c r="V60" i="5"/>
  <c r="Y60" i="5" s="1"/>
  <c r="U60" i="5"/>
  <c r="T60" i="5"/>
  <c r="S60" i="5"/>
  <c r="AA60" i="5" s="1"/>
  <c r="R60" i="5"/>
  <c r="Q60" i="5"/>
  <c r="Z59" i="5"/>
  <c r="Y59" i="5"/>
  <c r="W59" i="5"/>
  <c r="V59" i="5"/>
  <c r="U59" i="5"/>
  <c r="X59" i="5" s="1"/>
  <c r="T59" i="5"/>
  <c r="S59" i="5"/>
  <c r="AA59" i="5" s="1"/>
  <c r="R59" i="5"/>
  <c r="Q59" i="5"/>
  <c r="Z58" i="5"/>
  <c r="X58" i="5"/>
  <c r="W58" i="5"/>
  <c r="V58" i="5"/>
  <c r="Y58" i="5" s="1"/>
  <c r="U58" i="5"/>
  <c r="T58" i="5"/>
  <c r="S58" i="5"/>
  <c r="AA58" i="5" s="1"/>
  <c r="R58" i="5"/>
  <c r="Q58" i="5"/>
  <c r="W57" i="5"/>
  <c r="Z57" i="5" s="1"/>
  <c r="V57" i="5"/>
  <c r="Y57" i="5" s="1"/>
  <c r="U57" i="5"/>
  <c r="X57" i="5" s="1"/>
  <c r="T57" i="5"/>
  <c r="S57" i="5"/>
  <c r="AA57" i="5" s="1"/>
  <c r="R57" i="5"/>
  <c r="Q57" i="5"/>
  <c r="Z56" i="5"/>
  <c r="Y56" i="5"/>
  <c r="X56" i="5"/>
  <c r="W56" i="5"/>
  <c r="V56" i="5"/>
  <c r="U56" i="5"/>
  <c r="T56" i="5"/>
  <c r="S56" i="5"/>
  <c r="AA56" i="5" s="1"/>
  <c r="R56" i="5"/>
  <c r="Q56" i="5"/>
  <c r="Y55" i="5"/>
  <c r="W55" i="5"/>
  <c r="Z55" i="5" s="1"/>
  <c r="V55" i="5"/>
  <c r="U55" i="5"/>
  <c r="X55" i="5" s="1"/>
  <c r="T55" i="5"/>
  <c r="S55" i="5"/>
  <c r="AA55" i="5" s="1"/>
  <c r="R55" i="5"/>
  <c r="Q55" i="5"/>
  <c r="X54" i="5"/>
  <c r="W54" i="5"/>
  <c r="Z54" i="5" s="1"/>
  <c r="V54" i="5"/>
  <c r="Y54" i="5" s="1"/>
  <c r="U54" i="5"/>
  <c r="T54" i="5"/>
  <c r="S54" i="5"/>
  <c r="AA54" i="5" s="1"/>
  <c r="R54" i="5"/>
  <c r="Q54" i="5"/>
  <c r="Z53" i="5"/>
  <c r="Y53" i="5"/>
  <c r="W53" i="5"/>
  <c r="V53" i="5"/>
  <c r="U53" i="5"/>
  <c r="X53" i="5" s="1"/>
  <c r="T53" i="5"/>
  <c r="S53" i="5"/>
  <c r="AA53" i="5" s="1"/>
  <c r="R53" i="5"/>
  <c r="Q53" i="5"/>
  <c r="Z52" i="5"/>
  <c r="W52" i="5"/>
  <c r="V52" i="5"/>
  <c r="Y52" i="5" s="1"/>
  <c r="U52" i="5"/>
  <c r="X52" i="5" s="1"/>
  <c r="T52" i="5"/>
  <c r="S52" i="5"/>
  <c r="AA52" i="5" s="1"/>
  <c r="R52" i="5"/>
  <c r="Q52" i="5"/>
  <c r="Y51" i="5"/>
  <c r="X51" i="5"/>
  <c r="W51" i="5"/>
  <c r="Z51" i="5" s="1"/>
  <c r="V51" i="5"/>
  <c r="U51" i="5"/>
  <c r="T51" i="5"/>
  <c r="S51" i="5"/>
  <c r="AA51" i="5" s="1"/>
  <c r="R51" i="5"/>
  <c r="Q51" i="5"/>
  <c r="Z50" i="5"/>
  <c r="X50" i="5"/>
  <c r="W50" i="5"/>
  <c r="V50" i="5"/>
  <c r="Y50" i="5" s="1"/>
  <c r="U50" i="5"/>
  <c r="T50" i="5"/>
  <c r="S50" i="5"/>
  <c r="AA50" i="5" s="1"/>
  <c r="R50" i="5"/>
  <c r="Q50" i="5"/>
  <c r="W49" i="5"/>
  <c r="Z49" i="5" s="1"/>
  <c r="V49" i="5"/>
  <c r="Y49" i="5" s="1"/>
  <c r="U49" i="5"/>
  <c r="X49" i="5" s="1"/>
  <c r="T49" i="5"/>
  <c r="S49" i="5"/>
  <c r="AA49" i="5" s="1"/>
  <c r="R49" i="5"/>
  <c r="Q49" i="5"/>
  <c r="Z48" i="5"/>
  <c r="Y48" i="5"/>
  <c r="X48" i="5"/>
  <c r="W48" i="5"/>
  <c r="V48" i="5"/>
  <c r="U48" i="5"/>
  <c r="T48" i="5"/>
  <c r="S48" i="5"/>
  <c r="AA48" i="5" s="1"/>
  <c r="R48" i="5"/>
  <c r="Q48" i="5"/>
  <c r="Y47" i="5"/>
  <c r="W47" i="5"/>
  <c r="Z47" i="5" s="1"/>
  <c r="V47" i="5"/>
  <c r="U47" i="5"/>
  <c r="X47" i="5" s="1"/>
  <c r="T47" i="5"/>
  <c r="S47" i="5"/>
  <c r="AA47" i="5" s="1"/>
  <c r="R47" i="5"/>
  <c r="Q47" i="5"/>
  <c r="X46" i="5"/>
  <c r="W46" i="5"/>
  <c r="Z46" i="5" s="1"/>
  <c r="V46" i="5"/>
  <c r="Y46" i="5" s="1"/>
  <c r="U46" i="5"/>
  <c r="T46" i="5"/>
  <c r="S46" i="5"/>
  <c r="AA46" i="5" s="1"/>
  <c r="R46" i="5"/>
  <c r="Q46" i="5"/>
  <c r="Z45" i="5"/>
  <c r="Y45" i="5"/>
  <c r="W45" i="5"/>
  <c r="V45" i="5"/>
  <c r="U45" i="5"/>
  <c r="X45" i="5" s="1"/>
  <c r="T45" i="5"/>
  <c r="S45" i="5"/>
  <c r="AA45" i="5" s="1"/>
  <c r="R45" i="5"/>
  <c r="Q45" i="5"/>
  <c r="Z44" i="5"/>
  <c r="W44" i="5"/>
  <c r="V44" i="5"/>
  <c r="Y44" i="5" s="1"/>
  <c r="U44" i="5"/>
  <c r="X44" i="5" s="1"/>
  <c r="T44" i="5"/>
  <c r="S44" i="5"/>
  <c r="AA44" i="5" s="1"/>
  <c r="R44" i="5"/>
  <c r="Q44" i="5"/>
  <c r="Y43" i="5"/>
  <c r="X43" i="5"/>
  <c r="W43" i="5"/>
  <c r="Z43" i="5" s="1"/>
  <c r="V43" i="5"/>
  <c r="U43" i="5"/>
  <c r="T43" i="5"/>
  <c r="S43" i="5"/>
  <c r="AA43" i="5" s="1"/>
  <c r="R43" i="5"/>
  <c r="Q43" i="5"/>
  <c r="Z42" i="5"/>
  <c r="X42" i="5"/>
  <c r="W42" i="5"/>
  <c r="V42" i="5"/>
  <c r="Y42" i="5" s="1"/>
  <c r="U42" i="5"/>
  <c r="T42" i="5"/>
  <c r="S42" i="5"/>
  <c r="AA42" i="5" s="1"/>
  <c r="R42" i="5"/>
  <c r="Q42" i="5"/>
  <c r="W41" i="5"/>
  <c r="Z41" i="5" s="1"/>
  <c r="V41" i="5"/>
  <c r="Y41" i="5" s="1"/>
  <c r="U41" i="5"/>
  <c r="X41" i="5" s="1"/>
  <c r="T41" i="5"/>
  <c r="S41" i="5"/>
  <c r="AA41" i="5" s="1"/>
  <c r="R41" i="5"/>
  <c r="Q41" i="5"/>
  <c r="Z40" i="5"/>
  <c r="Y40" i="5"/>
  <c r="X40" i="5"/>
  <c r="W40" i="5"/>
  <c r="V40" i="5"/>
  <c r="U40" i="5"/>
  <c r="T40" i="5"/>
  <c r="S40" i="5"/>
  <c r="AA40" i="5" s="1"/>
  <c r="R40" i="5"/>
  <c r="Q40" i="5"/>
  <c r="Y39" i="5"/>
  <c r="W39" i="5"/>
  <c r="Z39" i="5" s="1"/>
  <c r="V39" i="5"/>
  <c r="U39" i="5"/>
  <c r="X39" i="5" s="1"/>
  <c r="T39" i="5"/>
  <c r="S39" i="5"/>
  <c r="AA39" i="5" s="1"/>
  <c r="R39" i="5"/>
  <c r="Q39" i="5"/>
  <c r="X38" i="5"/>
  <c r="W38" i="5"/>
  <c r="Z38" i="5" s="1"/>
  <c r="V38" i="5"/>
  <c r="Y38" i="5" s="1"/>
  <c r="U38" i="5"/>
  <c r="T38" i="5"/>
  <c r="S38" i="5"/>
  <c r="AA38" i="5" s="1"/>
  <c r="R38" i="5"/>
  <c r="Q38" i="5"/>
  <c r="Z37" i="5"/>
  <c r="Y37" i="5"/>
  <c r="W37" i="5"/>
  <c r="V37" i="5"/>
  <c r="U37" i="5"/>
  <c r="X37" i="5" s="1"/>
  <c r="T37" i="5"/>
  <c r="S37" i="5"/>
  <c r="AA37" i="5" s="1"/>
  <c r="R37" i="5"/>
  <c r="Q37" i="5"/>
  <c r="Z36" i="5"/>
  <c r="W36" i="5"/>
  <c r="V36" i="5"/>
  <c r="Y36" i="5" s="1"/>
  <c r="U36" i="5"/>
  <c r="X36" i="5" s="1"/>
  <c r="T36" i="5"/>
  <c r="S36" i="5"/>
  <c r="AA36" i="5" s="1"/>
  <c r="R36" i="5"/>
  <c r="Q36" i="5"/>
  <c r="Y35" i="5"/>
  <c r="X35" i="5"/>
  <c r="W35" i="5"/>
  <c r="Z35" i="5" s="1"/>
  <c r="V35" i="5"/>
  <c r="U35" i="5"/>
  <c r="T35" i="5"/>
  <c r="S35" i="5"/>
  <c r="AA35" i="5" s="1"/>
  <c r="R35" i="5"/>
  <c r="Q35" i="5"/>
  <c r="Z34" i="5"/>
  <c r="X34" i="5"/>
  <c r="W34" i="5"/>
  <c r="V34" i="5"/>
  <c r="Y34" i="5" s="1"/>
  <c r="U34" i="5"/>
  <c r="T34" i="5"/>
  <c r="S34" i="5"/>
  <c r="AA34" i="5" s="1"/>
  <c r="R34" i="5"/>
  <c r="Q34" i="5"/>
  <c r="W33" i="5"/>
  <c r="Z33" i="5" s="1"/>
  <c r="V33" i="5"/>
  <c r="Y33" i="5" s="1"/>
  <c r="U33" i="5"/>
  <c r="X33" i="5" s="1"/>
  <c r="T33" i="5"/>
  <c r="S33" i="5"/>
  <c r="AA33" i="5" s="1"/>
  <c r="R33" i="5"/>
  <c r="Q33" i="5"/>
  <c r="Z32" i="5"/>
  <c r="Y32" i="5"/>
  <c r="X32" i="5"/>
  <c r="W32" i="5"/>
  <c r="V32" i="5"/>
  <c r="U32" i="5"/>
  <c r="T32" i="5"/>
  <c r="S32" i="5"/>
  <c r="AA32" i="5" s="1"/>
  <c r="R32" i="5"/>
  <c r="Q32" i="5"/>
  <c r="Y31" i="5"/>
  <c r="W31" i="5"/>
  <c r="Z31" i="5" s="1"/>
  <c r="V31" i="5"/>
  <c r="U31" i="5"/>
  <c r="X31" i="5" s="1"/>
  <c r="T31" i="5"/>
  <c r="S31" i="5"/>
  <c r="AA31" i="5" s="1"/>
  <c r="R31" i="5"/>
  <c r="Q31" i="5"/>
  <c r="X30" i="5"/>
  <c r="W30" i="5"/>
  <c r="Z30" i="5" s="1"/>
  <c r="V30" i="5"/>
  <c r="Y30" i="5" s="1"/>
  <c r="U30" i="5"/>
  <c r="T30" i="5"/>
  <c r="S30" i="5"/>
  <c r="AA30" i="5" s="1"/>
  <c r="R30" i="5"/>
  <c r="Q30" i="5"/>
  <c r="Z29" i="5"/>
  <c r="Y29" i="5"/>
  <c r="W29" i="5"/>
  <c r="V29" i="5"/>
  <c r="U29" i="5"/>
  <c r="X29" i="5" s="1"/>
  <c r="T29" i="5"/>
  <c r="S29" i="5"/>
  <c r="AA29" i="5" s="1"/>
  <c r="R29" i="5"/>
  <c r="Q29" i="5"/>
  <c r="Z28" i="5"/>
  <c r="W28" i="5"/>
  <c r="V28" i="5"/>
  <c r="Y28" i="5" s="1"/>
  <c r="U28" i="5"/>
  <c r="X28" i="5" s="1"/>
  <c r="T28" i="5"/>
  <c r="S28" i="5"/>
  <c r="AA28" i="5" s="1"/>
  <c r="R28" i="5"/>
  <c r="Q28" i="5"/>
  <c r="Y27" i="5"/>
  <c r="X27" i="5"/>
  <c r="W27" i="5"/>
  <c r="Z27" i="5" s="1"/>
  <c r="V27" i="5"/>
  <c r="U27" i="5"/>
  <c r="T27" i="5"/>
  <c r="S27" i="5"/>
  <c r="AA27" i="5" s="1"/>
  <c r="R27" i="5"/>
  <c r="Q27" i="5"/>
  <c r="Z26" i="5"/>
  <c r="X26" i="5"/>
  <c r="W26" i="5"/>
  <c r="V26" i="5"/>
  <c r="Y26" i="5" s="1"/>
  <c r="U26" i="5"/>
  <c r="T26" i="5"/>
  <c r="S26" i="5"/>
  <c r="AA26" i="5" s="1"/>
  <c r="R26" i="5"/>
  <c r="Q26" i="5"/>
  <c r="W25" i="5"/>
  <c r="Z25" i="5" s="1"/>
  <c r="V25" i="5"/>
  <c r="Y25" i="5" s="1"/>
  <c r="U25" i="5"/>
  <c r="X25" i="5" s="1"/>
  <c r="T25" i="5"/>
  <c r="S25" i="5"/>
  <c r="AA25" i="5" s="1"/>
  <c r="R25" i="5"/>
  <c r="Q25" i="5"/>
  <c r="Z24" i="5"/>
  <c r="Y24" i="5"/>
  <c r="X24" i="5"/>
  <c r="W24" i="5"/>
  <c r="V24" i="5"/>
  <c r="U24" i="5"/>
  <c r="T24" i="5"/>
  <c r="S24" i="5"/>
  <c r="AA24" i="5" s="1"/>
  <c r="R24" i="5"/>
  <c r="Q24" i="5"/>
  <c r="Y23" i="5"/>
  <c r="W23" i="5"/>
  <c r="Z23" i="5" s="1"/>
  <c r="V23" i="5"/>
  <c r="U23" i="5"/>
  <c r="X23" i="5" s="1"/>
  <c r="T23" i="5"/>
  <c r="S23" i="5"/>
  <c r="AA23" i="5" s="1"/>
  <c r="R23" i="5"/>
  <c r="Q23" i="5"/>
  <c r="X22" i="5"/>
  <c r="W22" i="5"/>
  <c r="Z22" i="5" s="1"/>
  <c r="V22" i="5"/>
  <c r="Y22" i="5" s="1"/>
  <c r="U22" i="5"/>
  <c r="T22" i="5"/>
  <c r="S22" i="5"/>
  <c r="AA22" i="5" s="1"/>
  <c r="R22" i="5"/>
  <c r="Q22" i="5"/>
  <c r="Z21" i="5"/>
  <c r="Y21" i="5"/>
  <c r="W21" i="5"/>
  <c r="V21" i="5"/>
  <c r="U21" i="5"/>
  <c r="X21" i="5" s="1"/>
  <c r="T21" i="5"/>
  <c r="S21" i="5"/>
  <c r="AA21" i="5" s="1"/>
  <c r="R21" i="5"/>
  <c r="Q21" i="5"/>
  <c r="Z20" i="5"/>
  <c r="W20" i="5"/>
  <c r="V20" i="5"/>
  <c r="Y20" i="5" s="1"/>
  <c r="U20" i="5"/>
  <c r="X20" i="5" s="1"/>
  <c r="T20" i="5"/>
  <c r="S20" i="5"/>
  <c r="AA20" i="5" s="1"/>
  <c r="R20" i="5"/>
  <c r="Q20" i="5"/>
  <c r="Y19" i="5"/>
  <c r="X19" i="5"/>
  <c r="W19" i="5"/>
  <c r="Z19" i="5" s="1"/>
  <c r="V19" i="5"/>
  <c r="U19" i="5"/>
  <c r="T19" i="5"/>
  <c r="S19" i="5"/>
  <c r="AA19" i="5" s="1"/>
  <c r="R19" i="5"/>
  <c r="Q19" i="5"/>
  <c r="Z18" i="5"/>
  <c r="X18" i="5"/>
  <c r="W18" i="5"/>
  <c r="V18" i="5"/>
  <c r="Y18" i="5" s="1"/>
  <c r="U18" i="5"/>
  <c r="T18" i="5"/>
  <c r="S18" i="5"/>
  <c r="AA18" i="5" s="1"/>
  <c r="R18" i="5"/>
  <c r="Q18" i="5"/>
  <c r="W17" i="5"/>
  <c r="Z17" i="5" s="1"/>
  <c r="V17" i="5"/>
  <c r="Y17" i="5" s="1"/>
  <c r="U17" i="5"/>
  <c r="X17" i="5" s="1"/>
  <c r="T17" i="5"/>
  <c r="S17" i="5"/>
  <c r="AA17" i="5" s="1"/>
  <c r="R17" i="5"/>
  <c r="Q17" i="5"/>
  <c r="Z16" i="5"/>
  <c r="Y16" i="5"/>
  <c r="X16" i="5"/>
  <c r="W16" i="5"/>
  <c r="V16" i="5"/>
  <c r="U16" i="5"/>
  <c r="T16" i="5"/>
  <c r="S16" i="5"/>
  <c r="AA16" i="5" s="1"/>
  <c r="R16" i="5"/>
  <c r="Q16" i="5"/>
  <c r="Y15" i="5"/>
  <c r="W15" i="5"/>
  <c r="Z15" i="5" s="1"/>
  <c r="V15" i="5"/>
  <c r="U15" i="5"/>
  <c r="X15" i="5" s="1"/>
  <c r="T15" i="5"/>
  <c r="S15" i="5"/>
  <c r="AA15" i="5" s="1"/>
  <c r="R15" i="5"/>
  <c r="Q15" i="5"/>
  <c r="X14" i="5"/>
  <c r="W14" i="5"/>
  <c r="Z14" i="5" s="1"/>
  <c r="V14" i="5"/>
  <c r="Y14" i="5" s="1"/>
  <c r="U14" i="5"/>
  <c r="T14" i="5"/>
  <c r="S14" i="5"/>
  <c r="AA14" i="5" s="1"/>
  <c r="R14" i="5"/>
  <c r="Q14" i="5"/>
  <c r="Z13" i="5"/>
  <c r="Y13" i="5"/>
  <c r="W13" i="5"/>
  <c r="V13" i="5"/>
  <c r="U13" i="5"/>
  <c r="X13" i="5" s="1"/>
  <c r="T13" i="5"/>
  <c r="S13" i="5"/>
  <c r="AA13" i="5" s="1"/>
  <c r="R13" i="5"/>
  <c r="Q13" i="5"/>
  <c r="Z12" i="5"/>
  <c r="W12" i="5"/>
  <c r="V12" i="5"/>
  <c r="Y12" i="5" s="1"/>
  <c r="U12" i="5"/>
  <c r="X12" i="5" s="1"/>
  <c r="T12" i="5"/>
  <c r="S12" i="5"/>
  <c r="AA12" i="5" s="1"/>
  <c r="R12" i="5"/>
  <c r="Q12" i="5"/>
  <c r="Y11" i="5"/>
  <c r="X11" i="5"/>
  <c r="W11" i="5"/>
  <c r="Z11" i="5" s="1"/>
  <c r="V11" i="5"/>
  <c r="U11" i="5"/>
  <c r="T11" i="5"/>
  <c r="S11" i="5"/>
  <c r="AA11" i="5" s="1"/>
  <c r="R11" i="5"/>
  <c r="Q11" i="5"/>
  <c r="Z10" i="5"/>
  <c r="X10" i="5"/>
  <c r="W10" i="5"/>
  <c r="V10" i="5"/>
  <c r="Y10" i="5" s="1"/>
  <c r="U10" i="5"/>
  <c r="T10" i="5"/>
  <c r="S10" i="5"/>
  <c r="AA10" i="5" s="1"/>
  <c r="R10" i="5"/>
  <c r="Q10" i="5"/>
  <c r="W9" i="5"/>
  <c r="Z9" i="5" s="1"/>
  <c r="V9" i="5"/>
  <c r="Y9" i="5" s="1"/>
  <c r="U9" i="5"/>
  <c r="X9" i="5" s="1"/>
  <c r="T9" i="5"/>
  <c r="S9" i="5"/>
  <c r="AA9" i="5" s="1"/>
  <c r="R9" i="5"/>
  <c r="Q9" i="5"/>
  <c r="Z8" i="5"/>
  <c r="Y8" i="5"/>
  <c r="X8" i="5"/>
  <c r="W8" i="5"/>
  <c r="V8" i="5"/>
  <c r="U8" i="5"/>
  <c r="T8" i="5"/>
  <c r="S8" i="5"/>
  <c r="AA8" i="5" s="1"/>
  <c r="R8" i="5"/>
  <c r="Q8" i="5"/>
  <c r="Y7" i="5"/>
  <c r="W7" i="5"/>
  <c r="Z7" i="5" s="1"/>
  <c r="V7" i="5"/>
  <c r="U7" i="5"/>
  <c r="X7" i="5" s="1"/>
  <c r="T7" i="5"/>
  <c r="S7" i="5"/>
  <c r="AA7" i="5" s="1"/>
  <c r="R7" i="5"/>
  <c r="Q7" i="5"/>
  <c r="X6" i="5"/>
  <c r="W6" i="5"/>
  <c r="Z6" i="5" s="1"/>
  <c r="V6" i="5"/>
  <c r="Y6" i="5" s="1"/>
  <c r="U6" i="5"/>
  <c r="T6" i="5"/>
  <c r="S6" i="5"/>
  <c r="AA6" i="5" s="1"/>
  <c r="R6" i="5"/>
  <c r="Q6" i="5"/>
  <c r="Z5" i="5"/>
  <c r="Y5" i="5"/>
  <c r="W5" i="5"/>
  <c r="V5" i="5"/>
  <c r="U5" i="5"/>
  <c r="X5" i="5" s="1"/>
  <c r="T5" i="5"/>
  <c r="S5" i="5"/>
  <c r="AA5" i="5" s="1"/>
  <c r="R5" i="5"/>
  <c r="Q5" i="5"/>
  <c r="Z4" i="5"/>
  <c r="W4" i="5"/>
  <c r="V4" i="5"/>
  <c r="Y4" i="5" s="1"/>
  <c r="U4" i="5"/>
  <c r="X4" i="5" s="1"/>
  <c r="T4" i="5"/>
  <c r="S4" i="5"/>
  <c r="AA4" i="5" s="1"/>
  <c r="R4" i="5"/>
  <c r="Q4" i="5"/>
  <c r="Y3" i="5"/>
  <c r="X3" i="5"/>
  <c r="W3" i="5"/>
  <c r="Z3" i="5" s="1"/>
  <c r="V3" i="5"/>
  <c r="U3" i="5"/>
  <c r="T3" i="5"/>
  <c r="S3" i="5"/>
  <c r="AA3" i="5" s="1"/>
  <c r="R3" i="5"/>
  <c r="Q3" i="5"/>
  <c r="Z2" i="5"/>
  <c r="X2" i="5"/>
  <c r="W2" i="5"/>
  <c r="V2" i="5"/>
  <c r="Y2" i="5" s="1"/>
  <c r="U2" i="5"/>
  <c r="T2" i="5"/>
  <c r="S2" i="5"/>
  <c r="AA2" i="5" s="1"/>
  <c r="R2" i="5"/>
  <c r="Q2" i="5"/>
  <c r="AB463" i="1"/>
  <c r="Z463" i="1"/>
  <c r="Y463" i="1"/>
  <c r="W463" i="1"/>
  <c r="V463" i="1"/>
  <c r="U463" i="1"/>
  <c r="X463" i="1" s="1"/>
  <c r="T463" i="1"/>
  <c r="S463" i="1"/>
  <c r="AA463" i="1" s="1"/>
  <c r="R463" i="1"/>
  <c r="Q463" i="1"/>
  <c r="AB462" i="1"/>
  <c r="W462" i="1"/>
  <c r="Z462" i="1" s="1"/>
  <c r="V462" i="1"/>
  <c r="Y462" i="1" s="1"/>
  <c r="U462" i="1"/>
  <c r="T462" i="1"/>
  <c r="S462" i="1"/>
  <c r="AA462" i="1" s="1"/>
  <c r="R462" i="1"/>
  <c r="Q462" i="1"/>
  <c r="AB461" i="1"/>
  <c r="AA461" i="1"/>
  <c r="W461" i="1"/>
  <c r="V461" i="1"/>
  <c r="U461" i="1"/>
  <c r="T461" i="1"/>
  <c r="S461" i="1"/>
  <c r="R461" i="1"/>
  <c r="Q461" i="1"/>
  <c r="AB460" i="1"/>
  <c r="W460" i="1"/>
  <c r="Z460" i="1" s="1"/>
  <c r="V460" i="1"/>
  <c r="Y460" i="1" s="1"/>
  <c r="U460" i="1"/>
  <c r="T460" i="1"/>
  <c r="S460" i="1"/>
  <c r="AA460" i="1" s="1"/>
  <c r="R460" i="1"/>
  <c r="Q460" i="1"/>
  <c r="AB459" i="1"/>
  <c r="AA459" i="1"/>
  <c r="Y459" i="1"/>
  <c r="W459" i="1"/>
  <c r="V459" i="1"/>
  <c r="U459" i="1"/>
  <c r="T459" i="1"/>
  <c r="S459" i="1"/>
  <c r="R459" i="1"/>
  <c r="Q459" i="1"/>
  <c r="AB458" i="1"/>
  <c r="W458" i="1"/>
  <c r="Z458" i="1" s="1"/>
  <c r="V458" i="1"/>
  <c r="Y458" i="1" s="1"/>
  <c r="U458" i="1"/>
  <c r="T458" i="1"/>
  <c r="S458" i="1"/>
  <c r="AA458" i="1" s="1"/>
  <c r="R458" i="1"/>
  <c r="Q458" i="1"/>
  <c r="AB457" i="1"/>
  <c r="AA457" i="1"/>
  <c r="Z457" i="1"/>
  <c r="Y457" i="1"/>
  <c r="W457" i="1"/>
  <c r="V457" i="1"/>
  <c r="U457" i="1"/>
  <c r="T457" i="1"/>
  <c r="S457" i="1"/>
  <c r="R457" i="1"/>
  <c r="Q457" i="1"/>
  <c r="AB456" i="1"/>
  <c r="W456" i="1"/>
  <c r="Z456" i="1" s="1"/>
  <c r="V456" i="1"/>
  <c r="Y456" i="1" s="1"/>
  <c r="U456" i="1"/>
  <c r="T456" i="1"/>
  <c r="S456" i="1"/>
  <c r="AA456" i="1" s="1"/>
  <c r="R456" i="1"/>
  <c r="Q456" i="1"/>
  <c r="AB455" i="1"/>
  <c r="Z455" i="1"/>
  <c r="Y455" i="1"/>
  <c r="W455" i="1"/>
  <c r="V455" i="1"/>
  <c r="U455" i="1"/>
  <c r="T455" i="1"/>
  <c r="S455" i="1"/>
  <c r="AA455" i="1" s="1"/>
  <c r="R455" i="1"/>
  <c r="Q455" i="1"/>
  <c r="AB454" i="1"/>
  <c r="W454" i="1"/>
  <c r="Z454" i="1" s="1"/>
  <c r="V454" i="1"/>
  <c r="Y454" i="1" s="1"/>
  <c r="U454" i="1"/>
  <c r="T454" i="1"/>
  <c r="S454" i="1"/>
  <c r="AA454" i="1" s="1"/>
  <c r="R454" i="1"/>
  <c r="Q454" i="1"/>
  <c r="AB453" i="1"/>
  <c r="Z453" i="1"/>
  <c r="Y453" i="1"/>
  <c r="W453" i="1"/>
  <c r="V453" i="1"/>
  <c r="U453" i="1"/>
  <c r="T453" i="1"/>
  <c r="S453" i="1"/>
  <c r="AA453" i="1" s="1"/>
  <c r="R453" i="1"/>
  <c r="Q453" i="1"/>
  <c r="AB452" i="1"/>
  <c r="W452" i="1"/>
  <c r="Z452" i="1" s="1"/>
  <c r="V452" i="1"/>
  <c r="Y452" i="1" s="1"/>
  <c r="U452" i="1"/>
  <c r="T452" i="1"/>
  <c r="S452" i="1"/>
  <c r="AA452" i="1" s="1"/>
  <c r="R452" i="1"/>
  <c r="Q452" i="1"/>
  <c r="AB451" i="1"/>
  <c r="AA451" i="1"/>
  <c r="Z451" i="1"/>
  <c r="W451" i="1"/>
  <c r="V451" i="1"/>
  <c r="U451" i="1"/>
  <c r="T451" i="1"/>
  <c r="S451" i="1"/>
  <c r="R451" i="1"/>
  <c r="Q451" i="1"/>
  <c r="AB450" i="1"/>
  <c r="W450" i="1"/>
  <c r="Z450" i="1" s="1"/>
  <c r="V450" i="1"/>
  <c r="Y450" i="1" s="1"/>
  <c r="U450" i="1"/>
  <c r="T450" i="1"/>
  <c r="S450" i="1"/>
  <c r="AA450" i="1" s="1"/>
  <c r="R450" i="1"/>
  <c r="Q450" i="1"/>
  <c r="AB449" i="1"/>
  <c r="AA449" i="1"/>
  <c r="Z449" i="1"/>
  <c r="W449" i="1"/>
  <c r="V449" i="1"/>
  <c r="U449" i="1"/>
  <c r="T449" i="1"/>
  <c r="S449" i="1"/>
  <c r="R449" i="1"/>
  <c r="Q449" i="1"/>
  <c r="AB448" i="1"/>
  <c r="AA448" i="1"/>
  <c r="W448" i="1"/>
  <c r="Z448" i="1" s="1"/>
  <c r="V448" i="1"/>
  <c r="Y448" i="1" s="1"/>
  <c r="U448" i="1"/>
  <c r="T448" i="1"/>
  <c r="S448" i="1"/>
  <c r="R448" i="1"/>
  <c r="Q448" i="1"/>
  <c r="AB447" i="1"/>
  <c r="AA447" i="1"/>
  <c r="Z447" i="1"/>
  <c r="Y447" i="1"/>
  <c r="W447" i="1"/>
  <c r="V447" i="1"/>
  <c r="U447" i="1"/>
  <c r="T447" i="1"/>
  <c r="S447" i="1"/>
  <c r="R447" i="1"/>
  <c r="Q447" i="1"/>
  <c r="AB446" i="1"/>
  <c r="W446" i="1"/>
  <c r="Z446" i="1" s="1"/>
  <c r="V446" i="1"/>
  <c r="Y446" i="1" s="1"/>
  <c r="U446" i="1"/>
  <c r="X445" i="1" s="1"/>
  <c r="T446" i="1"/>
  <c r="S446" i="1"/>
  <c r="AA446" i="1" s="1"/>
  <c r="R446" i="1"/>
  <c r="Q446" i="1"/>
  <c r="AB445" i="1"/>
  <c r="AA445" i="1"/>
  <c r="Y445" i="1"/>
  <c r="W445" i="1"/>
  <c r="Z445" i="1" s="1"/>
  <c r="V445" i="1"/>
  <c r="U445" i="1"/>
  <c r="T445" i="1"/>
  <c r="S445" i="1"/>
  <c r="R445" i="1"/>
  <c r="Q445" i="1"/>
  <c r="AB444" i="1"/>
  <c r="X444" i="1"/>
  <c r="W444" i="1"/>
  <c r="Z444" i="1" s="1"/>
  <c r="V444" i="1"/>
  <c r="Y444" i="1" s="1"/>
  <c r="U444" i="1"/>
  <c r="T444" i="1"/>
  <c r="AA444" i="1" s="1"/>
  <c r="S444" i="1"/>
  <c r="R444" i="1"/>
  <c r="Q444" i="1"/>
  <c r="AB443" i="1"/>
  <c r="Y443" i="1"/>
  <c r="X443" i="1"/>
  <c r="W443" i="1"/>
  <c r="Z443" i="1" s="1"/>
  <c r="V443" i="1"/>
  <c r="U443" i="1"/>
  <c r="T443" i="1"/>
  <c r="S443" i="1"/>
  <c r="AA443" i="1" s="1"/>
  <c r="R443" i="1"/>
  <c r="Q443" i="1"/>
  <c r="AB442" i="1"/>
  <c r="AA442" i="1"/>
  <c r="W442" i="1"/>
  <c r="Z442" i="1" s="1"/>
  <c r="V442" i="1"/>
  <c r="Y442" i="1" s="1"/>
  <c r="U442" i="1"/>
  <c r="X441" i="1" s="1"/>
  <c r="T442" i="1"/>
  <c r="S442" i="1"/>
  <c r="R442" i="1"/>
  <c r="Q442" i="1"/>
  <c r="AB441" i="1"/>
  <c r="Z441" i="1"/>
  <c r="Y441" i="1"/>
  <c r="W441" i="1"/>
  <c r="V441" i="1"/>
  <c r="U441" i="1"/>
  <c r="T441" i="1"/>
  <c r="S441" i="1"/>
  <c r="AA441" i="1" s="1"/>
  <c r="R441" i="1"/>
  <c r="Q441" i="1"/>
  <c r="AB440" i="1"/>
  <c r="X440" i="1"/>
  <c r="W440" i="1"/>
  <c r="Z440" i="1" s="1"/>
  <c r="V440" i="1"/>
  <c r="Y440" i="1" s="1"/>
  <c r="U440" i="1"/>
  <c r="T440" i="1"/>
  <c r="S440" i="1"/>
  <c r="AA440" i="1" s="1"/>
  <c r="R440" i="1"/>
  <c r="Q440" i="1"/>
  <c r="AB439" i="1"/>
  <c r="Y439" i="1"/>
  <c r="X439" i="1"/>
  <c r="W439" i="1"/>
  <c r="Z439" i="1" s="1"/>
  <c r="V439" i="1"/>
  <c r="U439" i="1"/>
  <c r="T439" i="1"/>
  <c r="S439" i="1"/>
  <c r="AA439" i="1" s="1"/>
  <c r="R439" i="1"/>
  <c r="Q439" i="1"/>
  <c r="AB438" i="1"/>
  <c r="AA438" i="1"/>
  <c r="W438" i="1"/>
  <c r="V438" i="1"/>
  <c r="Y438" i="1" s="1"/>
  <c r="U438" i="1"/>
  <c r="X438" i="1" s="1"/>
  <c r="T438" i="1"/>
  <c r="S438" i="1"/>
  <c r="R438" i="1"/>
  <c r="Q438" i="1"/>
  <c r="AB437" i="1"/>
  <c r="Z437" i="1"/>
  <c r="X437" i="1"/>
  <c r="W437" i="1"/>
  <c r="V437" i="1"/>
  <c r="U437" i="1"/>
  <c r="T437" i="1"/>
  <c r="S437" i="1"/>
  <c r="AA437" i="1" s="1"/>
  <c r="R437" i="1"/>
  <c r="Q437" i="1"/>
  <c r="AB436" i="1"/>
  <c r="X436" i="1"/>
  <c r="W436" i="1"/>
  <c r="Z436" i="1" s="1"/>
  <c r="V436" i="1"/>
  <c r="Y436" i="1" s="1"/>
  <c r="U436" i="1"/>
  <c r="T436" i="1"/>
  <c r="AA436" i="1" s="1"/>
  <c r="S436" i="1"/>
  <c r="R436" i="1"/>
  <c r="Q436" i="1"/>
  <c r="AB435" i="1"/>
  <c r="Y435" i="1"/>
  <c r="X435" i="1"/>
  <c r="W435" i="1"/>
  <c r="Z435" i="1" s="1"/>
  <c r="V435" i="1"/>
  <c r="U435" i="1"/>
  <c r="T435" i="1"/>
  <c r="S435" i="1"/>
  <c r="AA435" i="1" s="1"/>
  <c r="R435" i="1"/>
  <c r="Q435" i="1"/>
  <c r="AB434" i="1"/>
  <c r="AA434" i="1"/>
  <c r="W434" i="1"/>
  <c r="Z434" i="1" s="1"/>
  <c r="V434" i="1"/>
  <c r="Y434" i="1" s="1"/>
  <c r="U434" i="1"/>
  <c r="X433" i="1" s="1"/>
  <c r="T434" i="1"/>
  <c r="S434" i="1"/>
  <c r="R434" i="1"/>
  <c r="Q434" i="1"/>
  <c r="AB433" i="1"/>
  <c r="Z433" i="1"/>
  <c r="W433" i="1"/>
  <c r="V433" i="1"/>
  <c r="U433" i="1"/>
  <c r="T433" i="1"/>
  <c r="S433" i="1"/>
  <c r="AA433" i="1" s="1"/>
  <c r="R433" i="1"/>
  <c r="Q433" i="1"/>
  <c r="AB432" i="1"/>
  <c r="X432" i="1"/>
  <c r="W432" i="1"/>
  <c r="Z432" i="1" s="1"/>
  <c r="V432" i="1"/>
  <c r="Y432" i="1" s="1"/>
  <c r="U432" i="1"/>
  <c r="T432" i="1"/>
  <c r="S432" i="1"/>
  <c r="AA432" i="1" s="1"/>
  <c r="R432" i="1"/>
  <c r="Q432" i="1"/>
  <c r="AB431" i="1"/>
  <c r="Y431" i="1"/>
  <c r="X431" i="1"/>
  <c r="W431" i="1"/>
  <c r="Z431" i="1" s="1"/>
  <c r="V431" i="1"/>
  <c r="U431" i="1"/>
  <c r="T431" i="1"/>
  <c r="S431" i="1"/>
  <c r="AA431" i="1" s="1"/>
  <c r="R431" i="1"/>
  <c r="Q431" i="1"/>
  <c r="AB430" i="1"/>
  <c r="AA430" i="1"/>
  <c r="W430" i="1"/>
  <c r="V430" i="1"/>
  <c r="Y430" i="1" s="1"/>
  <c r="U430" i="1"/>
  <c r="X430" i="1" s="1"/>
  <c r="T430" i="1"/>
  <c r="S430" i="1"/>
  <c r="R430" i="1"/>
  <c r="Q430" i="1"/>
  <c r="AB429" i="1"/>
  <c r="Z429" i="1"/>
  <c r="X429" i="1"/>
  <c r="W429" i="1"/>
  <c r="V429" i="1"/>
  <c r="U429" i="1"/>
  <c r="T429" i="1"/>
  <c r="S429" i="1"/>
  <c r="AA429" i="1" s="1"/>
  <c r="R429" i="1"/>
  <c r="Q429" i="1"/>
  <c r="AB428" i="1"/>
  <c r="X428" i="1"/>
  <c r="W428" i="1"/>
  <c r="Z428" i="1" s="1"/>
  <c r="V428" i="1"/>
  <c r="Y428" i="1" s="1"/>
  <c r="U428" i="1"/>
  <c r="T428" i="1"/>
  <c r="AA428" i="1" s="1"/>
  <c r="S428" i="1"/>
  <c r="R428" i="1"/>
  <c r="Q428" i="1"/>
  <c r="AB427" i="1"/>
  <c r="Y427" i="1"/>
  <c r="X427" i="1"/>
  <c r="W427" i="1"/>
  <c r="Z427" i="1" s="1"/>
  <c r="V427" i="1"/>
  <c r="U427" i="1"/>
  <c r="T427" i="1"/>
  <c r="S427" i="1"/>
  <c r="AA427" i="1" s="1"/>
  <c r="R427" i="1"/>
  <c r="Q427" i="1"/>
  <c r="AB426" i="1"/>
  <c r="AA426" i="1"/>
  <c r="W426" i="1"/>
  <c r="Z426" i="1" s="1"/>
  <c r="V426" i="1"/>
  <c r="Y426" i="1" s="1"/>
  <c r="U426" i="1"/>
  <c r="X425" i="1" s="1"/>
  <c r="T426" i="1"/>
  <c r="S426" i="1"/>
  <c r="R426" i="1"/>
  <c r="Q426" i="1"/>
  <c r="AB425" i="1"/>
  <c r="Z425" i="1"/>
  <c r="W425" i="1"/>
  <c r="V425" i="1"/>
  <c r="U425" i="1"/>
  <c r="T425" i="1"/>
  <c r="S425" i="1"/>
  <c r="AA425" i="1" s="1"/>
  <c r="R425" i="1"/>
  <c r="Q425" i="1"/>
  <c r="AB424" i="1"/>
  <c r="X424" i="1"/>
  <c r="W424" i="1"/>
  <c r="Z424" i="1" s="1"/>
  <c r="V424" i="1"/>
  <c r="Y424" i="1" s="1"/>
  <c r="U424" i="1"/>
  <c r="T424" i="1"/>
  <c r="S424" i="1"/>
  <c r="AA424" i="1" s="1"/>
  <c r="R424" i="1"/>
  <c r="Q424" i="1"/>
  <c r="AB423" i="1"/>
  <c r="Y423" i="1"/>
  <c r="X423" i="1"/>
  <c r="W423" i="1"/>
  <c r="Z423" i="1" s="1"/>
  <c r="V423" i="1"/>
  <c r="U423" i="1"/>
  <c r="T423" i="1"/>
  <c r="S423" i="1"/>
  <c r="AA423" i="1" s="1"/>
  <c r="R423" i="1"/>
  <c r="Q423" i="1"/>
  <c r="AB422" i="1"/>
  <c r="AA422" i="1"/>
  <c r="W422" i="1"/>
  <c r="V422" i="1"/>
  <c r="Y422" i="1" s="1"/>
  <c r="U422" i="1"/>
  <c r="X422" i="1" s="1"/>
  <c r="T422" i="1"/>
  <c r="S422" i="1"/>
  <c r="R422" i="1"/>
  <c r="Q422" i="1"/>
  <c r="AB421" i="1"/>
  <c r="Z421" i="1"/>
  <c r="X421" i="1"/>
  <c r="W421" i="1"/>
  <c r="V421" i="1"/>
  <c r="U421" i="1"/>
  <c r="T421" i="1"/>
  <c r="S421" i="1"/>
  <c r="AA421" i="1" s="1"/>
  <c r="R421" i="1"/>
  <c r="Q421" i="1"/>
  <c r="AB420" i="1"/>
  <c r="X420" i="1"/>
  <c r="W420" i="1"/>
  <c r="Z420" i="1" s="1"/>
  <c r="V420" i="1"/>
  <c r="Y420" i="1" s="1"/>
  <c r="U420" i="1"/>
  <c r="T420" i="1"/>
  <c r="AA420" i="1" s="1"/>
  <c r="S420" i="1"/>
  <c r="R420" i="1"/>
  <c r="Q420" i="1"/>
  <c r="AB419" i="1"/>
  <c r="X419" i="1"/>
  <c r="W419" i="1"/>
  <c r="Z419" i="1" s="1"/>
  <c r="V419" i="1"/>
  <c r="Y419" i="1" s="1"/>
  <c r="U419" i="1"/>
  <c r="T419" i="1"/>
  <c r="S419" i="1"/>
  <c r="AA419" i="1" s="1"/>
  <c r="R419" i="1"/>
  <c r="Q419" i="1"/>
  <c r="AB418" i="1"/>
  <c r="X418" i="1"/>
  <c r="W418" i="1"/>
  <c r="Z418" i="1" s="1"/>
  <c r="V418" i="1"/>
  <c r="Y418" i="1" s="1"/>
  <c r="U418" i="1"/>
  <c r="T418" i="1"/>
  <c r="S418" i="1"/>
  <c r="AA418" i="1" s="1"/>
  <c r="R418" i="1"/>
  <c r="Q418" i="1"/>
  <c r="AB417" i="1"/>
  <c r="X417" i="1"/>
  <c r="W417" i="1"/>
  <c r="Z417" i="1" s="1"/>
  <c r="V417" i="1"/>
  <c r="Y417" i="1" s="1"/>
  <c r="U417" i="1"/>
  <c r="T417" i="1"/>
  <c r="S417" i="1"/>
  <c r="AA417" i="1" s="1"/>
  <c r="R417" i="1"/>
  <c r="Q417" i="1"/>
  <c r="AB416" i="1"/>
  <c r="AA416" i="1"/>
  <c r="W416" i="1"/>
  <c r="Z416" i="1" s="1"/>
  <c r="V416" i="1"/>
  <c r="Y416" i="1" s="1"/>
  <c r="U416" i="1"/>
  <c r="X415" i="1" s="1"/>
  <c r="T416" i="1"/>
  <c r="S416" i="1"/>
  <c r="R416" i="1"/>
  <c r="Q416" i="1"/>
  <c r="AB415" i="1"/>
  <c r="Z415" i="1"/>
  <c r="W415" i="1"/>
  <c r="V415" i="1"/>
  <c r="Y415" i="1" s="1"/>
  <c r="U415" i="1"/>
  <c r="T415" i="1"/>
  <c r="S415" i="1"/>
  <c r="AA415" i="1" s="1"/>
  <c r="R415" i="1"/>
  <c r="Q415" i="1"/>
  <c r="AB414" i="1"/>
  <c r="Z414" i="1"/>
  <c r="W414" i="1"/>
  <c r="Z413" i="1" s="1"/>
  <c r="V414" i="1"/>
  <c r="U414" i="1"/>
  <c r="X414" i="1" s="1"/>
  <c r="T414" i="1"/>
  <c r="AA414" i="1" s="1"/>
  <c r="S414" i="1"/>
  <c r="R414" i="1"/>
  <c r="Q414" i="1"/>
  <c r="AB413" i="1"/>
  <c r="Y413" i="1"/>
  <c r="W413" i="1"/>
  <c r="V413" i="1"/>
  <c r="U413" i="1"/>
  <c r="T413" i="1"/>
  <c r="S413" i="1"/>
  <c r="AA413" i="1" s="1"/>
  <c r="R413" i="1"/>
  <c r="Q413" i="1"/>
  <c r="AB412" i="1"/>
  <c r="X412" i="1"/>
  <c r="W412" i="1"/>
  <c r="Z412" i="1" s="1"/>
  <c r="V412" i="1"/>
  <c r="Y412" i="1" s="1"/>
  <c r="U412" i="1"/>
  <c r="T412" i="1"/>
  <c r="S412" i="1"/>
  <c r="AA412" i="1" s="1"/>
  <c r="R412" i="1"/>
  <c r="Q412" i="1"/>
  <c r="AB411" i="1"/>
  <c r="Y411" i="1"/>
  <c r="X411" i="1"/>
  <c r="W411" i="1"/>
  <c r="Z411" i="1" s="1"/>
  <c r="V411" i="1"/>
  <c r="U411" i="1"/>
  <c r="T411" i="1"/>
  <c r="S411" i="1"/>
  <c r="AA411" i="1" s="1"/>
  <c r="R411" i="1"/>
  <c r="Q411" i="1"/>
  <c r="AB410" i="1"/>
  <c r="X410" i="1"/>
  <c r="W410" i="1"/>
  <c r="Z410" i="1" s="1"/>
  <c r="V410" i="1"/>
  <c r="Y410" i="1" s="1"/>
  <c r="U410" i="1"/>
  <c r="T410" i="1"/>
  <c r="S410" i="1"/>
  <c r="AA410" i="1" s="1"/>
  <c r="R410" i="1"/>
  <c r="Q410" i="1"/>
  <c r="AB409" i="1"/>
  <c r="Y409" i="1"/>
  <c r="X409" i="1"/>
  <c r="W409" i="1"/>
  <c r="Z409" i="1" s="1"/>
  <c r="V409" i="1"/>
  <c r="U409" i="1"/>
  <c r="T409" i="1"/>
  <c r="S409" i="1"/>
  <c r="AA409" i="1" s="1"/>
  <c r="R409" i="1"/>
  <c r="Q409" i="1"/>
  <c r="AB408" i="1"/>
  <c r="X408" i="1"/>
  <c r="W408" i="1"/>
  <c r="Z408" i="1" s="1"/>
  <c r="V408" i="1"/>
  <c r="Y408" i="1" s="1"/>
  <c r="U408" i="1"/>
  <c r="T408" i="1"/>
  <c r="S408" i="1"/>
  <c r="AA408" i="1" s="1"/>
  <c r="R408" i="1"/>
  <c r="Q408" i="1"/>
  <c r="AB407" i="1"/>
  <c r="Y407" i="1"/>
  <c r="X407" i="1"/>
  <c r="W407" i="1"/>
  <c r="Z407" i="1" s="1"/>
  <c r="V407" i="1"/>
  <c r="U407" i="1"/>
  <c r="T407" i="1"/>
  <c r="S407" i="1"/>
  <c r="AA407" i="1" s="1"/>
  <c r="R407" i="1"/>
  <c r="Q407" i="1"/>
  <c r="AB406" i="1"/>
  <c r="X406" i="1"/>
  <c r="W406" i="1"/>
  <c r="Z406" i="1" s="1"/>
  <c r="V406" i="1"/>
  <c r="Y406" i="1" s="1"/>
  <c r="U406" i="1"/>
  <c r="T406" i="1"/>
  <c r="S406" i="1"/>
  <c r="AA406" i="1" s="1"/>
  <c r="R406" i="1"/>
  <c r="Q406" i="1"/>
  <c r="AB405" i="1"/>
  <c r="Y405" i="1"/>
  <c r="X405" i="1"/>
  <c r="W405" i="1"/>
  <c r="Z405" i="1" s="1"/>
  <c r="V405" i="1"/>
  <c r="U405" i="1"/>
  <c r="T405" i="1"/>
  <c r="S405" i="1"/>
  <c r="AA405" i="1" s="1"/>
  <c r="R405" i="1"/>
  <c r="Q405" i="1"/>
  <c r="AB404" i="1"/>
  <c r="X404" i="1"/>
  <c r="W404" i="1"/>
  <c r="Z404" i="1" s="1"/>
  <c r="V404" i="1"/>
  <c r="Y404" i="1" s="1"/>
  <c r="U404" i="1"/>
  <c r="T404" i="1"/>
  <c r="S404" i="1"/>
  <c r="AA404" i="1" s="1"/>
  <c r="R404" i="1"/>
  <c r="Q404" i="1"/>
  <c r="AB403" i="1"/>
  <c r="Y403" i="1"/>
  <c r="X403" i="1"/>
  <c r="W403" i="1"/>
  <c r="Z403" i="1" s="1"/>
  <c r="V403" i="1"/>
  <c r="U403" i="1"/>
  <c r="T403" i="1"/>
  <c r="S403" i="1"/>
  <c r="AA403" i="1" s="1"/>
  <c r="R403" i="1"/>
  <c r="Q403" i="1"/>
  <c r="AB402" i="1"/>
  <c r="X402" i="1"/>
  <c r="W402" i="1"/>
  <c r="Z402" i="1" s="1"/>
  <c r="V402" i="1"/>
  <c r="Y402" i="1" s="1"/>
  <c r="U402" i="1"/>
  <c r="T402" i="1"/>
  <c r="S402" i="1"/>
  <c r="AA402" i="1" s="1"/>
  <c r="R402" i="1"/>
  <c r="Q402" i="1"/>
  <c r="AB401" i="1"/>
  <c r="Y401" i="1"/>
  <c r="X401" i="1"/>
  <c r="W401" i="1"/>
  <c r="Z401" i="1" s="1"/>
  <c r="V401" i="1"/>
  <c r="U401" i="1"/>
  <c r="T401" i="1"/>
  <c r="S401" i="1"/>
  <c r="AA401" i="1" s="1"/>
  <c r="R401" i="1"/>
  <c r="Q401" i="1"/>
  <c r="AB400" i="1"/>
  <c r="X400" i="1"/>
  <c r="W400" i="1"/>
  <c r="Z400" i="1" s="1"/>
  <c r="V400" i="1"/>
  <c r="Y400" i="1" s="1"/>
  <c r="U400" i="1"/>
  <c r="T400" i="1"/>
  <c r="S400" i="1"/>
  <c r="AA400" i="1" s="1"/>
  <c r="R400" i="1"/>
  <c r="Q400" i="1"/>
  <c r="AB399" i="1"/>
  <c r="Y399" i="1"/>
  <c r="X399" i="1"/>
  <c r="W399" i="1"/>
  <c r="Z399" i="1" s="1"/>
  <c r="V399" i="1"/>
  <c r="U399" i="1"/>
  <c r="T399" i="1"/>
  <c r="S399" i="1"/>
  <c r="AA399" i="1" s="1"/>
  <c r="R399" i="1"/>
  <c r="Q399" i="1"/>
  <c r="AB398" i="1"/>
  <c r="X398" i="1"/>
  <c r="W398" i="1"/>
  <c r="Z398" i="1" s="1"/>
  <c r="V398" i="1"/>
  <c r="Y398" i="1" s="1"/>
  <c r="U398" i="1"/>
  <c r="T398" i="1"/>
  <c r="S398" i="1"/>
  <c r="AA398" i="1" s="1"/>
  <c r="R398" i="1"/>
  <c r="Q398" i="1"/>
  <c r="AB397" i="1"/>
  <c r="Y397" i="1"/>
  <c r="X397" i="1"/>
  <c r="W397" i="1"/>
  <c r="Z397" i="1" s="1"/>
  <c r="V397" i="1"/>
  <c r="U397" i="1"/>
  <c r="T397" i="1"/>
  <c r="S397" i="1"/>
  <c r="AA397" i="1" s="1"/>
  <c r="R397" i="1"/>
  <c r="Q397" i="1"/>
  <c r="AB396" i="1"/>
  <c r="X396" i="1"/>
  <c r="W396" i="1"/>
  <c r="Z396" i="1" s="1"/>
  <c r="V396" i="1"/>
  <c r="Y396" i="1" s="1"/>
  <c r="U396" i="1"/>
  <c r="T396" i="1"/>
  <c r="S396" i="1"/>
  <c r="AA396" i="1" s="1"/>
  <c r="R396" i="1"/>
  <c r="Q396" i="1"/>
  <c r="AB395" i="1"/>
  <c r="Y395" i="1"/>
  <c r="X395" i="1"/>
  <c r="W395" i="1"/>
  <c r="Z395" i="1" s="1"/>
  <c r="V395" i="1"/>
  <c r="U395" i="1"/>
  <c r="T395" i="1"/>
  <c r="S395" i="1"/>
  <c r="AA395" i="1" s="1"/>
  <c r="R395" i="1"/>
  <c r="Q395" i="1"/>
  <c r="AB394" i="1"/>
  <c r="X394" i="1"/>
  <c r="W394" i="1"/>
  <c r="Z394" i="1" s="1"/>
  <c r="V394" i="1"/>
  <c r="Y394" i="1" s="1"/>
  <c r="U394" i="1"/>
  <c r="T394" i="1"/>
  <c r="S394" i="1"/>
  <c r="AA394" i="1" s="1"/>
  <c r="R394" i="1"/>
  <c r="Q394" i="1"/>
  <c r="AB393" i="1"/>
  <c r="Y393" i="1"/>
  <c r="X393" i="1"/>
  <c r="W393" i="1"/>
  <c r="Z393" i="1" s="1"/>
  <c r="V393" i="1"/>
  <c r="U393" i="1"/>
  <c r="T393" i="1"/>
  <c r="S393" i="1"/>
  <c r="AA393" i="1" s="1"/>
  <c r="R393" i="1"/>
  <c r="Q393" i="1"/>
  <c r="AB392" i="1"/>
  <c r="X392" i="1"/>
  <c r="W392" i="1"/>
  <c r="Z392" i="1" s="1"/>
  <c r="V392" i="1"/>
  <c r="Y392" i="1" s="1"/>
  <c r="U392" i="1"/>
  <c r="T392" i="1"/>
  <c r="S392" i="1"/>
  <c r="AA392" i="1" s="1"/>
  <c r="R392" i="1"/>
  <c r="Q392" i="1"/>
  <c r="AB391" i="1"/>
  <c r="Y391" i="1"/>
  <c r="X391" i="1"/>
  <c r="W391" i="1"/>
  <c r="Z391" i="1" s="1"/>
  <c r="V391" i="1"/>
  <c r="U391" i="1"/>
  <c r="T391" i="1"/>
  <c r="S391" i="1"/>
  <c r="AA391" i="1" s="1"/>
  <c r="R391" i="1"/>
  <c r="Q391" i="1"/>
  <c r="AB390" i="1"/>
  <c r="X390" i="1"/>
  <c r="W390" i="1"/>
  <c r="Z390" i="1" s="1"/>
  <c r="V390" i="1"/>
  <c r="Y390" i="1" s="1"/>
  <c r="U390" i="1"/>
  <c r="T390" i="1"/>
  <c r="S390" i="1"/>
  <c r="AA390" i="1" s="1"/>
  <c r="R390" i="1"/>
  <c r="Q390" i="1"/>
  <c r="AB389" i="1"/>
  <c r="Y389" i="1"/>
  <c r="X389" i="1"/>
  <c r="W389" i="1"/>
  <c r="Z389" i="1" s="1"/>
  <c r="V389" i="1"/>
  <c r="U389" i="1"/>
  <c r="T389" i="1"/>
  <c r="S389" i="1"/>
  <c r="AA389" i="1" s="1"/>
  <c r="R389" i="1"/>
  <c r="Q389" i="1"/>
  <c r="AB388" i="1"/>
  <c r="X388" i="1"/>
  <c r="W388" i="1"/>
  <c r="Z388" i="1" s="1"/>
  <c r="V388" i="1"/>
  <c r="Y388" i="1" s="1"/>
  <c r="U388" i="1"/>
  <c r="T388" i="1"/>
  <c r="S388" i="1"/>
  <c r="AA388" i="1" s="1"/>
  <c r="R388" i="1"/>
  <c r="Q388" i="1"/>
  <c r="AB387" i="1"/>
  <c r="Y387" i="1"/>
  <c r="X387" i="1"/>
  <c r="W387" i="1"/>
  <c r="Z387" i="1" s="1"/>
  <c r="V387" i="1"/>
  <c r="U387" i="1"/>
  <c r="T387" i="1"/>
  <c r="S387" i="1"/>
  <c r="AA387" i="1" s="1"/>
  <c r="R387" i="1"/>
  <c r="Q387" i="1"/>
  <c r="AB386" i="1"/>
  <c r="X386" i="1"/>
  <c r="W386" i="1"/>
  <c r="Z386" i="1" s="1"/>
  <c r="V386" i="1"/>
  <c r="Y386" i="1" s="1"/>
  <c r="U386" i="1"/>
  <c r="T386" i="1"/>
  <c r="S386" i="1"/>
  <c r="AA386" i="1" s="1"/>
  <c r="R386" i="1"/>
  <c r="Q386" i="1"/>
  <c r="AB385" i="1"/>
  <c r="Y385" i="1"/>
  <c r="X385" i="1"/>
  <c r="W385" i="1"/>
  <c r="Z385" i="1" s="1"/>
  <c r="V385" i="1"/>
  <c r="U385" i="1"/>
  <c r="T385" i="1"/>
  <c r="S385" i="1"/>
  <c r="AA385" i="1" s="1"/>
  <c r="R385" i="1"/>
  <c r="Q385" i="1"/>
  <c r="AB384" i="1"/>
  <c r="X384" i="1"/>
  <c r="W384" i="1"/>
  <c r="Z384" i="1" s="1"/>
  <c r="V384" i="1"/>
  <c r="Y384" i="1" s="1"/>
  <c r="U384" i="1"/>
  <c r="T384" i="1"/>
  <c r="S384" i="1"/>
  <c r="R384" i="1"/>
  <c r="Q384" i="1"/>
  <c r="AB383" i="1"/>
  <c r="Y383" i="1"/>
  <c r="X383" i="1"/>
  <c r="W383" i="1"/>
  <c r="Z383" i="1" s="1"/>
  <c r="V383" i="1"/>
  <c r="U383" i="1"/>
  <c r="T383" i="1"/>
  <c r="S383" i="1"/>
  <c r="AA383" i="1" s="1"/>
  <c r="R383" i="1"/>
  <c r="Q383" i="1"/>
  <c r="AB382" i="1"/>
  <c r="X382" i="1"/>
  <c r="W382" i="1"/>
  <c r="Z382" i="1" s="1"/>
  <c r="V382" i="1"/>
  <c r="Y382" i="1" s="1"/>
  <c r="U382" i="1"/>
  <c r="T382" i="1"/>
  <c r="S382" i="1"/>
  <c r="AA382" i="1" s="1"/>
  <c r="R382" i="1"/>
  <c r="Q382" i="1"/>
  <c r="AB381" i="1"/>
  <c r="Y381" i="1"/>
  <c r="X381" i="1"/>
  <c r="W381" i="1"/>
  <c r="Z381" i="1" s="1"/>
  <c r="V381" i="1"/>
  <c r="U381" i="1"/>
  <c r="T381" i="1"/>
  <c r="S381" i="1"/>
  <c r="AA381" i="1" s="1"/>
  <c r="R381" i="1"/>
  <c r="Q381" i="1"/>
  <c r="AB380" i="1"/>
  <c r="X380" i="1"/>
  <c r="W380" i="1"/>
  <c r="Z380" i="1" s="1"/>
  <c r="V380" i="1"/>
  <c r="Y380" i="1" s="1"/>
  <c r="U380" i="1"/>
  <c r="T380" i="1"/>
  <c r="S380" i="1"/>
  <c r="AA380" i="1" s="1"/>
  <c r="R380" i="1"/>
  <c r="Q380" i="1"/>
  <c r="AB379" i="1"/>
  <c r="Y379" i="1"/>
  <c r="X379" i="1"/>
  <c r="W379" i="1"/>
  <c r="Z379" i="1" s="1"/>
  <c r="V379" i="1"/>
  <c r="U379" i="1"/>
  <c r="T379" i="1"/>
  <c r="S379" i="1"/>
  <c r="AA379" i="1" s="1"/>
  <c r="R379" i="1"/>
  <c r="Q379" i="1"/>
  <c r="AB378" i="1"/>
  <c r="X378" i="1"/>
  <c r="W378" i="1"/>
  <c r="Z378" i="1" s="1"/>
  <c r="V378" i="1"/>
  <c r="Y378" i="1" s="1"/>
  <c r="U378" i="1"/>
  <c r="T378" i="1"/>
  <c r="S378" i="1"/>
  <c r="R378" i="1"/>
  <c r="Q378" i="1"/>
  <c r="AB377" i="1"/>
  <c r="Y377" i="1"/>
  <c r="X377" i="1"/>
  <c r="W377" i="1"/>
  <c r="Z377" i="1" s="1"/>
  <c r="V377" i="1"/>
  <c r="U377" i="1"/>
  <c r="T377" i="1"/>
  <c r="S377" i="1"/>
  <c r="AA377" i="1" s="1"/>
  <c r="R377" i="1"/>
  <c r="Q377" i="1"/>
  <c r="AB376" i="1"/>
  <c r="X376" i="1"/>
  <c r="W376" i="1"/>
  <c r="Z376" i="1" s="1"/>
  <c r="V376" i="1"/>
  <c r="Y376" i="1" s="1"/>
  <c r="U376" i="1"/>
  <c r="T376" i="1"/>
  <c r="S376" i="1"/>
  <c r="R376" i="1"/>
  <c r="Q376" i="1"/>
  <c r="AB375" i="1"/>
  <c r="Y375" i="1"/>
  <c r="X375" i="1"/>
  <c r="W375" i="1"/>
  <c r="Z375" i="1" s="1"/>
  <c r="V375" i="1"/>
  <c r="U375" i="1"/>
  <c r="T375" i="1"/>
  <c r="S375" i="1"/>
  <c r="AA375" i="1" s="1"/>
  <c r="R375" i="1"/>
  <c r="Q375" i="1"/>
  <c r="AB374" i="1"/>
  <c r="X374" i="1"/>
  <c r="W374" i="1"/>
  <c r="Z374" i="1" s="1"/>
  <c r="V374" i="1"/>
  <c r="Y374" i="1" s="1"/>
  <c r="U374" i="1"/>
  <c r="T374" i="1"/>
  <c r="S374" i="1"/>
  <c r="AA374" i="1" s="1"/>
  <c r="R374" i="1"/>
  <c r="Q374" i="1"/>
  <c r="AB373" i="1"/>
  <c r="Y373" i="1"/>
  <c r="X373" i="1"/>
  <c r="W373" i="1"/>
  <c r="Z373" i="1" s="1"/>
  <c r="V373" i="1"/>
  <c r="U373" i="1"/>
  <c r="T373" i="1"/>
  <c r="S373" i="1"/>
  <c r="AA373" i="1" s="1"/>
  <c r="R373" i="1"/>
  <c r="Q373" i="1"/>
  <c r="AB372" i="1"/>
  <c r="X372" i="1"/>
  <c r="W372" i="1"/>
  <c r="Z372" i="1" s="1"/>
  <c r="V372" i="1"/>
  <c r="Y372" i="1" s="1"/>
  <c r="U372" i="1"/>
  <c r="T372" i="1"/>
  <c r="S372" i="1"/>
  <c r="R372" i="1"/>
  <c r="Q372" i="1"/>
  <c r="AB371" i="1"/>
  <c r="Y371" i="1"/>
  <c r="X371" i="1"/>
  <c r="W371" i="1"/>
  <c r="Z371" i="1" s="1"/>
  <c r="V371" i="1"/>
  <c r="U371" i="1"/>
  <c r="T371" i="1"/>
  <c r="S371" i="1"/>
  <c r="R371" i="1"/>
  <c r="Q371" i="1"/>
  <c r="AB370" i="1"/>
  <c r="X370" i="1"/>
  <c r="W370" i="1"/>
  <c r="Z370" i="1" s="1"/>
  <c r="V370" i="1"/>
  <c r="Y370" i="1" s="1"/>
  <c r="U370" i="1"/>
  <c r="T370" i="1"/>
  <c r="S370" i="1"/>
  <c r="AA370" i="1" s="1"/>
  <c r="R370" i="1"/>
  <c r="Q370" i="1"/>
  <c r="AB369" i="1"/>
  <c r="Y369" i="1"/>
  <c r="X369" i="1"/>
  <c r="W369" i="1"/>
  <c r="Z369" i="1" s="1"/>
  <c r="V369" i="1"/>
  <c r="U369" i="1"/>
  <c r="T369" i="1"/>
  <c r="S369" i="1"/>
  <c r="AA369" i="1" s="1"/>
  <c r="R369" i="1"/>
  <c r="Q369" i="1"/>
  <c r="AB368" i="1"/>
  <c r="X368" i="1"/>
  <c r="W368" i="1"/>
  <c r="Z368" i="1" s="1"/>
  <c r="V368" i="1"/>
  <c r="Y368" i="1" s="1"/>
  <c r="U368" i="1"/>
  <c r="T368" i="1"/>
  <c r="S368" i="1"/>
  <c r="R368" i="1"/>
  <c r="Q368" i="1"/>
  <c r="AB367" i="1"/>
  <c r="Y367" i="1"/>
  <c r="X367" i="1"/>
  <c r="W367" i="1"/>
  <c r="Z367" i="1" s="1"/>
  <c r="V367" i="1"/>
  <c r="U367" i="1"/>
  <c r="T367" i="1"/>
  <c r="S367" i="1"/>
  <c r="R367" i="1"/>
  <c r="Q367" i="1"/>
  <c r="AB366" i="1"/>
  <c r="X366" i="1"/>
  <c r="W366" i="1"/>
  <c r="Z366" i="1" s="1"/>
  <c r="V366" i="1"/>
  <c r="Y366" i="1" s="1"/>
  <c r="U366" i="1"/>
  <c r="T366" i="1"/>
  <c r="S366" i="1"/>
  <c r="AA366" i="1" s="1"/>
  <c r="R366" i="1"/>
  <c r="Q366" i="1"/>
  <c r="AB365" i="1"/>
  <c r="Y365" i="1"/>
  <c r="X365" i="1"/>
  <c r="W365" i="1"/>
  <c r="Z365" i="1" s="1"/>
  <c r="V365" i="1"/>
  <c r="U365" i="1"/>
  <c r="T365" i="1"/>
  <c r="S365" i="1"/>
  <c r="AA365" i="1" s="1"/>
  <c r="R365" i="1"/>
  <c r="Q365" i="1"/>
  <c r="AB364" i="1"/>
  <c r="X364" i="1"/>
  <c r="W364" i="1"/>
  <c r="Z364" i="1" s="1"/>
  <c r="V364" i="1"/>
  <c r="Y364" i="1" s="1"/>
  <c r="U364" i="1"/>
  <c r="T364" i="1"/>
  <c r="S364" i="1"/>
  <c r="AA364" i="1" s="1"/>
  <c r="R364" i="1"/>
  <c r="Q364" i="1"/>
  <c r="AB363" i="1"/>
  <c r="Y363" i="1"/>
  <c r="X363" i="1"/>
  <c r="W363" i="1"/>
  <c r="Z363" i="1" s="1"/>
  <c r="V363" i="1"/>
  <c r="U363" i="1"/>
  <c r="T363" i="1"/>
  <c r="S363" i="1"/>
  <c r="R363" i="1"/>
  <c r="Q363" i="1"/>
  <c r="AB362" i="1"/>
  <c r="X362" i="1"/>
  <c r="W362" i="1"/>
  <c r="Z362" i="1" s="1"/>
  <c r="V362" i="1"/>
  <c r="Y362" i="1" s="1"/>
  <c r="U362" i="1"/>
  <c r="T362" i="1"/>
  <c r="S362" i="1"/>
  <c r="AA362" i="1" s="1"/>
  <c r="R362" i="1"/>
  <c r="Q362" i="1"/>
  <c r="AB361" i="1"/>
  <c r="Y361" i="1"/>
  <c r="X361" i="1"/>
  <c r="W361" i="1"/>
  <c r="Z361" i="1" s="1"/>
  <c r="V361" i="1"/>
  <c r="U361" i="1"/>
  <c r="T361" i="1"/>
  <c r="S361" i="1"/>
  <c r="AA361" i="1" s="1"/>
  <c r="R361" i="1"/>
  <c r="Q361" i="1"/>
  <c r="AB360" i="1"/>
  <c r="X360" i="1"/>
  <c r="W360" i="1"/>
  <c r="Z360" i="1" s="1"/>
  <c r="V360" i="1"/>
  <c r="Y360" i="1" s="1"/>
  <c r="U360" i="1"/>
  <c r="T360" i="1"/>
  <c r="S360" i="1"/>
  <c r="R360" i="1"/>
  <c r="Q360" i="1"/>
  <c r="AB359" i="1"/>
  <c r="Y359" i="1"/>
  <c r="X359" i="1"/>
  <c r="W359" i="1"/>
  <c r="Z359" i="1" s="1"/>
  <c r="V359" i="1"/>
  <c r="U359" i="1"/>
  <c r="T359" i="1"/>
  <c r="S359" i="1"/>
  <c r="AA359" i="1" s="1"/>
  <c r="R359" i="1"/>
  <c r="Q359" i="1"/>
  <c r="AB358" i="1"/>
  <c r="X358" i="1"/>
  <c r="W358" i="1"/>
  <c r="Z358" i="1" s="1"/>
  <c r="V358" i="1"/>
  <c r="Y358" i="1" s="1"/>
  <c r="U358" i="1"/>
  <c r="T358" i="1"/>
  <c r="S358" i="1"/>
  <c r="AA358" i="1" s="1"/>
  <c r="R358" i="1"/>
  <c r="Q358" i="1"/>
  <c r="AB357" i="1"/>
  <c r="Y357" i="1"/>
  <c r="X357" i="1"/>
  <c r="W357" i="1"/>
  <c r="Z357" i="1" s="1"/>
  <c r="V357" i="1"/>
  <c r="U357" i="1"/>
  <c r="T357" i="1"/>
  <c r="S357" i="1"/>
  <c r="AA357" i="1" s="1"/>
  <c r="R357" i="1"/>
  <c r="Q357" i="1"/>
  <c r="AB356" i="1"/>
  <c r="X356" i="1"/>
  <c r="W356" i="1"/>
  <c r="Z356" i="1" s="1"/>
  <c r="V356" i="1"/>
  <c r="Y356" i="1" s="1"/>
  <c r="U356" i="1"/>
  <c r="T356" i="1"/>
  <c r="S356" i="1"/>
  <c r="R356" i="1"/>
  <c r="Q356" i="1"/>
  <c r="AB355" i="1"/>
  <c r="Y355" i="1"/>
  <c r="X355" i="1"/>
  <c r="W355" i="1"/>
  <c r="Z355" i="1" s="1"/>
  <c r="V355" i="1"/>
  <c r="U355" i="1"/>
  <c r="T355" i="1"/>
  <c r="S355" i="1"/>
  <c r="R355" i="1"/>
  <c r="Q355" i="1"/>
  <c r="AB354" i="1"/>
  <c r="X354" i="1"/>
  <c r="W354" i="1"/>
  <c r="Z354" i="1" s="1"/>
  <c r="V354" i="1"/>
  <c r="Y354" i="1" s="1"/>
  <c r="U354" i="1"/>
  <c r="T354" i="1"/>
  <c r="S354" i="1"/>
  <c r="AA354" i="1" s="1"/>
  <c r="R354" i="1"/>
  <c r="Q354" i="1"/>
  <c r="AB353" i="1"/>
  <c r="Y353" i="1"/>
  <c r="X353" i="1"/>
  <c r="W353" i="1"/>
  <c r="Z353" i="1" s="1"/>
  <c r="V353" i="1"/>
  <c r="U353" i="1"/>
  <c r="T353" i="1"/>
  <c r="S353" i="1"/>
  <c r="AA353" i="1" s="1"/>
  <c r="R353" i="1"/>
  <c r="Q353" i="1"/>
  <c r="AB352" i="1"/>
  <c r="X352" i="1"/>
  <c r="W352" i="1"/>
  <c r="Z352" i="1" s="1"/>
  <c r="V352" i="1"/>
  <c r="Y352" i="1" s="1"/>
  <c r="U352" i="1"/>
  <c r="T352" i="1"/>
  <c r="S352" i="1"/>
  <c r="R352" i="1"/>
  <c r="Q352" i="1"/>
  <c r="AB351" i="1"/>
  <c r="Y351" i="1"/>
  <c r="X351" i="1"/>
  <c r="W351" i="1"/>
  <c r="Z351" i="1" s="1"/>
  <c r="V351" i="1"/>
  <c r="U351" i="1"/>
  <c r="T351" i="1"/>
  <c r="S351" i="1"/>
  <c r="R351" i="1"/>
  <c r="Q351" i="1"/>
  <c r="AB350" i="1"/>
  <c r="X350" i="1"/>
  <c r="W350" i="1"/>
  <c r="Z350" i="1" s="1"/>
  <c r="V350" i="1"/>
  <c r="Y350" i="1" s="1"/>
  <c r="U350" i="1"/>
  <c r="T350" i="1"/>
  <c r="S350" i="1"/>
  <c r="AA350" i="1" s="1"/>
  <c r="R350" i="1"/>
  <c r="Q350" i="1"/>
  <c r="AB349" i="1"/>
  <c r="Y349" i="1"/>
  <c r="X349" i="1"/>
  <c r="W349" i="1"/>
  <c r="Z349" i="1" s="1"/>
  <c r="V349" i="1"/>
  <c r="U349" i="1"/>
  <c r="T349" i="1"/>
  <c r="S349" i="1"/>
  <c r="AA349" i="1" s="1"/>
  <c r="R349" i="1"/>
  <c r="Q349" i="1"/>
  <c r="AB348" i="1"/>
  <c r="X348" i="1"/>
  <c r="W348" i="1"/>
  <c r="Z348" i="1" s="1"/>
  <c r="V348" i="1"/>
  <c r="Y348" i="1" s="1"/>
  <c r="U348" i="1"/>
  <c r="T348" i="1"/>
  <c r="S348" i="1"/>
  <c r="AA348" i="1" s="1"/>
  <c r="R348" i="1"/>
  <c r="Q348" i="1"/>
  <c r="AB347" i="1"/>
  <c r="Y347" i="1"/>
  <c r="X347" i="1"/>
  <c r="W347" i="1"/>
  <c r="Z347" i="1" s="1"/>
  <c r="V347" i="1"/>
  <c r="U347" i="1"/>
  <c r="T347" i="1"/>
  <c r="S347" i="1"/>
  <c r="R347" i="1"/>
  <c r="Q347" i="1"/>
  <c r="AB346" i="1"/>
  <c r="X346" i="1"/>
  <c r="W346" i="1"/>
  <c r="Z346" i="1" s="1"/>
  <c r="V346" i="1"/>
  <c r="Y346" i="1" s="1"/>
  <c r="U346" i="1"/>
  <c r="T346" i="1"/>
  <c r="S346" i="1"/>
  <c r="AA346" i="1" s="1"/>
  <c r="R346" i="1"/>
  <c r="Q346" i="1"/>
  <c r="AB345" i="1"/>
  <c r="Y345" i="1"/>
  <c r="X345" i="1"/>
  <c r="W345" i="1"/>
  <c r="Z345" i="1" s="1"/>
  <c r="V345" i="1"/>
  <c r="U345" i="1"/>
  <c r="T345" i="1"/>
  <c r="S345" i="1"/>
  <c r="R345" i="1"/>
  <c r="Q345" i="1"/>
  <c r="AB344" i="1"/>
  <c r="X344" i="1"/>
  <c r="W344" i="1"/>
  <c r="V344" i="1"/>
  <c r="Y344" i="1" s="1"/>
  <c r="U344" i="1"/>
  <c r="T344" i="1"/>
  <c r="S344" i="1"/>
  <c r="AA344" i="1" s="1"/>
  <c r="R344" i="1"/>
  <c r="Q344" i="1"/>
  <c r="AB343" i="1"/>
  <c r="Y343" i="1"/>
  <c r="X343" i="1"/>
  <c r="W343" i="1"/>
  <c r="Z343" i="1" s="1"/>
  <c r="V343" i="1"/>
  <c r="U343" i="1"/>
  <c r="T343" i="1"/>
  <c r="S343" i="1"/>
  <c r="R343" i="1"/>
  <c r="Q343" i="1"/>
  <c r="AB342" i="1"/>
  <c r="X342" i="1"/>
  <c r="W342" i="1"/>
  <c r="Z342" i="1" s="1"/>
  <c r="V342" i="1"/>
  <c r="Y342" i="1" s="1"/>
  <c r="U342" i="1"/>
  <c r="T342" i="1"/>
  <c r="S342" i="1"/>
  <c r="AA342" i="1" s="1"/>
  <c r="R342" i="1"/>
  <c r="Q342" i="1"/>
  <c r="AB341" i="1"/>
  <c r="Y341" i="1"/>
  <c r="X341" i="1"/>
  <c r="W341" i="1"/>
  <c r="Z341" i="1" s="1"/>
  <c r="V341" i="1"/>
  <c r="U341" i="1"/>
  <c r="T341" i="1"/>
  <c r="S341" i="1"/>
  <c r="R341" i="1"/>
  <c r="Q341" i="1"/>
  <c r="AB340" i="1"/>
  <c r="X340" i="1"/>
  <c r="W340" i="1"/>
  <c r="V340" i="1"/>
  <c r="Y340" i="1" s="1"/>
  <c r="U340" i="1"/>
  <c r="T340" i="1"/>
  <c r="S340" i="1"/>
  <c r="AA340" i="1" s="1"/>
  <c r="R340" i="1"/>
  <c r="Q340" i="1"/>
  <c r="AB339" i="1"/>
  <c r="Y339" i="1"/>
  <c r="X339" i="1"/>
  <c r="W339" i="1"/>
  <c r="Z339" i="1" s="1"/>
  <c r="V339" i="1"/>
  <c r="U339" i="1"/>
  <c r="T339" i="1"/>
  <c r="S339" i="1"/>
  <c r="R339" i="1"/>
  <c r="Q339" i="1"/>
  <c r="AB338" i="1"/>
  <c r="X338" i="1"/>
  <c r="W338" i="1"/>
  <c r="Z338" i="1" s="1"/>
  <c r="V338" i="1"/>
  <c r="Y338" i="1" s="1"/>
  <c r="U338" i="1"/>
  <c r="T338" i="1"/>
  <c r="S338" i="1"/>
  <c r="AA338" i="1" s="1"/>
  <c r="R338" i="1"/>
  <c r="Q338" i="1"/>
  <c r="AB337" i="1"/>
  <c r="Y337" i="1"/>
  <c r="X337" i="1"/>
  <c r="W337" i="1"/>
  <c r="Z337" i="1" s="1"/>
  <c r="V337" i="1"/>
  <c r="U337" i="1"/>
  <c r="T337" i="1"/>
  <c r="S337" i="1"/>
  <c r="R337" i="1"/>
  <c r="Q337" i="1"/>
  <c r="AB336" i="1"/>
  <c r="X336" i="1"/>
  <c r="W336" i="1"/>
  <c r="V336" i="1"/>
  <c r="Y336" i="1" s="1"/>
  <c r="U336" i="1"/>
  <c r="T336" i="1"/>
  <c r="S336" i="1"/>
  <c r="AA336" i="1" s="1"/>
  <c r="R336" i="1"/>
  <c r="Q336" i="1"/>
  <c r="AB335" i="1"/>
  <c r="Y335" i="1"/>
  <c r="X335" i="1"/>
  <c r="W335" i="1"/>
  <c r="Z335" i="1" s="1"/>
  <c r="V335" i="1"/>
  <c r="U335" i="1"/>
  <c r="T335" i="1"/>
  <c r="S335" i="1"/>
  <c r="R335" i="1"/>
  <c r="Q335" i="1"/>
  <c r="AB334" i="1"/>
  <c r="X334" i="1"/>
  <c r="W334" i="1"/>
  <c r="Z334" i="1" s="1"/>
  <c r="V334" i="1"/>
  <c r="Y334" i="1" s="1"/>
  <c r="U334" i="1"/>
  <c r="T334" i="1"/>
  <c r="S334" i="1"/>
  <c r="AA334" i="1" s="1"/>
  <c r="R334" i="1"/>
  <c r="Q334" i="1"/>
  <c r="AB333" i="1"/>
  <c r="Y333" i="1"/>
  <c r="X333" i="1"/>
  <c r="W333" i="1"/>
  <c r="Z333" i="1" s="1"/>
  <c r="V333" i="1"/>
  <c r="U333" i="1"/>
  <c r="T333" i="1"/>
  <c r="S333" i="1"/>
  <c r="R333" i="1"/>
  <c r="Q333" i="1"/>
  <c r="AB332" i="1"/>
  <c r="X332" i="1"/>
  <c r="W332" i="1"/>
  <c r="V332" i="1"/>
  <c r="Y332" i="1" s="1"/>
  <c r="U332" i="1"/>
  <c r="T332" i="1"/>
  <c r="S332" i="1"/>
  <c r="AA332" i="1" s="1"/>
  <c r="R332" i="1"/>
  <c r="Q332" i="1"/>
  <c r="AB331" i="1"/>
  <c r="Y331" i="1"/>
  <c r="X331" i="1"/>
  <c r="W331" i="1"/>
  <c r="Z331" i="1" s="1"/>
  <c r="V331" i="1"/>
  <c r="U331" i="1"/>
  <c r="T331" i="1"/>
  <c r="S331" i="1"/>
  <c r="R331" i="1"/>
  <c r="Q331" i="1"/>
  <c r="AB330" i="1"/>
  <c r="X330" i="1"/>
  <c r="W330" i="1"/>
  <c r="Z330" i="1" s="1"/>
  <c r="V330" i="1"/>
  <c r="Y330" i="1" s="1"/>
  <c r="U330" i="1"/>
  <c r="T330" i="1"/>
  <c r="S330" i="1"/>
  <c r="AA330" i="1" s="1"/>
  <c r="R330" i="1"/>
  <c r="Q330" i="1"/>
  <c r="AB329" i="1"/>
  <c r="Y329" i="1"/>
  <c r="X329" i="1"/>
  <c r="W329" i="1"/>
  <c r="Z329" i="1" s="1"/>
  <c r="V329" i="1"/>
  <c r="U329" i="1"/>
  <c r="T329" i="1"/>
  <c r="S329" i="1"/>
  <c r="R329" i="1"/>
  <c r="Q329" i="1"/>
  <c r="AB328" i="1"/>
  <c r="X328" i="1"/>
  <c r="W328" i="1"/>
  <c r="V328" i="1"/>
  <c r="Y328" i="1" s="1"/>
  <c r="U328" i="1"/>
  <c r="T328" i="1"/>
  <c r="S328" i="1"/>
  <c r="AA328" i="1" s="1"/>
  <c r="R328" i="1"/>
  <c r="Q328" i="1"/>
  <c r="AB327" i="1"/>
  <c r="Y327" i="1"/>
  <c r="X327" i="1"/>
  <c r="W327" i="1"/>
  <c r="Z327" i="1" s="1"/>
  <c r="V327" i="1"/>
  <c r="U327" i="1"/>
  <c r="T327" i="1"/>
  <c r="S327" i="1"/>
  <c r="R327" i="1"/>
  <c r="Q327" i="1"/>
  <c r="AB326" i="1"/>
  <c r="X326" i="1"/>
  <c r="W326" i="1"/>
  <c r="Z326" i="1" s="1"/>
  <c r="V326" i="1"/>
  <c r="Y326" i="1" s="1"/>
  <c r="U326" i="1"/>
  <c r="T326" i="1"/>
  <c r="S326" i="1"/>
  <c r="AA326" i="1" s="1"/>
  <c r="R326" i="1"/>
  <c r="Q326" i="1"/>
  <c r="AB325" i="1"/>
  <c r="Y325" i="1"/>
  <c r="X325" i="1"/>
  <c r="W325" i="1"/>
  <c r="Z325" i="1" s="1"/>
  <c r="V325" i="1"/>
  <c r="U325" i="1"/>
  <c r="T325" i="1"/>
  <c r="S325" i="1"/>
  <c r="R325" i="1"/>
  <c r="Q325" i="1"/>
  <c r="AB324" i="1"/>
  <c r="X324" i="1"/>
  <c r="W324" i="1"/>
  <c r="V324" i="1"/>
  <c r="Y324" i="1" s="1"/>
  <c r="U324" i="1"/>
  <c r="T324" i="1"/>
  <c r="S324" i="1"/>
  <c r="AA324" i="1" s="1"/>
  <c r="R324" i="1"/>
  <c r="Q324" i="1"/>
  <c r="AB323" i="1"/>
  <c r="Y323" i="1"/>
  <c r="X323" i="1"/>
  <c r="W323" i="1"/>
  <c r="Z323" i="1" s="1"/>
  <c r="V323" i="1"/>
  <c r="U323" i="1"/>
  <c r="T323" i="1"/>
  <c r="S323" i="1"/>
  <c r="R323" i="1"/>
  <c r="Q323" i="1"/>
  <c r="AB322" i="1"/>
  <c r="X322" i="1"/>
  <c r="W322" i="1"/>
  <c r="Z322" i="1" s="1"/>
  <c r="V322" i="1"/>
  <c r="Y322" i="1" s="1"/>
  <c r="U322" i="1"/>
  <c r="T322" i="1"/>
  <c r="S322" i="1"/>
  <c r="AA322" i="1" s="1"/>
  <c r="R322" i="1"/>
  <c r="Q322" i="1"/>
  <c r="AB321" i="1"/>
  <c r="Y321" i="1"/>
  <c r="X321" i="1"/>
  <c r="W321" i="1"/>
  <c r="Z321" i="1" s="1"/>
  <c r="V321" i="1"/>
  <c r="U321" i="1"/>
  <c r="T321" i="1"/>
  <c r="S321" i="1"/>
  <c r="R321" i="1"/>
  <c r="Q321" i="1"/>
  <c r="AB320" i="1"/>
  <c r="X320" i="1"/>
  <c r="W320" i="1"/>
  <c r="V320" i="1"/>
  <c r="Y320" i="1" s="1"/>
  <c r="U320" i="1"/>
  <c r="T320" i="1"/>
  <c r="S320" i="1"/>
  <c r="AA320" i="1" s="1"/>
  <c r="R320" i="1"/>
  <c r="Q320" i="1"/>
  <c r="AB319" i="1"/>
  <c r="Y319" i="1"/>
  <c r="X319" i="1"/>
  <c r="W319" i="1"/>
  <c r="Z319" i="1" s="1"/>
  <c r="V319" i="1"/>
  <c r="U319" i="1"/>
  <c r="T319" i="1"/>
  <c r="S319" i="1"/>
  <c r="R319" i="1"/>
  <c r="Q319" i="1"/>
  <c r="AB318" i="1"/>
  <c r="X318" i="1"/>
  <c r="W318" i="1"/>
  <c r="Z318" i="1" s="1"/>
  <c r="V318" i="1"/>
  <c r="Y318" i="1" s="1"/>
  <c r="U318" i="1"/>
  <c r="T318" i="1"/>
  <c r="S318" i="1"/>
  <c r="AA318" i="1" s="1"/>
  <c r="R318" i="1"/>
  <c r="Q318" i="1"/>
  <c r="AB317" i="1"/>
  <c r="Y317" i="1"/>
  <c r="X317" i="1"/>
  <c r="W317" i="1"/>
  <c r="Z317" i="1" s="1"/>
  <c r="V317" i="1"/>
  <c r="U317" i="1"/>
  <c r="T317" i="1"/>
  <c r="S317" i="1"/>
  <c r="R317" i="1"/>
  <c r="Q317" i="1"/>
  <c r="AB316" i="1"/>
  <c r="X316" i="1"/>
  <c r="W316" i="1"/>
  <c r="V316" i="1"/>
  <c r="Y316" i="1" s="1"/>
  <c r="U316" i="1"/>
  <c r="T316" i="1"/>
  <c r="S316" i="1"/>
  <c r="AA316" i="1" s="1"/>
  <c r="R316" i="1"/>
  <c r="Q316" i="1"/>
  <c r="AB315" i="1"/>
  <c r="Y315" i="1"/>
  <c r="X315" i="1"/>
  <c r="W315" i="1"/>
  <c r="Z315" i="1" s="1"/>
  <c r="V315" i="1"/>
  <c r="U315" i="1"/>
  <c r="T315" i="1"/>
  <c r="S315" i="1"/>
  <c r="R315" i="1"/>
  <c r="Q315" i="1"/>
  <c r="AB314" i="1"/>
  <c r="X314" i="1"/>
  <c r="W314" i="1"/>
  <c r="Z314" i="1" s="1"/>
  <c r="V314" i="1"/>
  <c r="Y314" i="1" s="1"/>
  <c r="U314" i="1"/>
  <c r="T314" i="1"/>
  <c r="S314" i="1"/>
  <c r="AA314" i="1" s="1"/>
  <c r="R314" i="1"/>
  <c r="Q314" i="1"/>
  <c r="AB313" i="1"/>
  <c r="Y313" i="1"/>
  <c r="X313" i="1"/>
  <c r="W313" i="1"/>
  <c r="Z313" i="1" s="1"/>
  <c r="V313" i="1"/>
  <c r="U313" i="1"/>
  <c r="T313" i="1"/>
  <c r="S313" i="1"/>
  <c r="R313" i="1"/>
  <c r="Q313" i="1"/>
  <c r="AB312" i="1"/>
  <c r="X312" i="1"/>
  <c r="W312" i="1"/>
  <c r="V312" i="1"/>
  <c r="Y312" i="1" s="1"/>
  <c r="U312" i="1"/>
  <c r="T312" i="1"/>
  <c r="S312" i="1"/>
  <c r="AA312" i="1" s="1"/>
  <c r="R312" i="1"/>
  <c r="Q312" i="1"/>
  <c r="AB311" i="1"/>
  <c r="Y311" i="1"/>
  <c r="X311" i="1"/>
  <c r="W311" i="1"/>
  <c r="Z311" i="1" s="1"/>
  <c r="V311" i="1"/>
  <c r="U311" i="1"/>
  <c r="T311" i="1"/>
  <c r="S311" i="1"/>
  <c r="R311" i="1"/>
  <c r="Q311" i="1"/>
  <c r="AB310" i="1"/>
  <c r="X310" i="1"/>
  <c r="W310" i="1"/>
  <c r="Z310" i="1" s="1"/>
  <c r="V310" i="1"/>
  <c r="Y310" i="1" s="1"/>
  <c r="U310" i="1"/>
  <c r="T310" i="1"/>
  <c r="S310" i="1"/>
  <c r="AA310" i="1" s="1"/>
  <c r="R310" i="1"/>
  <c r="Q310" i="1"/>
  <c r="AB309" i="1"/>
  <c r="Y309" i="1"/>
  <c r="X309" i="1"/>
  <c r="W309" i="1"/>
  <c r="Z309" i="1" s="1"/>
  <c r="V309" i="1"/>
  <c r="U309" i="1"/>
  <c r="T309" i="1"/>
  <c r="S309" i="1"/>
  <c r="R309" i="1"/>
  <c r="Q309" i="1"/>
  <c r="AB308" i="1"/>
  <c r="X308" i="1"/>
  <c r="W308" i="1"/>
  <c r="V308" i="1"/>
  <c r="Y308" i="1" s="1"/>
  <c r="U308" i="1"/>
  <c r="T308" i="1"/>
  <c r="S308" i="1"/>
  <c r="AA308" i="1" s="1"/>
  <c r="R308" i="1"/>
  <c r="Q308" i="1"/>
  <c r="AB307" i="1"/>
  <c r="Y307" i="1"/>
  <c r="X307" i="1"/>
  <c r="W307" i="1"/>
  <c r="Z307" i="1" s="1"/>
  <c r="V307" i="1"/>
  <c r="U307" i="1"/>
  <c r="T307" i="1"/>
  <c r="S307" i="1"/>
  <c r="R307" i="1"/>
  <c r="Q307" i="1"/>
  <c r="AB306" i="1"/>
  <c r="X306" i="1"/>
  <c r="W306" i="1"/>
  <c r="Z306" i="1" s="1"/>
  <c r="V306" i="1"/>
  <c r="Y306" i="1" s="1"/>
  <c r="U306" i="1"/>
  <c r="T306" i="1"/>
  <c r="AA306" i="1" s="1"/>
  <c r="S306" i="1"/>
  <c r="R306" i="1"/>
  <c r="Q306" i="1"/>
  <c r="AB305" i="1"/>
  <c r="Y305" i="1"/>
  <c r="X305" i="1"/>
  <c r="W305" i="1"/>
  <c r="Z305" i="1" s="1"/>
  <c r="V305" i="1"/>
  <c r="U305" i="1"/>
  <c r="T305" i="1"/>
  <c r="S305" i="1"/>
  <c r="R305" i="1"/>
  <c r="Q305" i="1"/>
  <c r="AB304" i="1"/>
  <c r="X304" i="1"/>
  <c r="W304" i="1"/>
  <c r="V304" i="1"/>
  <c r="Y304" i="1" s="1"/>
  <c r="U304" i="1"/>
  <c r="T304" i="1"/>
  <c r="S304" i="1"/>
  <c r="AA304" i="1" s="1"/>
  <c r="R304" i="1"/>
  <c r="Q304" i="1"/>
  <c r="AB303" i="1"/>
  <c r="Y303" i="1"/>
  <c r="X303" i="1"/>
  <c r="W303" i="1"/>
  <c r="Z303" i="1" s="1"/>
  <c r="V303" i="1"/>
  <c r="U303" i="1"/>
  <c r="T303" i="1"/>
  <c r="S303" i="1"/>
  <c r="AA303" i="1" s="1"/>
  <c r="R303" i="1"/>
  <c r="Q303" i="1"/>
  <c r="AB302" i="1"/>
  <c r="X302" i="1"/>
  <c r="W302" i="1"/>
  <c r="Z302" i="1" s="1"/>
  <c r="V302" i="1"/>
  <c r="Y302" i="1" s="1"/>
  <c r="U302" i="1"/>
  <c r="T302" i="1"/>
  <c r="S302" i="1"/>
  <c r="AA302" i="1" s="1"/>
  <c r="R302" i="1"/>
  <c r="Q302" i="1"/>
  <c r="AB301" i="1"/>
  <c r="Z301" i="1"/>
  <c r="Y301" i="1"/>
  <c r="X301" i="1"/>
  <c r="W301" i="1"/>
  <c r="V301" i="1"/>
  <c r="U301" i="1"/>
  <c r="T301" i="1"/>
  <c r="S301" i="1"/>
  <c r="AA301" i="1" s="1"/>
  <c r="R301" i="1"/>
  <c r="Q301" i="1"/>
  <c r="AB300" i="1"/>
  <c r="X300" i="1"/>
  <c r="W300" i="1"/>
  <c r="Z300" i="1" s="1"/>
  <c r="V300" i="1"/>
  <c r="Y300" i="1" s="1"/>
  <c r="U300" i="1"/>
  <c r="T300" i="1"/>
  <c r="S300" i="1"/>
  <c r="AA300" i="1" s="1"/>
  <c r="R300" i="1"/>
  <c r="Q300" i="1"/>
  <c r="AB299" i="1"/>
  <c r="Y299" i="1"/>
  <c r="X299" i="1"/>
  <c r="W299" i="1"/>
  <c r="Z299" i="1" s="1"/>
  <c r="V299" i="1"/>
  <c r="U299" i="1"/>
  <c r="T299" i="1"/>
  <c r="S299" i="1"/>
  <c r="AA299" i="1" s="1"/>
  <c r="R299" i="1"/>
  <c r="Q299" i="1"/>
  <c r="AB298" i="1"/>
  <c r="AA298" i="1"/>
  <c r="W298" i="1"/>
  <c r="V298" i="1"/>
  <c r="Y298" i="1" s="1"/>
  <c r="U298" i="1"/>
  <c r="X298" i="1" s="1"/>
  <c r="T298" i="1"/>
  <c r="S298" i="1"/>
  <c r="R298" i="1"/>
  <c r="Q298" i="1"/>
  <c r="AB297" i="1"/>
  <c r="Z297" i="1"/>
  <c r="Y297" i="1"/>
  <c r="X297" i="1"/>
  <c r="W297" i="1"/>
  <c r="V297" i="1"/>
  <c r="U297" i="1"/>
  <c r="T297" i="1"/>
  <c r="S297" i="1"/>
  <c r="R297" i="1"/>
  <c r="Q297" i="1"/>
  <c r="AB296" i="1"/>
  <c r="X296" i="1"/>
  <c r="W296" i="1"/>
  <c r="Z296" i="1" s="1"/>
  <c r="V296" i="1"/>
  <c r="Y296" i="1" s="1"/>
  <c r="U296" i="1"/>
  <c r="T296" i="1"/>
  <c r="AA296" i="1" s="1"/>
  <c r="S296" i="1"/>
  <c r="R296" i="1"/>
  <c r="Q296" i="1"/>
  <c r="AB295" i="1"/>
  <c r="Z295" i="1"/>
  <c r="Y295" i="1"/>
  <c r="X295" i="1"/>
  <c r="W295" i="1"/>
  <c r="V295" i="1"/>
  <c r="U295" i="1"/>
  <c r="T295" i="1"/>
  <c r="S295" i="1"/>
  <c r="AA295" i="1" s="1"/>
  <c r="R295" i="1"/>
  <c r="Q295" i="1"/>
  <c r="AB294" i="1"/>
  <c r="W294" i="1"/>
  <c r="Z294" i="1" s="1"/>
  <c r="V294" i="1"/>
  <c r="Y294" i="1" s="1"/>
  <c r="U294" i="1"/>
  <c r="X294" i="1" s="1"/>
  <c r="T294" i="1"/>
  <c r="S294" i="1"/>
  <c r="AA294" i="1" s="1"/>
  <c r="R294" i="1"/>
  <c r="Q294" i="1"/>
  <c r="AB293" i="1"/>
  <c r="Y293" i="1"/>
  <c r="X293" i="1"/>
  <c r="W293" i="1"/>
  <c r="Z293" i="1" s="1"/>
  <c r="V293" i="1"/>
  <c r="U293" i="1"/>
  <c r="T293" i="1"/>
  <c r="S293" i="1"/>
  <c r="AA293" i="1" s="1"/>
  <c r="R293" i="1"/>
  <c r="Q293" i="1"/>
  <c r="AB292" i="1"/>
  <c r="AA292" i="1"/>
  <c r="W292" i="1"/>
  <c r="V292" i="1"/>
  <c r="Y292" i="1" s="1"/>
  <c r="U292" i="1"/>
  <c r="X292" i="1" s="1"/>
  <c r="T292" i="1"/>
  <c r="S292" i="1"/>
  <c r="R292" i="1"/>
  <c r="Q292" i="1"/>
  <c r="AB291" i="1"/>
  <c r="Y291" i="1"/>
  <c r="W291" i="1"/>
  <c r="Z291" i="1" s="1"/>
  <c r="V291" i="1"/>
  <c r="U291" i="1"/>
  <c r="T291" i="1"/>
  <c r="S291" i="1"/>
  <c r="AA291" i="1" s="1"/>
  <c r="R291" i="1"/>
  <c r="Q291" i="1"/>
  <c r="AB290" i="1"/>
  <c r="X290" i="1"/>
  <c r="W290" i="1"/>
  <c r="Z290" i="1" s="1"/>
  <c r="V290" i="1"/>
  <c r="Y290" i="1" s="1"/>
  <c r="U290" i="1"/>
  <c r="X289" i="1" s="1"/>
  <c r="T290" i="1"/>
  <c r="S290" i="1"/>
  <c r="AA290" i="1" s="1"/>
  <c r="R290" i="1"/>
  <c r="Q290" i="1"/>
  <c r="AB289" i="1"/>
  <c r="AA289" i="1"/>
  <c r="Y289" i="1"/>
  <c r="W289" i="1"/>
  <c r="V289" i="1"/>
  <c r="U289" i="1"/>
  <c r="T289" i="1"/>
  <c r="S289" i="1"/>
  <c r="R289" i="1"/>
  <c r="Q289" i="1"/>
  <c r="AB288" i="1"/>
  <c r="AA288" i="1"/>
  <c r="W288" i="1"/>
  <c r="V288" i="1"/>
  <c r="Y288" i="1" s="1"/>
  <c r="U288" i="1"/>
  <c r="T288" i="1"/>
  <c r="S288" i="1"/>
  <c r="R288" i="1"/>
  <c r="Q288" i="1"/>
  <c r="AB287" i="1"/>
  <c r="Z287" i="1"/>
  <c r="Y287" i="1"/>
  <c r="W287" i="1"/>
  <c r="V287" i="1"/>
  <c r="U287" i="1"/>
  <c r="T287" i="1"/>
  <c r="S287" i="1"/>
  <c r="AA287" i="1" s="1"/>
  <c r="R287" i="1"/>
  <c r="Q287" i="1"/>
  <c r="AB286" i="1"/>
  <c r="W286" i="1"/>
  <c r="Z286" i="1" s="1"/>
  <c r="V286" i="1"/>
  <c r="Y286" i="1" s="1"/>
  <c r="U286" i="1"/>
  <c r="X286" i="1" s="1"/>
  <c r="T286" i="1"/>
  <c r="S286" i="1"/>
  <c r="AA286" i="1" s="1"/>
  <c r="R286" i="1"/>
  <c r="Q286" i="1"/>
  <c r="AB285" i="1"/>
  <c r="Y285" i="1"/>
  <c r="X285" i="1"/>
  <c r="W285" i="1"/>
  <c r="Z285" i="1" s="1"/>
  <c r="V285" i="1"/>
  <c r="U285" i="1"/>
  <c r="T285" i="1"/>
  <c r="S285" i="1"/>
  <c r="AA285" i="1" s="1"/>
  <c r="R285" i="1"/>
  <c r="Q285" i="1"/>
  <c r="AB284" i="1"/>
  <c r="AA284" i="1"/>
  <c r="W284" i="1"/>
  <c r="V284" i="1"/>
  <c r="Y284" i="1" s="1"/>
  <c r="U284" i="1"/>
  <c r="X284" i="1" s="1"/>
  <c r="T284" i="1"/>
  <c r="S284" i="1"/>
  <c r="R284" i="1"/>
  <c r="Q284" i="1"/>
  <c r="AB283" i="1"/>
  <c r="Y283" i="1"/>
  <c r="W283" i="1"/>
  <c r="Z283" i="1" s="1"/>
  <c r="V283" i="1"/>
  <c r="U283" i="1"/>
  <c r="T283" i="1"/>
  <c r="S283" i="1"/>
  <c r="AA283" i="1" s="1"/>
  <c r="R283" i="1"/>
  <c r="Q283" i="1"/>
  <c r="AB282" i="1"/>
  <c r="X282" i="1"/>
  <c r="W282" i="1"/>
  <c r="Z282" i="1" s="1"/>
  <c r="V282" i="1"/>
  <c r="Y282" i="1" s="1"/>
  <c r="U282" i="1"/>
  <c r="X281" i="1" s="1"/>
  <c r="T282" i="1"/>
  <c r="S282" i="1"/>
  <c r="AA282" i="1" s="1"/>
  <c r="R282" i="1"/>
  <c r="Q282" i="1"/>
  <c r="AB281" i="1"/>
  <c r="Y281" i="1"/>
  <c r="W281" i="1"/>
  <c r="V281" i="1"/>
  <c r="U281" i="1"/>
  <c r="T281" i="1"/>
  <c r="S281" i="1"/>
  <c r="AA281" i="1" s="1"/>
  <c r="R281" i="1"/>
  <c r="Q281" i="1"/>
  <c r="AB280" i="1"/>
  <c r="AA280" i="1"/>
  <c r="W280" i="1"/>
  <c r="V280" i="1"/>
  <c r="Y280" i="1" s="1"/>
  <c r="U280" i="1"/>
  <c r="T280" i="1"/>
  <c r="S280" i="1"/>
  <c r="R280" i="1"/>
  <c r="Q280" i="1"/>
  <c r="AB279" i="1"/>
  <c r="Z279" i="1"/>
  <c r="Y279" i="1"/>
  <c r="W279" i="1"/>
  <c r="V279" i="1"/>
  <c r="U279" i="1"/>
  <c r="T279" i="1"/>
  <c r="S279" i="1"/>
  <c r="AA279" i="1" s="1"/>
  <c r="R279" i="1"/>
  <c r="Q279" i="1"/>
  <c r="AB278" i="1"/>
  <c r="W278" i="1"/>
  <c r="Z278" i="1" s="1"/>
  <c r="V278" i="1"/>
  <c r="Y278" i="1" s="1"/>
  <c r="U278" i="1"/>
  <c r="X278" i="1" s="1"/>
  <c r="T278" i="1"/>
  <c r="S278" i="1"/>
  <c r="AA278" i="1" s="1"/>
  <c r="R278" i="1"/>
  <c r="Q278" i="1"/>
  <c r="AB277" i="1"/>
  <c r="Y277" i="1"/>
  <c r="X277" i="1"/>
  <c r="W277" i="1"/>
  <c r="V277" i="1"/>
  <c r="U277" i="1"/>
  <c r="T277" i="1"/>
  <c r="S277" i="1"/>
  <c r="AA277" i="1" s="1"/>
  <c r="R277" i="1"/>
  <c r="Q277" i="1"/>
  <c r="AB276" i="1"/>
  <c r="AA276" i="1"/>
  <c r="X276" i="1"/>
  <c r="W276" i="1"/>
  <c r="V276" i="1"/>
  <c r="Y276" i="1" s="1"/>
  <c r="U276" i="1"/>
  <c r="T276" i="1"/>
  <c r="S276" i="1"/>
  <c r="R276" i="1"/>
  <c r="Q276" i="1"/>
  <c r="AB275" i="1"/>
  <c r="X275" i="1"/>
  <c r="W275" i="1"/>
  <c r="Z275" i="1" s="1"/>
  <c r="V275" i="1"/>
  <c r="Y275" i="1" s="1"/>
  <c r="U275" i="1"/>
  <c r="T275" i="1"/>
  <c r="S275" i="1"/>
  <c r="AA275" i="1" s="1"/>
  <c r="R275" i="1"/>
  <c r="Q275" i="1"/>
  <c r="AB274" i="1"/>
  <c r="AA274" i="1"/>
  <c r="Z274" i="1"/>
  <c r="W274" i="1"/>
  <c r="V274" i="1"/>
  <c r="U274" i="1"/>
  <c r="X274" i="1" s="1"/>
  <c r="T274" i="1"/>
  <c r="S274" i="1"/>
  <c r="R274" i="1"/>
  <c r="Q274" i="1"/>
  <c r="AB273" i="1"/>
  <c r="W273" i="1"/>
  <c r="Z273" i="1" s="1"/>
  <c r="V273" i="1"/>
  <c r="Y273" i="1" s="1"/>
  <c r="U273" i="1"/>
  <c r="T273" i="1"/>
  <c r="S273" i="1"/>
  <c r="AA273" i="1" s="1"/>
  <c r="R273" i="1"/>
  <c r="Q273" i="1"/>
  <c r="AB272" i="1"/>
  <c r="Z272" i="1"/>
  <c r="X272" i="1"/>
  <c r="W272" i="1"/>
  <c r="V272" i="1"/>
  <c r="U272" i="1"/>
  <c r="T272" i="1"/>
  <c r="AA272" i="1" s="1"/>
  <c r="S272" i="1"/>
  <c r="R272" i="1"/>
  <c r="Q272" i="1"/>
  <c r="AB271" i="1"/>
  <c r="Z271" i="1"/>
  <c r="X271" i="1"/>
  <c r="W271" i="1"/>
  <c r="V271" i="1"/>
  <c r="Y271" i="1" s="1"/>
  <c r="U271" i="1"/>
  <c r="T271" i="1"/>
  <c r="S271" i="1"/>
  <c r="R271" i="1"/>
  <c r="Q271" i="1"/>
  <c r="AB270" i="1"/>
  <c r="X270" i="1"/>
  <c r="W270" i="1"/>
  <c r="Z270" i="1" s="1"/>
  <c r="V270" i="1"/>
  <c r="U270" i="1"/>
  <c r="X269" i="1" s="1"/>
  <c r="T270" i="1"/>
  <c r="S270" i="1"/>
  <c r="AA270" i="1" s="1"/>
  <c r="R270" i="1"/>
  <c r="Q270" i="1"/>
  <c r="AB269" i="1"/>
  <c r="Y269" i="1"/>
  <c r="W269" i="1"/>
  <c r="Z269" i="1" s="1"/>
  <c r="V269" i="1"/>
  <c r="U269" i="1"/>
  <c r="T269" i="1"/>
  <c r="S269" i="1"/>
  <c r="AA269" i="1" s="1"/>
  <c r="R269" i="1"/>
  <c r="Q269" i="1"/>
  <c r="AB268" i="1"/>
  <c r="AA268" i="1"/>
  <c r="X268" i="1"/>
  <c r="W268" i="1"/>
  <c r="Z268" i="1" s="1"/>
  <c r="V268" i="1"/>
  <c r="Y268" i="1" s="1"/>
  <c r="U268" i="1"/>
  <c r="T268" i="1"/>
  <c r="S268" i="1"/>
  <c r="R268" i="1"/>
  <c r="Q268" i="1"/>
  <c r="AB267" i="1"/>
  <c r="Z267" i="1"/>
  <c r="X267" i="1"/>
  <c r="W267" i="1"/>
  <c r="V267" i="1"/>
  <c r="U267" i="1"/>
  <c r="T267" i="1"/>
  <c r="S267" i="1"/>
  <c r="AA267" i="1" s="1"/>
  <c r="R267" i="1"/>
  <c r="Q267" i="1"/>
  <c r="AB266" i="1"/>
  <c r="X266" i="1"/>
  <c r="W266" i="1"/>
  <c r="Z266" i="1" s="1"/>
  <c r="V266" i="1"/>
  <c r="Y266" i="1" s="1"/>
  <c r="U266" i="1"/>
  <c r="T266" i="1"/>
  <c r="S266" i="1"/>
  <c r="AA266" i="1" s="1"/>
  <c r="R266" i="1"/>
  <c r="Q266" i="1"/>
  <c r="AB265" i="1"/>
  <c r="Z265" i="1"/>
  <c r="X265" i="1"/>
  <c r="W265" i="1"/>
  <c r="V265" i="1"/>
  <c r="Y265" i="1" s="1"/>
  <c r="U265" i="1"/>
  <c r="T265" i="1"/>
  <c r="S265" i="1"/>
  <c r="AA265" i="1" s="1"/>
  <c r="R265" i="1"/>
  <c r="Q265" i="1"/>
  <c r="AB264" i="1"/>
  <c r="X264" i="1"/>
  <c r="W264" i="1"/>
  <c r="Z264" i="1" s="1"/>
  <c r="V264" i="1"/>
  <c r="Y264" i="1" s="1"/>
  <c r="U264" i="1"/>
  <c r="T264" i="1"/>
  <c r="S264" i="1"/>
  <c r="AA264" i="1" s="1"/>
  <c r="R264" i="1"/>
  <c r="Q264" i="1"/>
  <c r="AB263" i="1"/>
  <c r="Z263" i="1"/>
  <c r="X263" i="1"/>
  <c r="W263" i="1"/>
  <c r="V263" i="1"/>
  <c r="Y263" i="1" s="1"/>
  <c r="U263" i="1"/>
  <c r="T263" i="1"/>
  <c r="S263" i="1"/>
  <c r="AA263" i="1" s="1"/>
  <c r="R263" i="1"/>
  <c r="Q263" i="1"/>
  <c r="AB262" i="1"/>
  <c r="X262" i="1"/>
  <c r="W262" i="1"/>
  <c r="Z262" i="1" s="1"/>
  <c r="V262" i="1"/>
  <c r="Y262" i="1" s="1"/>
  <c r="U262" i="1"/>
  <c r="T262" i="1"/>
  <c r="S262" i="1"/>
  <c r="AA262" i="1" s="1"/>
  <c r="R262" i="1"/>
  <c r="Q262" i="1"/>
  <c r="AB261" i="1"/>
  <c r="Z261" i="1"/>
  <c r="X261" i="1"/>
  <c r="W261" i="1"/>
  <c r="V261" i="1"/>
  <c r="U261" i="1"/>
  <c r="T261" i="1"/>
  <c r="S261" i="1"/>
  <c r="AA261" i="1" s="1"/>
  <c r="R261" i="1"/>
  <c r="Q261" i="1"/>
  <c r="AB260" i="1"/>
  <c r="X260" i="1"/>
  <c r="W260" i="1"/>
  <c r="Z260" i="1" s="1"/>
  <c r="V260" i="1"/>
  <c r="Y260" i="1" s="1"/>
  <c r="U260" i="1"/>
  <c r="T260" i="1"/>
  <c r="S260" i="1"/>
  <c r="AA260" i="1" s="1"/>
  <c r="R260" i="1"/>
  <c r="Q260" i="1"/>
  <c r="AB259" i="1"/>
  <c r="Z259" i="1"/>
  <c r="X259" i="1"/>
  <c r="W259" i="1"/>
  <c r="V259" i="1"/>
  <c r="Y259" i="1" s="1"/>
  <c r="U259" i="1"/>
  <c r="T259" i="1"/>
  <c r="S259" i="1"/>
  <c r="AA259" i="1" s="1"/>
  <c r="R259" i="1"/>
  <c r="Q259" i="1"/>
  <c r="AB258" i="1"/>
  <c r="X258" i="1"/>
  <c r="W258" i="1"/>
  <c r="Z258" i="1" s="1"/>
  <c r="V258" i="1"/>
  <c r="Y258" i="1" s="1"/>
  <c r="U258" i="1"/>
  <c r="T258" i="1"/>
  <c r="S258" i="1"/>
  <c r="AA258" i="1" s="1"/>
  <c r="R258" i="1"/>
  <c r="Q258" i="1"/>
  <c r="AB257" i="1"/>
  <c r="Z257" i="1"/>
  <c r="X257" i="1"/>
  <c r="W257" i="1"/>
  <c r="V257" i="1"/>
  <c r="Y257" i="1" s="1"/>
  <c r="U257" i="1"/>
  <c r="T257" i="1"/>
  <c r="S257" i="1"/>
  <c r="AA257" i="1" s="1"/>
  <c r="R257" i="1"/>
  <c r="Q257" i="1"/>
  <c r="AB256" i="1"/>
  <c r="X256" i="1"/>
  <c r="W256" i="1"/>
  <c r="Z256" i="1" s="1"/>
  <c r="V256" i="1"/>
  <c r="Y256" i="1" s="1"/>
  <c r="U256" i="1"/>
  <c r="T256" i="1"/>
  <c r="S256" i="1"/>
  <c r="AA256" i="1" s="1"/>
  <c r="R256" i="1"/>
  <c r="Q256" i="1"/>
  <c r="AB255" i="1"/>
  <c r="Z255" i="1"/>
  <c r="X255" i="1"/>
  <c r="W255" i="1"/>
  <c r="V255" i="1"/>
  <c r="U255" i="1"/>
  <c r="T255" i="1"/>
  <c r="S255" i="1"/>
  <c r="AA255" i="1" s="1"/>
  <c r="R255" i="1"/>
  <c r="Q255" i="1"/>
  <c r="AB254" i="1"/>
  <c r="X254" i="1"/>
  <c r="W254" i="1"/>
  <c r="Z254" i="1" s="1"/>
  <c r="V254" i="1"/>
  <c r="Y254" i="1" s="1"/>
  <c r="U254" i="1"/>
  <c r="T254" i="1"/>
  <c r="S254" i="1"/>
  <c r="AA254" i="1" s="1"/>
  <c r="R254" i="1"/>
  <c r="Q254" i="1"/>
  <c r="AB253" i="1"/>
  <c r="Z253" i="1"/>
  <c r="X253" i="1"/>
  <c r="W253" i="1"/>
  <c r="V253" i="1"/>
  <c r="U253" i="1"/>
  <c r="T253" i="1"/>
  <c r="S253" i="1"/>
  <c r="AA253" i="1" s="1"/>
  <c r="R253" i="1"/>
  <c r="Q253" i="1"/>
  <c r="AB252" i="1"/>
  <c r="X252" i="1"/>
  <c r="W252" i="1"/>
  <c r="Z252" i="1" s="1"/>
  <c r="V252" i="1"/>
  <c r="Y252" i="1" s="1"/>
  <c r="U252" i="1"/>
  <c r="T252" i="1"/>
  <c r="S252" i="1"/>
  <c r="AA252" i="1" s="1"/>
  <c r="R252" i="1"/>
  <c r="Q252" i="1"/>
  <c r="AB251" i="1"/>
  <c r="Z251" i="1"/>
  <c r="X251" i="1"/>
  <c r="W251" i="1"/>
  <c r="V251" i="1"/>
  <c r="U251" i="1"/>
  <c r="T251" i="1"/>
  <c r="S251" i="1"/>
  <c r="AA251" i="1" s="1"/>
  <c r="R251" i="1"/>
  <c r="Q251" i="1"/>
  <c r="AB250" i="1"/>
  <c r="X250" i="1"/>
  <c r="W250" i="1"/>
  <c r="Z250" i="1" s="1"/>
  <c r="V250" i="1"/>
  <c r="Y250" i="1" s="1"/>
  <c r="U250" i="1"/>
  <c r="T250" i="1"/>
  <c r="S250" i="1"/>
  <c r="AA250" i="1" s="1"/>
  <c r="R250" i="1"/>
  <c r="Q250" i="1"/>
  <c r="AB249" i="1"/>
  <c r="Z249" i="1"/>
  <c r="X249" i="1"/>
  <c r="W249" i="1"/>
  <c r="V249" i="1"/>
  <c r="Y249" i="1" s="1"/>
  <c r="U249" i="1"/>
  <c r="T249" i="1"/>
  <c r="S249" i="1"/>
  <c r="AA249" i="1" s="1"/>
  <c r="R249" i="1"/>
  <c r="Q249" i="1"/>
  <c r="AB248" i="1"/>
  <c r="X248" i="1"/>
  <c r="W248" i="1"/>
  <c r="Z248" i="1" s="1"/>
  <c r="V248" i="1"/>
  <c r="Y248" i="1" s="1"/>
  <c r="U248" i="1"/>
  <c r="T248" i="1"/>
  <c r="S248" i="1"/>
  <c r="AA248" i="1" s="1"/>
  <c r="R248" i="1"/>
  <c r="Q248" i="1"/>
  <c r="AB247" i="1"/>
  <c r="Z247" i="1"/>
  <c r="X247" i="1"/>
  <c r="W247" i="1"/>
  <c r="V247" i="1"/>
  <c r="Y247" i="1" s="1"/>
  <c r="U247" i="1"/>
  <c r="T247" i="1"/>
  <c r="S247" i="1"/>
  <c r="AA247" i="1" s="1"/>
  <c r="R247" i="1"/>
  <c r="Q247" i="1"/>
  <c r="AB246" i="1"/>
  <c r="X246" i="1"/>
  <c r="W246" i="1"/>
  <c r="Z246" i="1" s="1"/>
  <c r="V246" i="1"/>
  <c r="Y246" i="1" s="1"/>
  <c r="U246" i="1"/>
  <c r="T246" i="1"/>
  <c r="S246" i="1"/>
  <c r="AA246" i="1" s="1"/>
  <c r="R246" i="1"/>
  <c r="Q246" i="1"/>
  <c r="AB245" i="1"/>
  <c r="Z245" i="1"/>
  <c r="X245" i="1"/>
  <c r="W245" i="1"/>
  <c r="V245" i="1"/>
  <c r="U245" i="1"/>
  <c r="T245" i="1"/>
  <c r="S245" i="1"/>
  <c r="AA245" i="1" s="1"/>
  <c r="R245" i="1"/>
  <c r="Q245" i="1"/>
  <c r="AB244" i="1"/>
  <c r="X244" i="1"/>
  <c r="W244" i="1"/>
  <c r="Z244" i="1" s="1"/>
  <c r="V244" i="1"/>
  <c r="Y244" i="1" s="1"/>
  <c r="U244" i="1"/>
  <c r="T244" i="1"/>
  <c r="S244" i="1"/>
  <c r="AA244" i="1" s="1"/>
  <c r="R244" i="1"/>
  <c r="Q244" i="1"/>
  <c r="AB243" i="1"/>
  <c r="Z243" i="1"/>
  <c r="X243" i="1"/>
  <c r="W243" i="1"/>
  <c r="V243" i="1"/>
  <c r="Y243" i="1" s="1"/>
  <c r="U243" i="1"/>
  <c r="T243" i="1"/>
  <c r="S243" i="1"/>
  <c r="AA243" i="1" s="1"/>
  <c r="R243" i="1"/>
  <c r="Q243" i="1"/>
  <c r="AB242" i="1"/>
  <c r="X242" i="1"/>
  <c r="W242" i="1"/>
  <c r="Z242" i="1" s="1"/>
  <c r="V242" i="1"/>
  <c r="Y242" i="1" s="1"/>
  <c r="U242" i="1"/>
  <c r="T242" i="1"/>
  <c r="S242" i="1"/>
  <c r="AA242" i="1" s="1"/>
  <c r="R242" i="1"/>
  <c r="Q242" i="1"/>
  <c r="AB241" i="1"/>
  <c r="Z241" i="1"/>
  <c r="X241" i="1"/>
  <c r="W241" i="1"/>
  <c r="V241" i="1"/>
  <c r="Y241" i="1" s="1"/>
  <c r="U241" i="1"/>
  <c r="T241" i="1"/>
  <c r="S241" i="1"/>
  <c r="AA241" i="1" s="1"/>
  <c r="R241" i="1"/>
  <c r="Q241" i="1"/>
  <c r="AB240" i="1"/>
  <c r="X240" i="1"/>
  <c r="W240" i="1"/>
  <c r="Z240" i="1" s="1"/>
  <c r="V240" i="1"/>
  <c r="Y240" i="1" s="1"/>
  <c r="U240" i="1"/>
  <c r="T240" i="1"/>
  <c r="S240" i="1"/>
  <c r="AA240" i="1" s="1"/>
  <c r="R240" i="1"/>
  <c r="Q240" i="1"/>
  <c r="AB239" i="1"/>
  <c r="Z239" i="1"/>
  <c r="X239" i="1"/>
  <c r="W239" i="1"/>
  <c r="V239" i="1"/>
  <c r="U239" i="1"/>
  <c r="T239" i="1"/>
  <c r="S239" i="1"/>
  <c r="AA239" i="1" s="1"/>
  <c r="R239" i="1"/>
  <c r="Q239" i="1"/>
  <c r="AB238" i="1"/>
  <c r="X238" i="1"/>
  <c r="W238" i="1"/>
  <c r="Z238" i="1" s="1"/>
  <c r="V238" i="1"/>
  <c r="Y238" i="1" s="1"/>
  <c r="U238" i="1"/>
  <c r="T238" i="1"/>
  <c r="S238" i="1"/>
  <c r="AA238" i="1" s="1"/>
  <c r="R238" i="1"/>
  <c r="Q238" i="1"/>
  <c r="AB237" i="1"/>
  <c r="Z237" i="1"/>
  <c r="X237" i="1"/>
  <c r="W237" i="1"/>
  <c r="V237" i="1"/>
  <c r="U237" i="1"/>
  <c r="T237" i="1"/>
  <c r="S237" i="1"/>
  <c r="AA237" i="1" s="1"/>
  <c r="R237" i="1"/>
  <c r="Q237" i="1"/>
  <c r="AB236" i="1"/>
  <c r="X236" i="1"/>
  <c r="W236" i="1"/>
  <c r="Z236" i="1" s="1"/>
  <c r="V236" i="1"/>
  <c r="Y236" i="1" s="1"/>
  <c r="U236" i="1"/>
  <c r="T236" i="1"/>
  <c r="S236" i="1"/>
  <c r="AA236" i="1" s="1"/>
  <c r="R236" i="1"/>
  <c r="Q236" i="1"/>
  <c r="AB235" i="1"/>
  <c r="Z235" i="1"/>
  <c r="X235" i="1"/>
  <c r="W235" i="1"/>
  <c r="V235" i="1"/>
  <c r="U235" i="1"/>
  <c r="T235" i="1"/>
  <c r="S235" i="1"/>
  <c r="AA235" i="1" s="1"/>
  <c r="R235" i="1"/>
  <c r="Q235" i="1"/>
  <c r="AB234" i="1"/>
  <c r="X234" i="1"/>
  <c r="W234" i="1"/>
  <c r="Z234" i="1" s="1"/>
  <c r="V234" i="1"/>
  <c r="Y234" i="1" s="1"/>
  <c r="U234" i="1"/>
  <c r="T234" i="1"/>
  <c r="S234" i="1"/>
  <c r="AA234" i="1" s="1"/>
  <c r="R234" i="1"/>
  <c r="Q234" i="1"/>
  <c r="AB233" i="1"/>
  <c r="Z233" i="1"/>
  <c r="X233" i="1"/>
  <c r="W233" i="1"/>
  <c r="V233" i="1"/>
  <c r="Y233" i="1" s="1"/>
  <c r="U233" i="1"/>
  <c r="T233" i="1"/>
  <c r="S233" i="1"/>
  <c r="AA233" i="1" s="1"/>
  <c r="R233" i="1"/>
  <c r="Q233" i="1"/>
  <c r="AB232" i="1"/>
  <c r="X232" i="1"/>
  <c r="W232" i="1"/>
  <c r="Z232" i="1" s="1"/>
  <c r="V232" i="1"/>
  <c r="Y232" i="1" s="1"/>
  <c r="U232" i="1"/>
  <c r="T232" i="1"/>
  <c r="S232" i="1"/>
  <c r="AA232" i="1" s="1"/>
  <c r="R232" i="1"/>
  <c r="Q232" i="1"/>
  <c r="AB231" i="1"/>
  <c r="Z231" i="1"/>
  <c r="X231" i="1"/>
  <c r="W231" i="1"/>
  <c r="V231" i="1"/>
  <c r="Y231" i="1" s="1"/>
  <c r="U231" i="1"/>
  <c r="T231" i="1"/>
  <c r="S231" i="1"/>
  <c r="AA231" i="1" s="1"/>
  <c r="R231" i="1"/>
  <c r="Q231" i="1"/>
  <c r="AB230" i="1"/>
  <c r="X230" i="1"/>
  <c r="W230" i="1"/>
  <c r="Z230" i="1" s="1"/>
  <c r="V230" i="1"/>
  <c r="Y230" i="1" s="1"/>
  <c r="U230" i="1"/>
  <c r="T230" i="1"/>
  <c r="S230" i="1"/>
  <c r="AA230" i="1" s="1"/>
  <c r="R230" i="1"/>
  <c r="Q230" i="1"/>
  <c r="AB229" i="1"/>
  <c r="Z229" i="1"/>
  <c r="X229" i="1"/>
  <c r="W229" i="1"/>
  <c r="V229" i="1"/>
  <c r="U229" i="1"/>
  <c r="T229" i="1"/>
  <c r="S229" i="1"/>
  <c r="AA229" i="1" s="1"/>
  <c r="R229" i="1"/>
  <c r="Q229" i="1"/>
  <c r="AB228" i="1"/>
  <c r="X228" i="1"/>
  <c r="W228" i="1"/>
  <c r="Z228" i="1" s="1"/>
  <c r="V228" i="1"/>
  <c r="Y228" i="1" s="1"/>
  <c r="U228" i="1"/>
  <c r="T228" i="1"/>
  <c r="S228" i="1"/>
  <c r="AA228" i="1" s="1"/>
  <c r="R228" i="1"/>
  <c r="Q228" i="1"/>
  <c r="AB227" i="1"/>
  <c r="Z227" i="1"/>
  <c r="X227" i="1"/>
  <c r="W227" i="1"/>
  <c r="V227" i="1"/>
  <c r="Y227" i="1" s="1"/>
  <c r="U227" i="1"/>
  <c r="T227" i="1"/>
  <c r="S227" i="1"/>
  <c r="AA227" i="1" s="1"/>
  <c r="R227" i="1"/>
  <c r="Q227" i="1"/>
  <c r="AB226" i="1"/>
  <c r="X226" i="1"/>
  <c r="W226" i="1"/>
  <c r="Z226" i="1" s="1"/>
  <c r="V226" i="1"/>
  <c r="Y226" i="1" s="1"/>
  <c r="U226" i="1"/>
  <c r="T226" i="1"/>
  <c r="S226" i="1"/>
  <c r="AA226" i="1" s="1"/>
  <c r="R226" i="1"/>
  <c r="Q226" i="1"/>
  <c r="AB225" i="1"/>
  <c r="Z225" i="1"/>
  <c r="X225" i="1"/>
  <c r="W225" i="1"/>
  <c r="V225" i="1"/>
  <c r="Y225" i="1" s="1"/>
  <c r="U225" i="1"/>
  <c r="T225" i="1"/>
  <c r="S225" i="1"/>
  <c r="AA225" i="1" s="1"/>
  <c r="R225" i="1"/>
  <c r="Q225" i="1"/>
  <c r="AB224" i="1"/>
  <c r="X224" i="1"/>
  <c r="W224" i="1"/>
  <c r="Z224" i="1" s="1"/>
  <c r="V224" i="1"/>
  <c r="Y224" i="1" s="1"/>
  <c r="U224" i="1"/>
  <c r="T224" i="1"/>
  <c r="S224" i="1"/>
  <c r="AA224" i="1" s="1"/>
  <c r="R224" i="1"/>
  <c r="Q224" i="1"/>
  <c r="AB223" i="1"/>
  <c r="Z223" i="1"/>
  <c r="X223" i="1"/>
  <c r="W223" i="1"/>
  <c r="V223" i="1"/>
  <c r="U223" i="1"/>
  <c r="T223" i="1"/>
  <c r="S223" i="1"/>
  <c r="AA223" i="1" s="1"/>
  <c r="R223" i="1"/>
  <c r="Q223" i="1"/>
  <c r="AB222" i="1"/>
  <c r="X222" i="1"/>
  <c r="W222" i="1"/>
  <c r="Z222" i="1" s="1"/>
  <c r="V222" i="1"/>
  <c r="Y222" i="1" s="1"/>
  <c r="U222" i="1"/>
  <c r="T222" i="1"/>
  <c r="S222" i="1"/>
  <c r="AA222" i="1" s="1"/>
  <c r="R222" i="1"/>
  <c r="Q222" i="1"/>
  <c r="AB221" i="1"/>
  <c r="AA221" i="1"/>
  <c r="Z221" i="1"/>
  <c r="X221" i="1"/>
  <c r="W221" i="1"/>
  <c r="V221" i="1"/>
  <c r="U221" i="1"/>
  <c r="T221" i="1"/>
  <c r="S221" i="1"/>
  <c r="R221" i="1"/>
  <c r="Q221" i="1"/>
  <c r="AB220" i="1"/>
  <c r="X220" i="1"/>
  <c r="W220" i="1"/>
  <c r="V220" i="1"/>
  <c r="Y220" i="1" s="1"/>
  <c r="U220" i="1"/>
  <c r="T220" i="1"/>
  <c r="S220" i="1"/>
  <c r="AA220" i="1" s="1"/>
  <c r="R220" i="1"/>
  <c r="Q220" i="1"/>
  <c r="AB219" i="1"/>
  <c r="AA219" i="1"/>
  <c r="X219" i="1"/>
  <c r="W219" i="1"/>
  <c r="V219" i="1"/>
  <c r="U219" i="1"/>
  <c r="T219" i="1"/>
  <c r="S219" i="1"/>
  <c r="R219" i="1"/>
  <c r="Q219" i="1"/>
  <c r="AB218" i="1"/>
  <c r="X218" i="1"/>
  <c r="W218" i="1"/>
  <c r="Z218" i="1" s="1"/>
  <c r="V218" i="1"/>
  <c r="Y218" i="1" s="1"/>
  <c r="U218" i="1"/>
  <c r="T218" i="1"/>
  <c r="S218" i="1"/>
  <c r="AA218" i="1" s="1"/>
  <c r="R218" i="1"/>
  <c r="Q218" i="1"/>
  <c r="AB217" i="1"/>
  <c r="AA217" i="1"/>
  <c r="Z217" i="1"/>
  <c r="X217" i="1"/>
  <c r="W217" i="1"/>
  <c r="V217" i="1"/>
  <c r="Y217" i="1" s="1"/>
  <c r="U217" i="1"/>
  <c r="T217" i="1"/>
  <c r="S217" i="1"/>
  <c r="R217" i="1"/>
  <c r="Q217" i="1"/>
  <c r="AB216" i="1"/>
  <c r="X216" i="1"/>
  <c r="W216" i="1"/>
  <c r="V216" i="1"/>
  <c r="Y216" i="1" s="1"/>
  <c r="U216" i="1"/>
  <c r="T216" i="1"/>
  <c r="S216" i="1"/>
  <c r="AA216" i="1" s="1"/>
  <c r="R216" i="1"/>
  <c r="Q216" i="1"/>
  <c r="AB215" i="1"/>
  <c r="AA215" i="1"/>
  <c r="X215" i="1"/>
  <c r="W215" i="1"/>
  <c r="V215" i="1"/>
  <c r="Y215" i="1" s="1"/>
  <c r="U215" i="1"/>
  <c r="T215" i="1"/>
  <c r="S215" i="1"/>
  <c r="R215" i="1"/>
  <c r="Q215" i="1"/>
  <c r="AB214" i="1"/>
  <c r="X214" i="1"/>
  <c r="W214" i="1"/>
  <c r="Z214" i="1" s="1"/>
  <c r="V214" i="1"/>
  <c r="Y214" i="1" s="1"/>
  <c r="U214" i="1"/>
  <c r="T214" i="1"/>
  <c r="S214" i="1"/>
  <c r="AA214" i="1" s="1"/>
  <c r="R214" i="1"/>
  <c r="Q214" i="1"/>
  <c r="AB213" i="1"/>
  <c r="Z213" i="1"/>
  <c r="X213" i="1"/>
  <c r="W213" i="1"/>
  <c r="V213" i="1"/>
  <c r="Y213" i="1" s="1"/>
  <c r="U213" i="1"/>
  <c r="T213" i="1"/>
  <c r="S213" i="1"/>
  <c r="AA213" i="1" s="1"/>
  <c r="R213" i="1"/>
  <c r="Q213" i="1"/>
  <c r="AB212" i="1"/>
  <c r="X212" i="1"/>
  <c r="W212" i="1"/>
  <c r="V212" i="1"/>
  <c r="Y212" i="1" s="1"/>
  <c r="U212" i="1"/>
  <c r="T212" i="1"/>
  <c r="S212" i="1"/>
  <c r="R212" i="1"/>
  <c r="Q212" i="1"/>
  <c r="AB211" i="1"/>
  <c r="AA211" i="1"/>
  <c r="X211" i="1"/>
  <c r="W211" i="1"/>
  <c r="V211" i="1"/>
  <c r="Y211" i="1" s="1"/>
  <c r="U211" i="1"/>
  <c r="T211" i="1"/>
  <c r="S211" i="1"/>
  <c r="R211" i="1"/>
  <c r="Q211" i="1"/>
  <c r="AB210" i="1"/>
  <c r="X210" i="1"/>
  <c r="W210" i="1"/>
  <c r="Z210" i="1" s="1"/>
  <c r="V210" i="1"/>
  <c r="Y210" i="1" s="1"/>
  <c r="U210" i="1"/>
  <c r="T210" i="1"/>
  <c r="S210" i="1"/>
  <c r="AA210" i="1" s="1"/>
  <c r="R210" i="1"/>
  <c r="Q210" i="1"/>
  <c r="AB209" i="1"/>
  <c r="Z209" i="1"/>
  <c r="X209" i="1"/>
  <c r="W209" i="1"/>
  <c r="V209" i="1"/>
  <c r="U209" i="1"/>
  <c r="T209" i="1"/>
  <c r="S209" i="1"/>
  <c r="AA209" i="1" s="1"/>
  <c r="R209" i="1"/>
  <c r="Q209" i="1"/>
  <c r="AB208" i="1"/>
  <c r="X208" i="1"/>
  <c r="W208" i="1"/>
  <c r="V208" i="1"/>
  <c r="Y208" i="1" s="1"/>
  <c r="U208" i="1"/>
  <c r="T208" i="1"/>
  <c r="S208" i="1"/>
  <c r="R208" i="1"/>
  <c r="Q208" i="1"/>
  <c r="AB207" i="1"/>
  <c r="AA207" i="1"/>
  <c r="X207" i="1"/>
  <c r="W207" i="1"/>
  <c r="V207" i="1"/>
  <c r="Y207" i="1" s="1"/>
  <c r="U207" i="1"/>
  <c r="T207" i="1"/>
  <c r="S207" i="1"/>
  <c r="R207" i="1"/>
  <c r="Q207" i="1"/>
  <c r="AB206" i="1"/>
  <c r="X206" i="1"/>
  <c r="W206" i="1"/>
  <c r="V206" i="1"/>
  <c r="Y206" i="1" s="1"/>
  <c r="U206" i="1"/>
  <c r="T206" i="1"/>
  <c r="S206" i="1"/>
  <c r="R206" i="1"/>
  <c r="Q206" i="1"/>
  <c r="AB205" i="1"/>
  <c r="AA205" i="1"/>
  <c r="X205" i="1"/>
  <c r="W205" i="1"/>
  <c r="V205" i="1"/>
  <c r="U205" i="1"/>
  <c r="T205" i="1"/>
  <c r="S205" i="1"/>
  <c r="R205" i="1"/>
  <c r="Q205" i="1"/>
  <c r="AB204" i="1"/>
  <c r="Z204" i="1"/>
  <c r="X204" i="1"/>
  <c r="W204" i="1"/>
  <c r="V204" i="1"/>
  <c r="Y204" i="1" s="1"/>
  <c r="U204" i="1"/>
  <c r="T204" i="1"/>
  <c r="S204" i="1"/>
  <c r="R204" i="1"/>
  <c r="Q204" i="1"/>
  <c r="AB203" i="1"/>
  <c r="Z203" i="1"/>
  <c r="X203" i="1"/>
  <c r="W203" i="1"/>
  <c r="V203" i="1"/>
  <c r="Y203" i="1" s="1"/>
  <c r="U203" i="1"/>
  <c r="T203" i="1"/>
  <c r="AA203" i="1" s="1"/>
  <c r="S203" i="1"/>
  <c r="R203" i="1"/>
  <c r="Q203" i="1"/>
  <c r="AB202" i="1"/>
  <c r="Z202" i="1"/>
  <c r="X202" i="1"/>
  <c r="W202" i="1"/>
  <c r="V202" i="1"/>
  <c r="Y202" i="1" s="1"/>
  <c r="U202" i="1"/>
  <c r="T202" i="1"/>
  <c r="S202" i="1"/>
  <c r="AA202" i="1" s="1"/>
  <c r="R202" i="1"/>
  <c r="Q202" i="1"/>
  <c r="AB201" i="1"/>
  <c r="Z201" i="1"/>
  <c r="X201" i="1"/>
  <c r="W201" i="1"/>
  <c r="V201" i="1"/>
  <c r="U201" i="1"/>
  <c r="T201" i="1"/>
  <c r="S201" i="1"/>
  <c r="R201" i="1"/>
  <c r="Q201" i="1"/>
  <c r="AB200" i="1"/>
  <c r="X200" i="1"/>
  <c r="W200" i="1"/>
  <c r="Z200" i="1" s="1"/>
  <c r="V200" i="1"/>
  <c r="Y200" i="1" s="1"/>
  <c r="U200" i="1"/>
  <c r="T200" i="1"/>
  <c r="S200" i="1"/>
  <c r="AA200" i="1" s="1"/>
  <c r="R200" i="1"/>
  <c r="Q200" i="1"/>
  <c r="AB199" i="1"/>
  <c r="Z199" i="1"/>
  <c r="X199" i="1"/>
  <c r="W199" i="1"/>
  <c r="V199" i="1"/>
  <c r="Y199" i="1" s="1"/>
  <c r="U199" i="1"/>
  <c r="T199" i="1"/>
  <c r="S199" i="1"/>
  <c r="AA199" i="1" s="1"/>
  <c r="R199" i="1"/>
  <c r="Q199" i="1"/>
  <c r="AB198" i="1"/>
  <c r="X198" i="1"/>
  <c r="W198" i="1"/>
  <c r="Z198" i="1" s="1"/>
  <c r="V198" i="1"/>
  <c r="U198" i="1"/>
  <c r="T198" i="1"/>
  <c r="S198" i="1"/>
  <c r="AA198" i="1" s="1"/>
  <c r="R198" i="1"/>
  <c r="Q198" i="1"/>
  <c r="AB197" i="1"/>
  <c r="X197" i="1"/>
  <c r="W197" i="1"/>
  <c r="V197" i="1"/>
  <c r="Y197" i="1" s="1"/>
  <c r="U197" i="1"/>
  <c r="T197" i="1"/>
  <c r="S197" i="1"/>
  <c r="AA197" i="1" s="1"/>
  <c r="R197" i="1"/>
  <c r="Q197" i="1"/>
  <c r="AB196" i="1"/>
  <c r="X196" i="1"/>
  <c r="W196" i="1"/>
  <c r="Z195" i="1" s="1"/>
  <c r="V196" i="1"/>
  <c r="U196" i="1"/>
  <c r="T196" i="1"/>
  <c r="S196" i="1"/>
  <c r="R196" i="1"/>
  <c r="Q196" i="1"/>
  <c r="AB195" i="1"/>
  <c r="X195" i="1"/>
  <c r="W195" i="1"/>
  <c r="V195" i="1"/>
  <c r="Y195" i="1" s="1"/>
  <c r="U195" i="1"/>
  <c r="T195" i="1"/>
  <c r="S195" i="1"/>
  <c r="AA195" i="1" s="1"/>
  <c r="R195" i="1"/>
  <c r="Q195" i="1"/>
  <c r="AB194" i="1"/>
  <c r="X194" i="1"/>
  <c r="W194" i="1"/>
  <c r="Z194" i="1" s="1"/>
  <c r="V194" i="1"/>
  <c r="Y194" i="1" s="1"/>
  <c r="U194" i="1"/>
  <c r="T194" i="1"/>
  <c r="S194" i="1"/>
  <c r="R194" i="1"/>
  <c r="Q194" i="1"/>
  <c r="AB193" i="1"/>
  <c r="AA193" i="1"/>
  <c r="X193" i="1"/>
  <c r="W193" i="1"/>
  <c r="V193" i="1"/>
  <c r="U193" i="1"/>
  <c r="T193" i="1"/>
  <c r="S193" i="1"/>
  <c r="R193" i="1"/>
  <c r="Q193" i="1"/>
  <c r="AB192" i="1"/>
  <c r="X192" i="1"/>
  <c r="W192" i="1"/>
  <c r="V192" i="1"/>
  <c r="Y192" i="1" s="1"/>
  <c r="U192" i="1"/>
  <c r="T192" i="1"/>
  <c r="S192" i="1"/>
  <c r="R192" i="1"/>
  <c r="Q192" i="1"/>
  <c r="AB191" i="1"/>
  <c r="AA191" i="1"/>
  <c r="X191" i="1"/>
  <c r="W191" i="1"/>
  <c r="V191" i="1"/>
  <c r="Y191" i="1" s="1"/>
  <c r="U191" i="1"/>
  <c r="T191" i="1"/>
  <c r="S191" i="1"/>
  <c r="R191" i="1"/>
  <c r="Q191" i="1"/>
  <c r="AB190" i="1"/>
  <c r="X190" i="1"/>
  <c r="W190" i="1"/>
  <c r="V190" i="1"/>
  <c r="Y190" i="1" s="1"/>
  <c r="U190" i="1"/>
  <c r="T190" i="1"/>
  <c r="S190" i="1"/>
  <c r="R190" i="1"/>
  <c r="Q190" i="1"/>
  <c r="AB189" i="1"/>
  <c r="AA189" i="1"/>
  <c r="X189" i="1"/>
  <c r="W189" i="1"/>
  <c r="V189" i="1"/>
  <c r="U189" i="1"/>
  <c r="T189" i="1"/>
  <c r="S189" i="1"/>
  <c r="R189" i="1"/>
  <c r="Q189" i="1"/>
  <c r="AB188" i="1"/>
  <c r="Z188" i="1"/>
  <c r="X188" i="1"/>
  <c r="W188" i="1"/>
  <c r="V188" i="1"/>
  <c r="Y188" i="1" s="1"/>
  <c r="U188" i="1"/>
  <c r="T188" i="1"/>
  <c r="S188" i="1"/>
  <c r="R188" i="1"/>
  <c r="Q188" i="1"/>
  <c r="AB187" i="1"/>
  <c r="Z187" i="1"/>
  <c r="X187" i="1"/>
  <c r="W187" i="1"/>
  <c r="V187" i="1"/>
  <c r="Y187" i="1" s="1"/>
  <c r="U187" i="1"/>
  <c r="T187" i="1"/>
  <c r="S187" i="1"/>
  <c r="R187" i="1"/>
  <c r="Q187" i="1"/>
  <c r="AB186" i="1"/>
  <c r="Z186" i="1"/>
  <c r="X186" i="1"/>
  <c r="W186" i="1"/>
  <c r="V186" i="1"/>
  <c r="Y186" i="1" s="1"/>
  <c r="U186" i="1"/>
  <c r="T186" i="1"/>
  <c r="S186" i="1"/>
  <c r="AA186" i="1" s="1"/>
  <c r="R186" i="1"/>
  <c r="Q186" i="1"/>
  <c r="AB185" i="1"/>
  <c r="Z185" i="1"/>
  <c r="X185" i="1"/>
  <c r="W185" i="1"/>
  <c r="V185" i="1"/>
  <c r="U185" i="1"/>
  <c r="T185" i="1"/>
  <c r="S185" i="1"/>
  <c r="AA185" i="1" s="1"/>
  <c r="R185" i="1"/>
  <c r="Q185" i="1"/>
  <c r="AB184" i="1"/>
  <c r="X184" i="1"/>
  <c r="W184" i="1"/>
  <c r="Z184" i="1" s="1"/>
  <c r="V184" i="1"/>
  <c r="Y184" i="1" s="1"/>
  <c r="U184" i="1"/>
  <c r="T184" i="1"/>
  <c r="S184" i="1"/>
  <c r="AA184" i="1" s="1"/>
  <c r="R184" i="1"/>
  <c r="Q184" i="1"/>
  <c r="AB183" i="1"/>
  <c r="Z183" i="1"/>
  <c r="X183" i="1"/>
  <c r="W183" i="1"/>
  <c r="V183" i="1"/>
  <c r="Y183" i="1" s="1"/>
  <c r="U183" i="1"/>
  <c r="T183" i="1"/>
  <c r="S183" i="1"/>
  <c r="AA183" i="1" s="1"/>
  <c r="R183" i="1"/>
  <c r="Q183" i="1"/>
  <c r="AB182" i="1"/>
  <c r="X182" i="1"/>
  <c r="W182" i="1"/>
  <c r="Z182" i="1" s="1"/>
  <c r="V182" i="1"/>
  <c r="U182" i="1"/>
  <c r="T182" i="1"/>
  <c r="S182" i="1"/>
  <c r="AA182" i="1" s="1"/>
  <c r="R182" i="1"/>
  <c r="Q182" i="1"/>
  <c r="AB181" i="1"/>
  <c r="X181" i="1"/>
  <c r="W181" i="1"/>
  <c r="V181" i="1"/>
  <c r="Y181" i="1" s="1"/>
  <c r="U181" i="1"/>
  <c r="T181" i="1"/>
  <c r="S181" i="1"/>
  <c r="AA181" i="1" s="1"/>
  <c r="R181" i="1"/>
  <c r="Q181" i="1"/>
  <c r="AB180" i="1"/>
  <c r="X180" i="1"/>
  <c r="W180" i="1"/>
  <c r="Z179" i="1" s="1"/>
  <c r="V180" i="1"/>
  <c r="U180" i="1"/>
  <c r="T180" i="1"/>
  <c r="S180" i="1"/>
  <c r="R180" i="1"/>
  <c r="Q180" i="1"/>
  <c r="AB179" i="1"/>
  <c r="X179" i="1"/>
  <c r="W179" i="1"/>
  <c r="V179" i="1"/>
  <c r="Y179" i="1" s="1"/>
  <c r="U179" i="1"/>
  <c r="T179" i="1"/>
  <c r="S179" i="1"/>
  <c r="AA179" i="1" s="1"/>
  <c r="R179" i="1"/>
  <c r="Q179" i="1"/>
  <c r="AB178" i="1"/>
  <c r="X178" i="1"/>
  <c r="W178" i="1"/>
  <c r="Z178" i="1" s="1"/>
  <c r="V178" i="1"/>
  <c r="Y178" i="1" s="1"/>
  <c r="U178" i="1"/>
  <c r="T178" i="1"/>
  <c r="S178" i="1"/>
  <c r="R178" i="1"/>
  <c r="Q178" i="1"/>
  <c r="AB177" i="1"/>
  <c r="AA177" i="1"/>
  <c r="X177" i="1"/>
  <c r="W177" i="1"/>
  <c r="V177" i="1"/>
  <c r="U177" i="1"/>
  <c r="T177" i="1"/>
  <c r="S177" i="1"/>
  <c r="R177" i="1"/>
  <c r="Q177" i="1"/>
  <c r="AB176" i="1"/>
  <c r="X176" i="1"/>
  <c r="W176" i="1"/>
  <c r="V176" i="1"/>
  <c r="Y176" i="1" s="1"/>
  <c r="U176" i="1"/>
  <c r="T176" i="1"/>
  <c r="S176" i="1"/>
  <c r="R176" i="1"/>
  <c r="Q176" i="1"/>
  <c r="AB175" i="1"/>
  <c r="AA175" i="1"/>
  <c r="X175" i="1"/>
  <c r="W175" i="1"/>
  <c r="V175" i="1"/>
  <c r="U175" i="1"/>
  <c r="T175" i="1"/>
  <c r="S175" i="1"/>
  <c r="R175" i="1"/>
  <c r="Q175" i="1"/>
  <c r="AB174" i="1"/>
  <c r="X174" i="1"/>
  <c r="W174" i="1"/>
  <c r="V174" i="1"/>
  <c r="Y174" i="1" s="1"/>
  <c r="U174" i="1"/>
  <c r="T174" i="1"/>
  <c r="S174" i="1"/>
  <c r="R174" i="1"/>
  <c r="Q174" i="1"/>
  <c r="AB173" i="1"/>
  <c r="AA173" i="1"/>
  <c r="X173" i="1"/>
  <c r="W173" i="1"/>
  <c r="V173" i="1"/>
  <c r="U173" i="1"/>
  <c r="T173" i="1"/>
  <c r="S173" i="1"/>
  <c r="R173" i="1"/>
  <c r="Q173" i="1"/>
  <c r="AB172" i="1"/>
  <c r="Z172" i="1"/>
  <c r="X172" i="1"/>
  <c r="W172" i="1"/>
  <c r="V172" i="1"/>
  <c r="Y172" i="1" s="1"/>
  <c r="U172" i="1"/>
  <c r="T172" i="1"/>
  <c r="S172" i="1"/>
  <c r="R172" i="1"/>
  <c r="Q172" i="1"/>
  <c r="AB171" i="1"/>
  <c r="Z171" i="1"/>
  <c r="X171" i="1"/>
  <c r="W171" i="1"/>
  <c r="V171" i="1"/>
  <c r="Y171" i="1" s="1"/>
  <c r="U171" i="1"/>
  <c r="T171" i="1"/>
  <c r="S171" i="1"/>
  <c r="R171" i="1"/>
  <c r="Q171" i="1"/>
  <c r="AB170" i="1"/>
  <c r="Z170" i="1"/>
  <c r="X170" i="1"/>
  <c r="W170" i="1"/>
  <c r="V170" i="1"/>
  <c r="Y170" i="1" s="1"/>
  <c r="U170" i="1"/>
  <c r="T170" i="1"/>
  <c r="S170" i="1"/>
  <c r="AA170" i="1" s="1"/>
  <c r="R170" i="1"/>
  <c r="Q170" i="1"/>
  <c r="AB169" i="1"/>
  <c r="Z169" i="1"/>
  <c r="X169" i="1"/>
  <c r="W169" i="1"/>
  <c r="V169" i="1"/>
  <c r="U169" i="1"/>
  <c r="T169" i="1"/>
  <c r="S169" i="1"/>
  <c r="AA169" i="1" s="1"/>
  <c r="R169" i="1"/>
  <c r="Q169" i="1"/>
  <c r="AB168" i="1"/>
  <c r="X168" i="1"/>
  <c r="W168" i="1"/>
  <c r="Z168" i="1" s="1"/>
  <c r="V168" i="1"/>
  <c r="Y168" i="1" s="1"/>
  <c r="U168" i="1"/>
  <c r="T168" i="1"/>
  <c r="S168" i="1"/>
  <c r="AA168" i="1" s="1"/>
  <c r="R168" i="1"/>
  <c r="Q168" i="1"/>
  <c r="AB167" i="1"/>
  <c r="Z167" i="1"/>
  <c r="X167" i="1"/>
  <c r="W167" i="1"/>
  <c r="V167" i="1"/>
  <c r="Y167" i="1" s="1"/>
  <c r="U167" i="1"/>
  <c r="T167" i="1"/>
  <c r="S167" i="1"/>
  <c r="AA167" i="1" s="1"/>
  <c r="R167" i="1"/>
  <c r="Q167" i="1"/>
  <c r="AB166" i="1"/>
  <c r="X166" i="1"/>
  <c r="W166" i="1"/>
  <c r="Z166" i="1" s="1"/>
  <c r="V166" i="1"/>
  <c r="U166" i="1"/>
  <c r="T166" i="1"/>
  <c r="S166" i="1"/>
  <c r="AA166" i="1" s="1"/>
  <c r="R166" i="1"/>
  <c r="Q166" i="1"/>
  <c r="AB165" i="1"/>
  <c r="X165" i="1"/>
  <c r="W165" i="1"/>
  <c r="V165" i="1"/>
  <c r="Y165" i="1" s="1"/>
  <c r="U165" i="1"/>
  <c r="T165" i="1"/>
  <c r="S165" i="1"/>
  <c r="AA165" i="1" s="1"/>
  <c r="R165" i="1"/>
  <c r="Q165" i="1"/>
  <c r="AB164" i="1"/>
  <c r="X164" i="1"/>
  <c r="W164" i="1"/>
  <c r="Z163" i="1" s="1"/>
  <c r="V164" i="1"/>
  <c r="U164" i="1"/>
  <c r="T164" i="1"/>
  <c r="S164" i="1"/>
  <c r="R164" i="1"/>
  <c r="Q164" i="1"/>
  <c r="AB163" i="1"/>
  <c r="X163" i="1"/>
  <c r="W163" i="1"/>
  <c r="V163" i="1"/>
  <c r="Y163" i="1" s="1"/>
  <c r="U163" i="1"/>
  <c r="T163" i="1"/>
  <c r="S163" i="1"/>
  <c r="AA163" i="1" s="1"/>
  <c r="R163" i="1"/>
  <c r="Q163" i="1"/>
  <c r="AB162" i="1"/>
  <c r="X162" i="1"/>
  <c r="W162" i="1"/>
  <c r="Z162" i="1" s="1"/>
  <c r="V162" i="1"/>
  <c r="Y162" i="1" s="1"/>
  <c r="U162" i="1"/>
  <c r="T162" i="1"/>
  <c r="S162" i="1"/>
  <c r="R162" i="1"/>
  <c r="Q162" i="1"/>
  <c r="AB161" i="1"/>
  <c r="AA161" i="1"/>
  <c r="X161" i="1"/>
  <c r="W161" i="1"/>
  <c r="V161" i="1"/>
  <c r="U161" i="1"/>
  <c r="T161" i="1"/>
  <c r="S161" i="1"/>
  <c r="R161" i="1"/>
  <c r="Q161" i="1"/>
  <c r="AB160" i="1"/>
  <c r="X160" i="1"/>
  <c r="W160" i="1"/>
  <c r="V160" i="1"/>
  <c r="Y160" i="1" s="1"/>
  <c r="U160" i="1"/>
  <c r="T160" i="1"/>
  <c r="S160" i="1"/>
  <c r="R160" i="1"/>
  <c r="Q160" i="1"/>
  <c r="AB159" i="1"/>
  <c r="AA159" i="1"/>
  <c r="X159" i="1"/>
  <c r="W159" i="1"/>
  <c r="V159" i="1"/>
  <c r="U159" i="1"/>
  <c r="T159" i="1"/>
  <c r="S159" i="1"/>
  <c r="R159" i="1"/>
  <c r="Q159" i="1"/>
  <c r="AB158" i="1"/>
  <c r="X158" i="1"/>
  <c r="W158" i="1"/>
  <c r="V158" i="1"/>
  <c r="Y158" i="1" s="1"/>
  <c r="U158" i="1"/>
  <c r="T158" i="1"/>
  <c r="S158" i="1"/>
  <c r="R158" i="1"/>
  <c r="Q158" i="1"/>
  <c r="AB157" i="1"/>
  <c r="AA157" i="1"/>
  <c r="X157" i="1"/>
  <c r="W157" i="1"/>
  <c r="V157" i="1"/>
  <c r="U157" i="1"/>
  <c r="T157" i="1"/>
  <c r="S157" i="1"/>
  <c r="R157" i="1"/>
  <c r="Q157" i="1"/>
  <c r="AB156" i="1"/>
  <c r="Z156" i="1"/>
  <c r="X156" i="1"/>
  <c r="W156" i="1"/>
  <c r="V156" i="1"/>
  <c r="Y156" i="1" s="1"/>
  <c r="U156" i="1"/>
  <c r="T156" i="1"/>
  <c r="S156" i="1"/>
  <c r="R156" i="1"/>
  <c r="Q156" i="1"/>
  <c r="AB155" i="1"/>
  <c r="X155" i="1"/>
  <c r="W155" i="1"/>
  <c r="Z155" i="1" s="1"/>
  <c r="V155" i="1"/>
  <c r="Y155" i="1" s="1"/>
  <c r="U155" i="1"/>
  <c r="T155" i="1"/>
  <c r="S155" i="1"/>
  <c r="AA155" i="1" s="1"/>
  <c r="R155" i="1"/>
  <c r="Q155" i="1"/>
  <c r="AB154" i="1"/>
  <c r="AA154" i="1"/>
  <c r="X154" i="1"/>
  <c r="W154" i="1"/>
  <c r="Z154" i="1" s="1"/>
  <c r="V154" i="1"/>
  <c r="U154" i="1"/>
  <c r="T154" i="1"/>
  <c r="S154" i="1"/>
  <c r="R154" i="1"/>
  <c r="Q154" i="1"/>
  <c r="AB153" i="1"/>
  <c r="AA153" i="1"/>
  <c r="X153" i="1"/>
  <c r="W153" i="1"/>
  <c r="Z153" i="1" s="1"/>
  <c r="V153" i="1"/>
  <c r="U153" i="1"/>
  <c r="T153" i="1"/>
  <c r="S153" i="1"/>
  <c r="R153" i="1"/>
  <c r="Q153" i="1"/>
  <c r="AB152" i="1"/>
  <c r="X152" i="1"/>
  <c r="W152" i="1"/>
  <c r="Z152" i="1" s="1"/>
  <c r="V152" i="1"/>
  <c r="U152" i="1"/>
  <c r="T152" i="1"/>
  <c r="S152" i="1"/>
  <c r="AA152" i="1" s="1"/>
  <c r="R152" i="1"/>
  <c r="Q152" i="1"/>
  <c r="AB151" i="1"/>
  <c r="X151" i="1"/>
  <c r="W151" i="1"/>
  <c r="Z151" i="1" s="1"/>
  <c r="V151" i="1"/>
  <c r="Y151" i="1" s="1"/>
  <c r="U151" i="1"/>
  <c r="T151" i="1"/>
  <c r="S151" i="1"/>
  <c r="AA151" i="1" s="1"/>
  <c r="R151" i="1"/>
  <c r="Q151" i="1"/>
  <c r="AB150" i="1"/>
  <c r="Z150" i="1"/>
  <c r="X150" i="1"/>
  <c r="W150" i="1"/>
  <c r="V150" i="1"/>
  <c r="Y150" i="1" s="1"/>
  <c r="U150" i="1"/>
  <c r="T150" i="1"/>
  <c r="S150" i="1"/>
  <c r="AA150" i="1" s="1"/>
  <c r="R150" i="1"/>
  <c r="Q150" i="1"/>
  <c r="AB149" i="1"/>
  <c r="Z149" i="1"/>
  <c r="X149" i="1"/>
  <c r="W149" i="1"/>
  <c r="V149" i="1"/>
  <c r="U149" i="1"/>
  <c r="T149" i="1"/>
  <c r="S149" i="1"/>
  <c r="AA149" i="1" s="1"/>
  <c r="R149" i="1"/>
  <c r="Q149" i="1"/>
  <c r="AB148" i="1"/>
  <c r="Z148" i="1"/>
  <c r="X148" i="1"/>
  <c r="W148" i="1"/>
  <c r="V148" i="1"/>
  <c r="U148" i="1"/>
  <c r="T148" i="1"/>
  <c r="S148" i="1"/>
  <c r="AA148" i="1" s="1"/>
  <c r="R148" i="1"/>
  <c r="Q148" i="1"/>
  <c r="AB147" i="1"/>
  <c r="X147" i="1"/>
  <c r="W147" i="1"/>
  <c r="Z147" i="1" s="1"/>
  <c r="V147" i="1"/>
  <c r="Y147" i="1" s="1"/>
  <c r="U147" i="1"/>
  <c r="T147" i="1"/>
  <c r="AA147" i="1" s="1"/>
  <c r="S147" i="1"/>
  <c r="R147" i="1"/>
  <c r="Q147" i="1"/>
  <c r="AB146" i="1"/>
  <c r="AA146" i="1"/>
  <c r="X146" i="1"/>
  <c r="W146" i="1"/>
  <c r="V146" i="1"/>
  <c r="U146" i="1"/>
  <c r="T146" i="1"/>
  <c r="S146" i="1"/>
  <c r="R146" i="1"/>
  <c r="Q146" i="1"/>
  <c r="AB145" i="1"/>
  <c r="AA145" i="1"/>
  <c r="X145" i="1"/>
  <c r="W145" i="1"/>
  <c r="Z145" i="1" s="1"/>
  <c r="V145" i="1"/>
  <c r="U145" i="1"/>
  <c r="T145" i="1"/>
  <c r="S145" i="1"/>
  <c r="R145" i="1"/>
  <c r="Q145" i="1"/>
  <c r="AB144" i="1"/>
  <c r="W144" i="1"/>
  <c r="Z144" i="1" s="1"/>
  <c r="V144" i="1"/>
  <c r="Y144" i="1" s="1"/>
  <c r="U144" i="1"/>
  <c r="X143" i="1" s="1"/>
  <c r="T144" i="1"/>
  <c r="S144" i="1"/>
  <c r="AA144" i="1" s="1"/>
  <c r="R144" i="1"/>
  <c r="Q144" i="1"/>
  <c r="AB143" i="1"/>
  <c r="Y143" i="1"/>
  <c r="W143" i="1"/>
  <c r="Z143" i="1" s="1"/>
  <c r="V143" i="1"/>
  <c r="U143" i="1"/>
  <c r="T143" i="1"/>
  <c r="S143" i="1"/>
  <c r="R143" i="1"/>
  <c r="Q143" i="1"/>
  <c r="AB142" i="1"/>
  <c r="W142" i="1"/>
  <c r="V142" i="1"/>
  <c r="Y142" i="1" s="1"/>
  <c r="U142" i="1"/>
  <c r="X142" i="1" s="1"/>
  <c r="T142" i="1"/>
  <c r="AA142" i="1" s="1"/>
  <c r="S142" i="1"/>
  <c r="R142" i="1"/>
  <c r="Q142" i="1"/>
  <c r="AB141" i="1"/>
  <c r="X141" i="1"/>
  <c r="W141" i="1"/>
  <c r="V141" i="1"/>
  <c r="Y141" i="1" s="1"/>
  <c r="U141" i="1"/>
  <c r="T141" i="1"/>
  <c r="S141" i="1"/>
  <c r="AA141" i="1" s="1"/>
  <c r="R141" i="1"/>
  <c r="Q141" i="1"/>
  <c r="AB140" i="1"/>
  <c r="Z140" i="1"/>
  <c r="W140" i="1"/>
  <c r="V140" i="1"/>
  <c r="U140" i="1"/>
  <c r="X140" i="1" s="1"/>
  <c r="T140" i="1"/>
  <c r="S140" i="1"/>
  <c r="AA140" i="1" s="1"/>
  <c r="R140" i="1"/>
  <c r="Q140" i="1"/>
  <c r="AB139" i="1"/>
  <c r="Z139" i="1"/>
  <c r="W139" i="1"/>
  <c r="Z138" i="1" s="1"/>
  <c r="V139" i="1"/>
  <c r="U139" i="1"/>
  <c r="X139" i="1" s="1"/>
  <c r="T139" i="1"/>
  <c r="S139" i="1"/>
  <c r="AA139" i="1" s="1"/>
  <c r="R139" i="1"/>
  <c r="Q139" i="1"/>
  <c r="AB138" i="1"/>
  <c r="W138" i="1"/>
  <c r="V138" i="1"/>
  <c r="U138" i="1"/>
  <c r="X138" i="1" s="1"/>
  <c r="T138" i="1"/>
  <c r="S138" i="1"/>
  <c r="AA138" i="1" s="1"/>
  <c r="R138" i="1"/>
  <c r="Q138" i="1"/>
  <c r="AB137" i="1"/>
  <c r="W137" i="1"/>
  <c r="Z136" i="1" s="1"/>
  <c r="V137" i="1"/>
  <c r="U137" i="1"/>
  <c r="X137" i="1" s="1"/>
  <c r="T137" i="1"/>
  <c r="S137" i="1"/>
  <c r="AA137" i="1" s="1"/>
  <c r="R137" i="1"/>
  <c r="Q137" i="1"/>
  <c r="AB136" i="1"/>
  <c r="W136" i="1"/>
  <c r="V136" i="1"/>
  <c r="U136" i="1"/>
  <c r="X136" i="1" s="1"/>
  <c r="T136" i="1"/>
  <c r="S136" i="1"/>
  <c r="AA136" i="1" s="1"/>
  <c r="R136" i="1"/>
  <c r="Q136" i="1"/>
  <c r="AB135" i="1"/>
  <c r="Z135" i="1"/>
  <c r="W135" i="1"/>
  <c r="Z134" i="1" s="1"/>
  <c r="V135" i="1"/>
  <c r="U135" i="1"/>
  <c r="X135" i="1" s="1"/>
  <c r="T135" i="1"/>
  <c r="S135" i="1"/>
  <c r="AA135" i="1" s="1"/>
  <c r="R135" i="1"/>
  <c r="Q135" i="1"/>
  <c r="AB134" i="1"/>
  <c r="AA134" i="1"/>
  <c r="W134" i="1"/>
  <c r="V134" i="1"/>
  <c r="U134" i="1"/>
  <c r="X134" i="1" s="1"/>
  <c r="T134" i="1"/>
  <c r="S134" i="1"/>
  <c r="R134" i="1"/>
  <c r="Q134" i="1"/>
  <c r="AB133" i="1"/>
  <c r="Z133" i="1"/>
  <c r="W133" i="1"/>
  <c r="Z132" i="1" s="1"/>
  <c r="V133" i="1"/>
  <c r="U133" i="1"/>
  <c r="X133" i="1" s="1"/>
  <c r="T133" i="1"/>
  <c r="S133" i="1"/>
  <c r="AA133" i="1" s="1"/>
  <c r="R133" i="1"/>
  <c r="Q133" i="1"/>
  <c r="AB132" i="1"/>
  <c r="W132" i="1"/>
  <c r="V132" i="1"/>
  <c r="U132" i="1"/>
  <c r="X132" i="1" s="1"/>
  <c r="T132" i="1"/>
  <c r="S132" i="1"/>
  <c r="AA132" i="1" s="1"/>
  <c r="R132" i="1"/>
  <c r="Q132" i="1"/>
  <c r="AB131" i="1"/>
  <c r="Z131" i="1"/>
  <c r="W131" i="1"/>
  <c r="Z130" i="1" s="1"/>
  <c r="V131" i="1"/>
  <c r="U131" i="1"/>
  <c r="X131" i="1" s="1"/>
  <c r="T131" i="1"/>
  <c r="S131" i="1"/>
  <c r="AA131" i="1" s="1"/>
  <c r="R131" i="1"/>
  <c r="Q131" i="1"/>
  <c r="AB130" i="1"/>
  <c r="W130" i="1"/>
  <c r="V130" i="1"/>
  <c r="U130" i="1"/>
  <c r="X130" i="1" s="1"/>
  <c r="T130" i="1"/>
  <c r="S130" i="1"/>
  <c r="AA130" i="1" s="1"/>
  <c r="R130" i="1"/>
  <c r="Q130" i="1"/>
  <c r="AB129" i="1"/>
  <c r="W129" i="1"/>
  <c r="Z128" i="1" s="1"/>
  <c r="V129" i="1"/>
  <c r="U129" i="1"/>
  <c r="X129" i="1" s="1"/>
  <c r="T129" i="1"/>
  <c r="S129" i="1"/>
  <c r="AA129" i="1" s="1"/>
  <c r="R129" i="1"/>
  <c r="Q129" i="1"/>
  <c r="AB128" i="1"/>
  <c r="W128" i="1"/>
  <c r="V128" i="1"/>
  <c r="U128" i="1"/>
  <c r="X128" i="1" s="1"/>
  <c r="T128" i="1"/>
  <c r="S128" i="1"/>
  <c r="AA128" i="1" s="1"/>
  <c r="R128" i="1"/>
  <c r="Q128" i="1"/>
  <c r="AB127" i="1"/>
  <c r="Z127" i="1"/>
  <c r="W127" i="1"/>
  <c r="Z126" i="1" s="1"/>
  <c r="V127" i="1"/>
  <c r="U127" i="1"/>
  <c r="X127" i="1" s="1"/>
  <c r="T127" i="1"/>
  <c r="S127" i="1"/>
  <c r="AA127" i="1" s="1"/>
  <c r="R127" i="1"/>
  <c r="Q127" i="1"/>
  <c r="AB126" i="1"/>
  <c r="X126" i="1"/>
  <c r="W126" i="1"/>
  <c r="V126" i="1"/>
  <c r="U126" i="1"/>
  <c r="T126" i="1"/>
  <c r="S126" i="1"/>
  <c r="AA126" i="1" s="1"/>
  <c r="R126" i="1"/>
  <c r="Q126" i="1"/>
  <c r="AB125" i="1"/>
  <c r="W125" i="1"/>
  <c r="Z124" i="1" s="1"/>
  <c r="V125" i="1"/>
  <c r="U125" i="1"/>
  <c r="X125" i="1" s="1"/>
  <c r="T125" i="1"/>
  <c r="S125" i="1"/>
  <c r="AA125" i="1" s="1"/>
  <c r="R125" i="1"/>
  <c r="Q125" i="1"/>
  <c r="AB124" i="1"/>
  <c r="X124" i="1"/>
  <c r="W124" i="1"/>
  <c r="V124" i="1"/>
  <c r="U124" i="1"/>
  <c r="T124" i="1"/>
  <c r="S124" i="1"/>
  <c r="AA124" i="1" s="1"/>
  <c r="R124" i="1"/>
  <c r="Q124" i="1"/>
  <c r="AB123" i="1"/>
  <c r="W123" i="1"/>
  <c r="Z122" i="1" s="1"/>
  <c r="V123" i="1"/>
  <c r="U123" i="1"/>
  <c r="X123" i="1" s="1"/>
  <c r="T123" i="1"/>
  <c r="S123" i="1"/>
  <c r="AA123" i="1" s="1"/>
  <c r="R123" i="1"/>
  <c r="Q123" i="1"/>
  <c r="AB122" i="1"/>
  <c r="AA122" i="1"/>
  <c r="X122" i="1"/>
  <c r="W122" i="1"/>
  <c r="V122" i="1"/>
  <c r="U122" i="1"/>
  <c r="T122" i="1"/>
  <c r="S122" i="1"/>
  <c r="R122" i="1"/>
  <c r="Q122" i="1"/>
  <c r="AB121" i="1"/>
  <c r="W121" i="1"/>
  <c r="Z120" i="1" s="1"/>
  <c r="V121" i="1"/>
  <c r="U121" i="1"/>
  <c r="X121" i="1" s="1"/>
  <c r="T121" i="1"/>
  <c r="S121" i="1"/>
  <c r="AA121" i="1" s="1"/>
  <c r="R121" i="1"/>
  <c r="Q121" i="1"/>
  <c r="AB120" i="1"/>
  <c r="AA120" i="1"/>
  <c r="X120" i="1"/>
  <c r="W120" i="1"/>
  <c r="V120" i="1"/>
  <c r="U120" i="1"/>
  <c r="T120" i="1"/>
  <c r="S120" i="1"/>
  <c r="R120" i="1"/>
  <c r="Q120" i="1"/>
  <c r="AB119" i="1"/>
  <c r="Z119" i="1"/>
  <c r="W119" i="1"/>
  <c r="Z118" i="1" s="1"/>
  <c r="V119" i="1"/>
  <c r="U119" i="1"/>
  <c r="X119" i="1" s="1"/>
  <c r="T119" i="1"/>
  <c r="S119" i="1"/>
  <c r="AA119" i="1" s="1"/>
  <c r="R119" i="1"/>
  <c r="Q119" i="1"/>
  <c r="AB118" i="1"/>
  <c r="X118" i="1"/>
  <c r="W118" i="1"/>
  <c r="V118" i="1"/>
  <c r="U118" i="1"/>
  <c r="T118" i="1"/>
  <c r="S118" i="1"/>
  <c r="AA118" i="1" s="1"/>
  <c r="R118" i="1"/>
  <c r="Q118" i="1"/>
  <c r="AB117" i="1"/>
  <c r="W117" i="1"/>
  <c r="Z116" i="1" s="1"/>
  <c r="V117" i="1"/>
  <c r="U117" i="1"/>
  <c r="X117" i="1" s="1"/>
  <c r="T117" i="1"/>
  <c r="S117" i="1"/>
  <c r="AA117" i="1" s="1"/>
  <c r="R117" i="1"/>
  <c r="Q117" i="1"/>
  <c r="AB116" i="1"/>
  <c r="AA116" i="1"/>
  <c r="X116" i="1"/>
  <c r="W116" i="1"/>
  <c r="V116" i="1"/>
  <c r="U116" i="1"/>
  <c r="T116" i="1"/>
  <c r="S116" i="1"/>
  <c r="R116" i="1"/>
  <c r="Q116" i="1"/>
  <c r="AB115" i="1"/>
  <c r="Z115" i="1"/>
  <c r="W115" i="1"/>
  <c r="Z114" i="1" s="1"/>
  <c r="V115" i="1"/>
  <c r="U115" i="1"/>
  <c r="X115" i="1" s="1"/>
  <c r="T115" i="1"/>
  <c r="S115" i="1"/>
  <c r="AA115" i="1" s="1"/>
  <c r="R115" i="1"/>
  <c r="Q115" i="1"/>
  <c r="AB114" i="1"/>
  <c r="AA114" i="1"/>
  <c r="X114" i="1"/>
  <c r="W114" i="1"/>
  <c r="V114" i="1"/>
  <c r="U114" i="1"/>
  <c r="T114" i="1"/>
  <c r="S114" i="1"/>
  <c r="R114" i="1"/>
  <c r="Q114" i="1"/>
  <c r="AB113" i="1"/>
  <c r="Z113" i="1"/>
  <c r="W113" i="1"/>
  <c r="Z112" i="1" s="1"/>
  <c r="V113" i="1"/>
  <c r="U113" i="1"/>
  <c r="X113" i="1" s="1"/>
  <c r="T113" i="1"/>
  <c r="S113" i="1"/>
  <c r="AA113" i="1" s="1"/>
  <c r="R113" i="1"/>
  <c r="Q113" i="1"/>
  <c r="AB112" i="1"/>
  <c r="X112" i="1"/>
  <c r="W112" i="1"/>
  <c r="V112" i="1"/>
  <c r="U112" i="1"/>
  <c r="T112" i="1"/>
  <c r="S112" i="1"/>
  <c r="AA112" i="1" s="1"/>
  <c r="R112" i="1"/>
  <c r="Q112" i="1"/>
  <c r="AB111" i="1"/>
  <c r="Z111" i="1"/>
  <c r="W111" i="1"/>
  <c r="Z110" i="1" s="1"/>
  <c r="V111" i="1"/>
  <c r="U111" i="1"/>
  <c r="X111" i="1" s="1"/>
  <c r="T111" i="1"/>
  <c r="S111" i="1"/>
  <c r="AA111" i="1" s="1"/>
  <c r="R111" i="1"/>
  <c r="Q111" i="1"/>
  <c r="AB110" i="1"/>
  <c r="X110" i="1"/>
  <c r="W110" i="1"/>
  <c r="V110" i="1"/>
  <c r="U110" i="1"/>
  <c r="T110" i="1"/>
  <c r="S110" i="1"/>
  <c r="AA110" i="1" s="1"/>
  <c r="R110" i="1"/>
  <c r="Q110" i="1"/>
  <c r="AB109" i="1"/>
  <c r="W109" i="1"/>
  <c r="Z108" i="1" s="1"/>
  <c r="V109" i="1"/>
  <c r="U109" i="1"/>
  <c r="X109" i="1" s="1"/>
  <c r="T109" i="1"/>
  <c r="S109" i="1"/>
  <c r="AA109" i="1" s="1"/>
  <c r="R109" i="1"/>
  <c r="Q109" i="1"/>
  <c r="AB108" i="1"/>
  <c r="X108" i="1"/>
  <c r="W108" i="1"/>
  <c r="V108" i="1"/>
  <c r="U108" i="1"/>
  <c r="T108" i="1"/>
  <c r="S108" i="1"/>
  <c r="AA108" i="1" s="1"/>
  <c r="R108" i="1"/>
  <c r="Q108" i="1"/>
  <c r="AB107" i="1"/>
  <c r="X107" i="1"/>
  <c r="W107" i="1"/>
  <c r="Z106" i="1" s="1"/>
  <c r="V107" i="1"/>
  <c r="U107" i="1"/>
  <c r="T107" i="1"/>
  <c r="S107" i="1"/>
  <c r="AA107" i="1" s="1"/>
  <c r="R107" i="1"/>
  <c r="Q107" i="1"/>
  <c r="AB106" i="1"/>
  <c r="AA106" i="1"/>
  <c r="X106" i="1"/>
  <c r="W106" i="1"/>
  <c r="V106" i="1"/>
  <c r="U106" i="1"/>
  <c r="T106" i="1"/>
  <c r="S106" i="1"/>
  <c r="R106" i="1"/>
  <c r="Q106" i="1"/>
  <c r="AB105" i="1"/>
  <c r="Z105" i="1"/>
  <c r="X105" i="1"/>
  <c r="W105" i="1"/>
  <c r="Z104" i="1" s="1"/>
  <c r="V105" i="1"/>
  <c r="U105" i="1"/>
  <c r="T105" i="1"/>
  <c r="S105" i="1"/>
  <c r="AA105" i="1" s="1"/>
  <c r="R105" i="1"/>
  <c r="Q105" i="1"/>
  <c r="AB104" i="1"/>
  <c r="X104" i="1"/>
  <c r="W104" i="1"/>
  <c r="V104" i="1"/>
  <c r="U104" i="1"/>
  <c r="T104" i="1"/>
  <c r="S104" i="1"/>
  <c r="AA104" i="1" s="1"/>
  <c r="R104" i="1"/>
  <c r="Q104" i="1"/>
  <c r="AB103" i="1"/>
  <c r="X103" i="1"/>
  <c r="W103" i="1"/>
  <c r="Z102" i="1" s="1"/>
  <c r="V103" i="1"/>
  <c r="U103" i="1"/>
  <c r="T103" i="1"/>
  <c r="S103" i="1"/>
  <c r="AA103" i="1" s="1"/>
  <c r="R103" i="1"/>
  <c r="Q103" i="1"/>
  <c r="AB102" i="1"/>
  <c r="AA102" i="1"/>
  <c r="X102" i="1"/>
  <c r="W102" i="1"/>
  <c r="V102" i="1"/>
  <c r="U102" i="1"/>
  <c r="T102" i="1"/>
  <c r="S102" i="1"/>
  <c r="R102" i="1"/>
  <c r="Q102" i="1"/>
  <c r="AB101" i="1"/>
  <c r="Z101" i="1"/>
  <c r="X101" i="1"/>
  <c r="W101" i="1"/>
  <c r="Z100" i="1" s="1"/>
  <c r="V101" i="1"/>
  <c r="U101" i="1"/>
  <c r="T101" i="1"/>
  <c r="S101" i="1"/>
  <c r="AA101" i="1" s="1"/>
  <c r="R101" i="1"/>
  <c r="Q101" i="1"/>
  <c r="AB100" i="1"/>
  <c r="X100" i="1"/>
  <c r="W100" i="1"/>
  <c r="V100" i="1"/>
  <c r="U100" i="1"/>
  <c r="T100" i="1"/>
  <c r="S100" i="1"/>
  <c r="AA100" i="1" s="1"/>
  <c r="R100" i="1"/>
  <c r="Q100" i="1"/>
  <c r="AB99" i="1"/>
  <c r="X99" i="1"/>
  <c r="W99" i="1"/>
  <c r="Z98" i="1" s="1"/>
  <c r="V99" i="1"/>
  <c r="U99" i="1"/>
  <c r="T99" i="1"/>
  <c r="S99" i="1"/>
  <c r="AA99" i="1" s="1"/>
  <c r="R99" i="1"/>
  <c r="Q99" i="1"/>
  <c r="AB98" i="1"/>
  <c r="AA98" i="1"/>
  <c r="X98" i="1"/>
  <c r="W98" i="1"/>
  <c r="V98" i="1"/>
  <c r="U98" i="1"/>
  <c r="T98" i="1"/>
  <c r="S98" i="1"/>
  <c r="R98" i="1"/>
  <c r="Q98" i="1"/>
  <c r="AB97" i="1"/>
  <c r="Z97" i="1"/>
  <c r="X97" i="1"/>
  <c r="W97" i="1"/>
  <c r="Z96" i="1" s="1"/>
  <c r="V97" i="1"/>
  <c r="U97" i="1"/>
  <c r="T97" i="1"/>
  <c r="S97" i="1"/>
  <c r="AA97" i="1" s="1"/>
  <c r="R97" i="1"/>
  <c r="Q97" i="1"/>
  <c r="AB96" i="1"/>
  <c r="X96" i="1"/>
  <c r="W96" i="1"/>
  <c r="V96" i="1"/>
  <c r="U96" i="1"/>
  <c r="T96" i="1"/>
  <c r="S96" i="1"/>
  <c r="AA96" i="1" s="1"/>
  <c r="R96" i="1"/>
  <c r="Q96" i="1"/>
  <c r="AB95" i="1"/>
  <c r="X95" i="1"/>
  <c r="W95" i="1"/>
  <c r="Z94" i="1" s="1"/>
  <c r="V95" i="1"/>
  <c r="U95" i="1"/>
  <c r="T95" i="1"/>
  <c r="S95" i="1"/>
  <c r="AA95" i="1" s="1"/>
  <c r="R95" i="1"/>
  <c r="Q95" i="1"/>
  <c r="AB94" i="1"/>
  <c r="AA94" i="1"/>
  <c r="X94" i="1"/>
  <c r="W94" i="1"/>
  <c r="V94" i="1"/>
  <c r="U94" i="1"/>
  <c r="T94" i="1"/>
  <c r="S94" i="1"/>
  <c r="R94" i="1"/>
  <c r="Q94" i="1"/>
  <c r="AB93" i="1"/>
  <c r="Z93" i="1"/>
  <c r="X93" i="1"/>
  <c r="W93" i="1"/>
  <c r="Z92" i="1" s="1"/>
  <c r="V93" i="1"/>
  <c r="U93" i="1"/>
  <c r="T93" i="1"/>
  <c r="S93" i="1"/>
  <c r="AA93" i="1" s="1"/>
  <c r="R93" i="1"/>
  <c r="Q93" i="1"/>
  <c r="AB92" i="1"/>
  <c r="X92" i="1"/>
  <c r="W92" i="1"/>
  <c r="V92" i="1"/>
  <c r="U92" i="1"/>
  <c r="T92" i="1"/>
  <c r="S92" i="1"/>
  <c r="AA92" i="1" s="1"/>
  <c r="R92" i="1"/>
  <c r="Q92" i="1"/>
  <c r="AB91" i="1"/>
  <c r="X91" i="1"/>
  <c r="W91" i="1"/>
  <c r="Z90" i="1" s="1"/>
  <c r="V91" i="1"/>
  <c r="U91" i="1"/>
  <c r="T91" i="1"/>
  <c r="S91" i="1"/>
  <c r="AA91" i="1" s="1"/>
  <c r="R91" i="1"/>
  <c r="Q91" i="1"/>
  <c r="AB90" i="1"/>
  <c r="AA90" i="1"/>
  <c r="X90" i="1"/>
  <c r="W90" i="1"/>
  <c r="V90" i="1"/>
  <c r="U90" i="1"/>
  <c r="T90" i="1"/>
  <c r="S90" i="1"/>
  <c r="R90" i="1"/>
  <c r="Q90" i="1"/>
  <c r="AB89" i="1"/>
  <c r="Z89" i="1"/>
  <c r="X89" i="1"/>
  <c r="W89" i="1"/>
  <c r="Z88" i="1" s="1"/>
  <c r="V89" i="1"/>
  <c r="U89" i="1"/>
  <c r="T89" i="1"/>
  <c r="S89" i="1"/>
  <c r="AA89" i="1" s="1"/>
  <c r="R89" i="1"/>
  <c r="Q89" i="1"/>
  <c r="AB88" i="1"/>
  <c r="X88" i="1"/>
  <c r="W88" i="1"/>
  <c r="V88" i="1"/>
  <c r="U88" i="1"/>
  <c r="T88" i="1"/>
  <c r="S88" i="1"/>
  <c r="AA88" i="1" s="1"/>
  <c r="R88" i="1"/>
  <c r="Q88" i="1"/>
  <c r="AB87" i="1"/>
  <c r="X87" i="1"/>
  <c r="W87" i="1"/>
  <c r="Z86" i="1" s="1"/>
  <c r="V87" i="1"/>
  <c r="U87" i="1"/>
  <c r="T87" i="1"/>
  <c r="S87" i="1"/>
  <c r="AA87" i="1" s="1"/>
  <c r="R87" i="1"/>
  <c r="Q87" i="1"/>
  <c r="AB86" i="1"/>
  <c r="AA86" i="1"/>
  <c r="X86" i="1"/>
  <c r="W86" i="1"/>
  <c r="V86" i="1"/>
  <c r="U86" i="1"/>
  <c r="T86" i="1"/>
  <c r="S86" i="1"/>
  <c r="R86" i="1"/>
  <c r="Q86" i="1"/>
  <c r="AB85" i="1"/>
  <c r="Z85" i="1"/>
  <c r="X85" i="1"/>
  <c r="W85" i="1"/>
  <c r="Z84" i="1" s="1"/>
  <c r="V85" i="1"/>
  <c r="U85" i="1"/>
  <c r="T85" i="1"/>
  <c r="S85" i="1"/>
  <c r="AA85" i="1" s="1"/>
  <c r="R85" i="1"/>
  <c r="Q85" i="1"/>
  <c r="AB84" i="1"/>
  <c r="X84" i="1"/>
  <c r="W84" i="1"/>
  <c r="V84" i="1"/>
  <c r="U84" i="1"/>
  <c r="T84" i="1"/>
  <c r="S84" i="1"/>
  <c r="AA84" i="1" s="1"/>
  <c r="R84" i="1"/>
  <c r="Q84" i="1"/>
  <c r="AB83" i="1"/>
  <c r="X83" i="1"/>
  <c r="W83" i="1"/>
  <c r="Z82" i="1" s="1"/>
  <c r="V83" i="1"/>
  <c r="U83" i="1"/>
  <c r="T83" i="1"/>
  <c r="S83" i="1"/>
  <c r="AA83" i="1" s="1"/>
  <c r="R83" i="1"/>
  <c r="Q83" i="1"/>
  <c r="AB82" i="1"/>
  <c r="AA82" i="1"/>
  <c r="X82" i="1"/>
  <c r="W82" i="1"/>
  <c r="V82" i="1"/>
  <c r="U82" i="1"/>
  <c r="T82" i="1"/>
  <c r="S82" i="1"/>
  <c r="R82" i="1"/>
  <c r="Q82" i="1"/>
  <c r="AB81" i="1"/>
  <c r="Z81" i="1"/>
  <c r="X81" i="1"/>
  <c r="W81" i="1"/>
  <c r="Z80" i="1" s="1"/>
  <c r="V81" i="1"/>
  <c r="U81" i="1"/>
  <c r="T81" i="1"/>
  <c r="S81" i="1"/>
  <c r="AA81" i="1" s="1"/>
  <c r="R81" i="1"/>
  <c r="Q81" i="1"/>
  <c r="AB80" i="1"/>
  <c r="X80" i="1"/>
  <c r="W80" i="1"/>
  <c r="V80" i="1"/>
  <c r="U80" i="1"/>
  <c r="T80" i="1"/>
  <c r="S80" i="1"/>
  <c r="AA80" i="1" s="1"/>
  <c r="R80" i="1"/>
  <c r="Q80" i="1"/>
  <c r="AB79" i="1"/>
  <c r="X79" i="1"/>
  <c r="W79" i="1"/>
  <c r="Z78" i="1" s="1"/>
  <c r="V79" i="1"/>
  <c r="U79" i="1"/>
  <c r="T79" i="1"/>
  <c r="S79" i="1"/>
  <c r="AA79" i="1" s="1"/>
  <c r="R79" i="1"/>
  <c r="Q79" i="1"/>
  <c r="AB78" i="1"/>
  <c r="AA78" i="1"/>
  <c r="X78" i="1"/>
  <c r="W78" i="1"/>
  <c r="V78" i="1"/>
  <c r="U78" i="1"/>
  <c r="T78" i="1"/>
  <c r="S78" i="1"/>
  <c r="R78" i="1"/>
  <c r="Q78" i="1"/>
  <c r="AB77" i="1"/>
  <c r="Z77" i="1"/>
  <c r="X77" i="1"/>
  <c r="W77" i="1"/>
  <c r="Z76" i="1" s="1"/>
  <c r="V77" i="1"/>
  <c r="U77" i="1"/>
  <c r="T77" i="1"/>
  <c r="S77" i="1"/>
  <c r="AA77" i="1" s="1"/>
  <c r="R77" i="1"/>
  <c r="Q77" i="1"/>
  <c r="AB76" i="1"/>
  <c r="X76" i="1"/>
  <c r="W76" i="1"/>
  <c r="V76" i="1"/>
  <c r="U76" i="1"/>
  <c r="T76" i="1"/>
  <c r="S76" i="1"/>
  <c r="AA76" i="1" s="1"/>
  <c r="R76" i="1"/>
  <c r="Q76" i="1"/>
  <c r="AB75" i="1"/>
  <c r="X75" i="1"/>
  <c r="W75" i="1"/>
  <c r="Z74" i="1" s="1"/>
  <c r="V75" i="1"/>
  <c r="U75" i="1"/>
  <c r="T75" i="1"/>
  <c r="S75" i="1"/>
  <c r="AA75" i="1" s="1"/>
  <c r="R75" i="1"/>
  <c r="Q75" i="1"/>
  <c r="AB74" i="1"/>
  <c r="AA74" i="1"/>
  <c r="X74" i="1"/>
  <c r="W74" i="1"/>
  <c r="V74" i="1"/>
  <c r="U74" i="1"/>
  <c r="T74" i="1"/>
  <c r="S74" i="1"/>
  <c r="R74" i="1"/>
  <c r="Q74" i="1"/>
  <c r="AB73" i="1"/>
  <c r="Z73" i="1"/>
  <c r="X73" i="1"/>
  <c r="W73" i="1"/>
  <c r="Z72" i="1" s="1"/>
  <c r="V73" i="1"/>
  <c r="U73" i="1"/>
  <c r="T73" i="1"/>
  <c r="S73" i="1"/>
  <c r="AA73" i="1" s="1"/>
  <c r="R73" i="1"/>
  <c r="Q73" i="1"/>
  <c r="AB72" i="1"/>
  <c r="X72" i="1"/>
  <c r="W72" i="1"/>
  <c r="V72" i="1"/>
  <c r="Y72" i="1" s="1"/>
  <c r="U72" i="1"/>
  <c r="T72" i="1"/>
  <c r="S72" i="1"/>
  <c r="AA72" i="1" s="1"/>
  <c r="R72" i="1"/>
  <c r="Q72" i="1"/>
  <c r="AB71" i="1"/>
  <c r="X71" i="1"/>
  <c r="W71" i="1"/>
  <c r="Z70" i="1" s="1"/>
  <c r="V71" i="1"/>
  <c r="U71" i="1"/>
  <c r="T71" i="1"/>
  <c r="S71" i="1"/>
  <c r="AA71" i="1" s="1"/>
  <c r="R71" i="1"/>
  <c r="Q71" i="1"/>
  <c r="AB70" i="1"/>
  <c r="AA70" i="1"/>
  <c r="X70" i="1"/>
  <c r="W70" i="1"/>
  <c r="V70" i="1"/>
  <c r="Y70" i="1" s="1"/>
  <c r="U70" i="1"/>
  <c r="T70" i="1"/>
  <c r="S70" i="1"/>
  <c r="R70" i="1"/>
  <c r="Q70" i="1"/>
  <c r="AB69" i="1"/>
  <c r="Z69" i="1"/>
  <c r="X69" i="1"/>
  <c r="W69" i="1"/>
  <c r="Z68" i="1" s="1"/>
  <c r="V69" i="1"/>
  <c r="U69" i="1"/>
  <c r="T69" i="1"/>
  <c r="S69" i="1"/>
  <c r="AA69" i="1" s="1"/>
  <c r="R69" i="1"/>
  <c r="Q69" i="1"/>
  <c r="AB68" i="1"/>
  <c r="X68" i="1"/>
  <c r="W68" i="1"/>
  <c r="V68" i="1"/>
  <c r="Y68" i="1" s="1"/>
  <c r="U68" i="1"/>
  <c r="T68" i="1"/>
  <c r="S68" i="1"/>
  <c r="AA68" i="1" s="1"/>
  <c r="R68" i="1"/>
  <c r="Q68" i="1"/>
  <c r="AB67" i="1"/>
  <c r="X67" i="1"/>
  <c r="W67" i="1"/>
  <c r="Z66" i="1" s="1"/>
  <c r="V67" i="1"/>
  <c r="U67" i="1"/>
  <c r="T67" i="1"/>
  <c r="S67" i="1"/>
  <c r="AA67" i="1" s="1"/>
  <c r="R67" i="1"/>
  <c r="Q67" i="1"/>
  <c r="AB66" i="1"/>
  <c r="AA66" i="1"/>
  <c r="X66" i="1"/>
  <c r="W66" i="1"/>
  <c r="V66" i="1"/>
  <c r="Y66" i="1" s="1"/>
  <c r="U66" i="1"/>
  <c r="T66" i="1"/>
  <c r="S66" i="1"/>
  <c r="R66" i="1"/>
  <c r="Q66" i="1"/>
  <c r="AB65" i="1"/>
  <c r="Z65" i="1"/>
  <c r="X65" i="1"/>
  <c r="W65" i="1"/>
  <c r="Z64" i="1" s="1"/>
  <c r="V65" i="1"/>
  <c r="Y65" i="1" s="1"/>
  <c r="U65" i="1"/>
  <c r="T65" i="1"/>
  <c r="S65" i="1"/>
  <c r="AA65" i="1" s="1"/>
  <c r="R65" i="1"/>
  <c r="Q65" i="1"/>
  <c r="AB64" i="1"/>
  <c r="X64" i="1"/>
  <c r="W64" i="1"/>
  <c r="V64" i="1"/>
  <c r="Y64" i="1" s="1"/>
  <c r="U64" i="1"/>
  <c r="T64" i="1"/>
  <c r="S64" i="1"/>
  <c r="AA64" i="1" s="1"/>
  <c r="R64" i="1"/>
  <c r="Q64" i="1"/>
  <c r="AB63" i="1"/>
  <c r="X63" i="1"/>
  <c r="W63" i="1"/>
  <c r="Z62" i="1" s="1"/>
  <c r="V63" i="1"/>
  <c r="U63" i="1"/>
  <c r="T63" i="1"/>
  <c r="S63" i="1"/>
  <c r="AA63" i="1" s="1"/>
  <c r="R63" i="1"/>
  <c r="Q63" i="1"/>
  <c r="AB62" i="1"/>
  <c r="AA62" i="1"/>
  <c r="X62" i="1"/>
  <c r="W62" i="1"/>
  <c r="V62" i="1"/>
  <c r="Y62" i="1" s="1"/>
  <c r="U62" i="1"/>
  <c r="T62" i="1"/>
  <c r="S62" i="1"/>
  <c r="R62" i="1"/>
  <c r="Q62" i="1"/>
  <c r="AB61" i="1"/>
  <c r="Z61" i="1"/>
  <c r="X61" i="1"/>
  <c r="W61" i="1"/>
  <c r="Z60" i="1" s="1"/>
  <c r="V61" i="1"/>
  <c r="Y61" i="1" s="1"/>
  <c r="U61" i="1"/>
  <c r="T61" i="1"/>
  <c r="S61" i="1"/>
  <c r="AA61" i="1" s="1"/>
  <c r="R61" i="1"/>
  <c r="Q61" i="1"/>
  <c r="AB60" i="1"/>
  <c r="X60" i="1"/>
  <c r="W60" i="1"/>
  <c r="V60" i="1"/>
  <c r="Y60" i="1" s="1"/>
  <c r="U60" i="1"/>
  <c r="T60" i="1"/>
  <c r="S60" i="1"/>
  <c r="AA60" i="1" s="1"/>
  <c r="R60" i="1"/>
  <c r="Q60" i="1"/>
  <c r="AB59" i="1"/>
  <c r="X59" i="1"/>
  <c r="W59" i="1"/>
  <c r="Z58" i="1" s="1"/>
  <c r="V59" i="1"/>
  <c r="U59" i="1"/>
  <c r="T59" i="1"/>
  <c r="S59" i="1"/>
  <c r="AA59" i="1" s="1"/>
  <c r="R59" i="1"/>
  <c r="Q59" i="1"/>
  <c r="AB58" i="1"/>
  <c r="AA58" i="1"/>
  <c r="X58" i="1"/>
  <c r="W58" i="1"/>
  <c r="V58" i="1"/>
  <c r="Y58" i="1" s="1"/>
  <c r="U58" i="1"/>
  <c r="T58" i="1"/>
  <c r="S58" i="1"/>
  <c r="R58" i="1"/>
  <c r="Q58" i="1"/>
  <c r="AB57" i="1"/>
  <c r="Z57" i="1"/>
  <c r="X57" i="1"/>
  <c r="W57" i="1"/>
  <c r="Z56" i="1" s="1"/>
  <c r="V57" i="1"/>
  <c r="Y57" i="1" s="1"/>
  <c r="U57" i="1"/>
  <c r="T57" i="1"/>
  <c r="S57" i="1"/>
  <c r="AA57" i="1" s="1"/>
  <c r="R57" i="1"/>
  <c r="Q57" i="1"/>
  <c r="AB56" i="1"/>
  <c r="X56" i="1"/>
  <c r="W56" i="1"/>
  <c r="V56" i="1"/>
  <c r="Y56" i="1" s="1"/>
  <c r="U56" i="1"/>
  <c r="T56" i="1"/>
  <c r="S56" i="1"/>
  <c r="AA56" i="1" s="1"/>
  <c r="R56" i="1"/>
  <c r="Q56" i="1"/>
  <c r="AB55" i="1"/>
  <c r="X55" i="1"/>
  <c r="W55" i="1"/>
  <c r="Z54" i="1" s="1"/>
  <c r="V55" i="1"/>
  <c r="U55" i="1"/>
  <c r="T55" i="1"/>
  <c r="S55" i="1"/>
  <c r="AA55" i="1" s="1"/>
  <c r="R55" i="1"/>
  <c r="Q55" i="1"/>
  <c r="AB54" i="1"/>
  <c r="AA54" i="1"/>
  <c r="X54" i="1"/>
  <c r="W54" i="1"/>
  <c r="V54" i="1"/>
  <c r="Y54" i="1" s="1"/>
  <c r="U54" i="1"/>
  <c r="T54" i="1"/>
  <c r="S54" i="1"/>
  <c r="R54" i="1"/>
  <c r="Q54" i="1"/>
  <c r="AB53" i="1"/>
  <c r="Z53" i="1"/>
  <c r="X53" i="1"/>
  <c r="W53" i="1"/>
  <c r="Z52" i="1" s="1"/>
  <c r="V53" i="1"/>
  <c r="Y53" i="1" s="1"/>
  <c r="U53" i="1"/>
  <c r="T53" i="1"/>
  <c r="S53" i="1"/>
  <c r="AA53" i="1" s="1"/>
  <c r="R53" i="1"/>
  <c r="Q53" i="1"/>
  <c r="AB52" i="1"/>
  <c r="X52" i="1"/>
  <c r="W52" i="1"/>
  <c r="V52" i="1"/>
  <c r="Y52" i="1" s="1"/>
  <c r="U52" i="1"/>
  <c r="T52" i="1"/>
  <c r="S52" i="1"/>
  <c r="AA52" i="1" s="1"/>
  <c r="R52" i="1"/>
  <c r="Q52" i="1"/>
  <c r="AB51" i="1"/>
  <c r="X51" i="1"/>
  <c r="W51" i="1"/>
  <c r="Z50" i="1" s="1"/>
  <c r="V51" i="1"/>
  <c r="U51" i="1"/>
  <c r="T51" i="1"/>
  <c r="S51" i="1"/>
  <c r="AA51" i="1" s="1"/>
  <c r="R51" i="1"/>
  <c r="Q51" i="1"/>
  <c r="AB50" i="1"/>
  <c r="AA50" i="1"/>
  <c r="X50" i="1"/>
  <c r="W50" i="1"/>
  <c r="V50" i="1"/>
  <c r="Y50" i="1" s="1"/>
  <c r="U50" i="1"/>
  <c r="T50" i="1"/>
  <c r="S50" i="1"/>
  <c r="R50" i="1"/>
  <c r="Q50" i="1"/>
  <c r="AB49" i="1"/>
  <c r="Z49" i="1"/>
  <c r="X49" i="1"/>
  <c r="W49" i="1"/>
  <c r="Z48" i="1" s="1"/>
  <c r="V49" i="1"/>
  <c r="Y49" i="1" s="1"/>
  <c r="U49" i="1"/>
  <c r="T49" i="1"/>
  <c r="S49" i="1"/>
  <c r="AA49" i="1" s="1"/>
  <c r="R49" i="1"/>
  <c r="Q49" i="1"/>
  <c r="AB48" i="1"/>
  <c r="X48" i="1"/>
  <c r="W48" i="1"/>
  <c r="V48" i="1"/>
  <c r="Y48" i="1" s="1"/>
  <c r="U48" i="1"/>
  <c r="T48" i="1"/>
  <c r="S48" i="1"/>
  <c r="AA48" i="1" s="1"/>
  <c r="R48" i="1"/>
  <c r="Q48" i="1"/>
  <c r="AB47" i="1"/>
  <c r="X47" i="1"/>
  <c r="W47" i="1"/>
  <c r="Z46" i="1" s="1"/>
  <c r="V47" i="1"/>
  <c r="U47" i="1"/>
  <c r="T47" i="1"/>
  <c r="S47" i="1"/>
  <c r="AA47" i="1" s="1"/>
  <c r="R47" i="1"/>
  <c r="Q47" i="1"/>
  <c r="AB46" i="1"/>
  <c r="AA46" i="1"/>
  <c r="X46" i="1"/>
  <c r="W46" i="1"/>
  <c r="V46" i="1"/>
  <c r="Y46" i="1" s="1"/>
  <c r="U46" i="1"/>
  <c r="T46" i="1"/>
  <c r="S46" i="1"/>
  <c r="R46" i="1"/>
  <c r="Q46" i="1"/>
  <c r="AB45" i="1"/>
  <c r="Z45" i="1"/>
  <c r="X45" i="1"/>
  <c r="W45" i="1"/>
  <c r="Z44" i="1" s="1"/>
  <c r="V45" i="1"/>
  <c r="Y45" i="1" s="1"/>
  <c r="U45" i="1"/>
  <c r="T45" i="1"/>
  <c r="S45" i="1"/>
  <c r="AA45" i="1" s="1"/>
  <c r="R45" i="1"/>
  <c r="Q45" i="1"/>
  <c r="AB44" i="1"/>
  <c r="X44" i="1"/>
  <c r="W44" i="1"/>
  <c r="V44" i="1"/>
  <c r="Y44" i="1" s="1"/>
  <c r="U44" i="1"/>
  <c r="T44" i="1"/>
  <c r="S44" i="1"/>
  <c r="AA44" i="1" s="1"/>
  <c r="R44" i="1"/>
  <c r="Q44" i="1"/>
  <c r="AB43" i="1"/>
  <c r="X43" i="1"/>
  <c r="W43" i="1"/>
  <c r="Z42" i="1" s="1"/>
  <c r="V43" i="1"/>
  <c r="U43" i="1"/>
  <c r="T43" i="1"/>
  <c r="S43" i="1"/>
  <c r="AA43" i="1" s="1"/>
  <c r="R43" i="1"/>
  <c r="Q43" i="1"/>
  <c r="AB42" i="1"/>
  <c r="AA42" i="1"/>
  <c r="X42" i="1"/>
  <c r="W42" i="1"/>
  <c r="V42" i="1"/>
  <c r="Y42" i="1" s="1"/>
  <c r="U42" i="1"/>
  <c r="T42" i="1"/>
  <c r="S42" i="1"/>
  <c r="R42" i="1"/>
  <c r="Q42" i="1"/>
  <c r="AB41" i="1"/>
  <c r="Z41" i="1"/>
  <c r="X41" i="1"/>
  <c r="W41" i="1"/>
  <c r="Z40" i="1" s="1"/>
  <c r="V41" i="1"/>
  <c r="Y41" i="1" s="1"/>
  <c r="U41" i="1"/>
  <c r="T41" i="1"/>
  <c r="S41" i="1"/>
  <c r="AA41" i="1" s="1"/>
  <c r="R41" i="1"/>
  <c r="Q41" i="1"/>
  <c r="AB40" i="1"/>
  <c r="X40" i="1"/>
  <c r="W40" i="1"/>
  <c r="V40" i="1"/>
  <c r="Y40" i="1" s="1"/>
  <c r="U40" i="1"/>
  <c r="T40" i="1"/>
  <c r="S40" i="1"/>
  <c r="AA40" i="1" s="1"/>
  <c r="R40" i="1"/>
  <c r="Q40" i="1"/>
  <c r="AB39" i="1"/>
  <c r="X39" i="1"/>
  <c r="W39" i="1"/>
  <c r="Z38" i="1" s="1"/>
  <c r="V39" i="1"/>
  <c r="U39" i="1"/>
  <c r="T39" i="1"/>
  <c r="S39" i="1"/>
  <c r="AA39" i="1" s="1"/>
  <c r="R39" i="1"/>
  <c r="Q39" i="1"/>
  <c r="AB38" i="1"/>
  <c r="AA38" i="1"/>
  <c r="X38" i="1"/>
  <c r="W38" i="1"/>
  <c r="V38" i="1"/>
  <c r="Y38" i="1" s="1"/>
  <c r="U38" i="1"/>
  <c r="T38" i="1"/>
  <c r="S38" i="1"/>
  <c r="R38" i="1"/>
  <c r="Q38" i="1"/>
  <c r="AB37" i="1"/>
  <c r="Z37" i="1"/>
  <c r="X37" i="1"/>
  <c r="W37" i="1"/>
  <c r="Z36" i="1" s="1"/>
  <c r="V37" i="1"/>
  <c r="Y37" i="1" s="1"/>
  <c r="U37" i="1"/>
  <c r="T37" i="1"/>
  <c r="S37" i="1"/>
  <c r="AA37" i="1" s="1"/>
  <c r="R37" i="1"/>
  <c r="Q37" i="1"/>
  <c r="AB36" i="1"/>
  <c r="X36" i="1"/>
  <c r="W36" i="1"/>
  <c r="V36" i="1"/>
  <c r="Y36" i="1" s="1"/>
  <c r="U36" i="1"/>
  <c r="T36" i="1"/>
  <c r="S36" i="1"/>
  <c r="AA36" i="1" s="1"/>
  <c r="R36" i="1"/>
  <c r="Q36" i="1"/>
  <c r="AB35" i="1"/>
  <c r="X35" i="1"/>
  <c r="W35" i="1"/>
  <c r="Z34" i="1" s="1"/>
  <c r="V35" i="1"/>
  <c r="U35" i="1"/>
  <c r="T35" i="1"/>
  <c r="S35" i="1"/>
  <c r="AA35" i="1" s="1"/>
  <c r="R35" i="1"/>
  <c r="Q35" i="1"/>
  <c r="AB34" i="1"/>
  <c r="AA34" i="1"/>
  <c r="X34" i="1"/>
  <c r="W34" i="1"/>
  <c r="V34" i="1"/>
  <c r="Y34" i="1" s="1"/>
  <c r="U34" i="1"/>
  <c r="T34" i="1"/>
  <c r="S34" i="1"/>
  <c r="R34" i="1"/>
  <c r="Q34" i="1"/>
  <c r="AB33" i="1"/>
  <c r="Z33" i="1"/>
  <c r="X33" i="1"/>
  <c r="W33" i="1"/>
  <c r="Z32" i="1" s="1"/>
  <c r="V33" i="1"/>
  <c r="Y33" i="1" s="1"/>
  <c r="U33" i="1"/>
  <c r="T33" i="1"/>
  <c r="S33" i="1"/>
  <c r="AA33" i="1" s="1"/>
  <c r="R33" i="1"/>
  <c r="Q33" i="1"/>
  <c r="AB32" i="1"/>
  <c r="X32" i="1"/>
  <c r="W32" i="1"/>
  <c r="V32" i="1"/>
  <c r="Y32" i="1" s="1"/>
  <c r="U32" i="1"/>
  <c r="T32" i="1"/>
  <c r="S32" i="1"/>
  <c r="AA32" i="1" s="1"/>
  <c r="R32" i="1"/>
  <c r="Q32" i="1"/>
  <c r="AB31" i="1"/>
  <c r="X31" i="1"/>
  <c r="W31" i="1"/>
  <c r="Z30" i="1" s="1"/>
  <c r="V31" i="1"/>
  <c r="U31" i="1"/>
  <c r="T31" i="1"/>
  <c r="S31" i="1"/>
  <c r="AA31" i="1" s="1"/>
  <c r="R31" i="1"/>
  <c r="Q31" i="1"/>
  <c r="AB30" i="1"/>
  <c r="AA30" i="1"/>
  <c r="X30" i="1"/>
  <c r="W30" i="1"/>
  <c r="V30" i="1"/>
  <c r="Y30" i="1" s="1"/>
  <c r="U30" i="1"/>
  <c r="T30" i="1"/>
  <c r="S30" i="1"/>
  <c r="R30" i="1"/>
  <c r="Q30" i="1"/>
  <c r="AB29" i="1"/>
  <c r="Z29" i="1"/>
  <c r="X29" i="1"/>
  <c r="W29" i="1"/>
  <c r="Z28" i="1" s="1"/>
  <c r="V29" i="1"/>
  <c r="Y29" i="1" s="1"/>
  <c r="U29" i="1"/>
  <c r="T29" i="1"/>
  <c r="S29" i="1"/>
  <c r="AA29" i="1" s="1"/>
  <c r="R29" i="1"/>
  <c r="Q29" i="1"/>
  <c r="AB28" i="1"/>
  <c r="X28" i="1"/>
  <c r="W28" i="1"/>
  <c r="V28" i="1"/>
  <c r="Y28" i="1" s="1"/>
  <c r="U28" i="1"/>
  <c r="T28" i="1"/>
  <c r="S28" i="1"/>
  <c r="AA28" i="1" s="1"/>
  <c r="R28" i="1"/>
  <c r="Q28" i="1"/>
  <c r="AB27" i="1"/>
  <c r="X27" i="1"/>
  <c r="W27" i="1"/>
  <c r="Z26" i="1" s="1"/>
  <c r="V27" i="1"/>
  <c r="U27" i="1"/>
  <c r="T27" i="1"/>
  <c r="S27" i="1"/>
  <c r="AA27" i="1" s="1"/>
  <c r="R27" i="1"/>
  <c r="Q27" i="1"/>
  <c r="AB26" i="1"/>
  <c r="AA26" i="1"/>
  <c r="X26" i="1"/>
  <c r="W26" i="1"/>
  <c r="V26" i="1"/>
  <c r="Y26" i="1" s="1"/>
  <c r="U26" i="1"/>
  <c r="T26" i="1"/>
  <c r="S26" i="1"/>
  <c r="R26" i="1"/>
  <c r="Q26" i="1"/>
  <c r="AB25" i="1"/>
  <c r="Z25" i="1"/>
  <c r="X25" i="1"/>
  <c r="W25" i="1"/>
  <c r="Z24" i="1" s="1"/>
  <c r="V25" i="1"/>
  <c r="Y25" i="1" s="1"/>
  <c r="U25" i="1"/>
  <c r="T25" i="1"/>
  <c r="S25" i="1"/>
  <c r="AA25" i="1" s="1"/>
  <c r="R25" i="1"/>
  <c r="Q25" i="1"/>
  <c r="AB24" i="1"/>
  <c r="X24" i="1"/>
  <c r="W24" i="1"/>
  <c r="V24" i="1"/>
  <c r="Y24" i="1" s="1"/>
  <c r="U24" i="1"/>
  <c r="T24" i="1"/>
  <c r="AA24" i="1" s="1"/>
  <c r="S24" i="1"/>
  <c r="R24" i="1"/>
  <c r="Q24" i="1"/>
  <c r="AB23" i="1"/>
  <c r="Z23" i="1"/>
  <c r="X23" i="1"/>
  <c r="W23" i="1"/>
  <c r="V23" i="1"/>
  <c r="Y23" i="1" s="1"/>
  <c r="U23" i="1"/>
  <c r="T23" i="1"/>
  <c r="S23" i="1"/>
  <c r="R23" i="1"/>
  <c r="Q23" i="1"/>
  <c r="AB22" i="1"/>
  <c r="Z22" i="1"/>
  <c r="X22" i="1"/>
  <c r="W22" i="1"/>
  <c r="V22" i="1"/>
  <c r="U22" i="1"/>
  <c r="T22" i="1"/>
  <c r="S22" i="1"/>
  <c r="AA22" i="1" s="1"/>
  <c r="R22" i="1"/>
  <c r="Q22" i="1"/>
  <c r="AB21" i="1"/>
  <c r="Z21" i="1"/>
  <c r="X21" i="1"/>
  <c r="W21" i="1"/>
  <c r="V21" i="1"/>
  <c r="U21" i="1"/>
  <c r="T21" i="1"/>
  <c r="S21" i="1"/>
  <c r="AA21" i="1" s="1"/>
  <c r="R21" i="1"/>
  <c r="Q21" i="1"/>
  <c r="AB20" i="1"/>
  <c r="Z20" i="1"/>
  <c r="X20" i="1"/>
  <c r="W20" i="1"/>
  <c r="V20" i="1"/>
  <c r="Y20" i="1" s="1"/>
  <c r="U20" i="1"/>
  <c r="T20" i="1"/>
  <c r="S20" i="1"/>
  <c r="AA20" i="1" s="1"/>
  <c r="R20" i="1"/>
  <c r="Q20" i="1"/>
  <c r="AB19" i="1"/>
  <c r="X19" i="1"/>
  <c r="W19" i="1"/>
  <c r="Z19" i="1" s="1"/>
  <c r="V19" i="1"/>
  <c r="U19" i="1"/>
  <c r="T19" i="1"/>
  <c r="S19" i="1"/>
  <c r="AA19" i="1" s="1"/>
  <c r="R19" i="1"/>
  <c r="Q19" i="1"/>
  <c r="AB18" i="1"/>
  <c r="Z18" i="1"/>
  <c r="X18" i="1"/>
  <c r="W18" i="1"/>
  <c r="V18" i="1"/>
  <c r="U18" i="1"/>
  <c r="T18" i="1"/>
  <c r="S18" i="1"/>
  <c r="AA18" i="1" s="1"/>
  <c r="R18" i="1"/>
  <c r="Q18" i="1"/>
  <c r="AB17" i="1"/>
  <c r="X17" i="1"/>
  <c r="W17" i="1"/>
  <c r="Z17" i="1" s="1"/>
  <c r="V17" i="1"/>
  <c r="U17" i="1"/>
  <c r="T17" i="1"/>
  <c r="S17" i="1"/>
  <c r="AA17" i="1" s="1"/>
  <c r="R17" i="1"/>
  <c r="Q17" i="1"/>
  <c r="AB16" i="1"/>
  <c r="AA16" i="1"/>
  <c r="X16" i="1"/>
  <c r="W16" i="1"/>
  <c r="V16" i="1"/>
  <c r="Y16" i="1" s="1"/>
  <c r="U16" i="1"/>
  <c r="T16" i="1"/>
  <c r="S16" i="1"/>
  <c r="R16" i="1"/>
  <c r="Q16" i="1"/>
  <c r="AB15" i="1"/>
  <c r="X15" i="1"/>
  <c r="W15" i="1"/>
  <c r="Z15" i="1" s="1"/>
  <c r="V15" i="1"/>
  <c r="U15" i="1"/>
  <c r="T15" i="1"/>
  <c r="S15" i="1"/>
  <c r="R15" i="1"/>
  <c r="Q15" i="1"/>
  <c r="AB14" i="1"/>
  <c r="X14" i="1"/>
  <c r="W14" i="1"/>
  <c r="V14" i="1"/>
  <c r="Y14" i="1" s="1"/>
  <c r="U14" i="1"/>
  <c r="T14" i="1"/>
  <c r="S14" i="1"/>
  <c r="AA14" i="1" s="1"/>
  <c r="R14" i="1"/>
  <c r="Q14" i="1"/>
  <c r="AB13" i="1"/>
  <c r="X13" i="1"/>
  <c r="W13" i="1"/>
  <c r="Z12" i="1" s="1"/>
  <c r="V13" i="1"/>
  <c r="Y13" i="1" s="1"/>
  <c r="U13" i="1"/>
  <c r="T13" i="1"/>
  <c r="S13" i="1"/>
  <c r="R13" i="1"/>
  <c r="Q13" i="1"/>
  <c r="AB12" i="1"/>
  <c r="AA12" i="1"/>
  <c r="X12" i="1"/>
  <c r="W12" i="1"/>
  <c r="V12" i="1"/>
  <c r="U12" i="1"/>
  <c r="T12" i="1"/>
  <c r="S12" i="1"/>
  <c r="R12" i="1"/>
  <c r="Q12" i="1"/>
  <c r="AB11" i="1"/>
  <c r="W11" i="1"/>
  <c r="Z11" i="1" s="1"/>
  <c r="V11" i="1"/>
  <c r="Y11" i="1" s="1"/>
  <c r="U11" i="1"/>
  <c r="X10" i="1" s="1"/>
  <c r="T11" i="1"/>
  <c r="S11" i="1"/>
  <c r="AA11" i="1" s="1"/>
  <c r="R11" i="1"/>
  <c r="Q11" i="1"/>
  <c r="AB10" i="1"/>
  <c r="Y10" i="1"/>
  <c r="W10" i="1"/>
  <c r="V10" i="1"/>
  <c r="U10" i="1"/>
  <c r="T10" i="1"/>
  <c r="S10" i="1"/>
  <c r="AA10" i="1" s="1"/>
  <c r="R10" i="1"/>
  <c r="Q10" i="1"/>
  <c r="AB9" i="1"/>
  <c r="Z9" i="1"/>
  <c r="W9" i="1"/>
  <c r="V9" i="1"/>
  <c r="Y9" i="1" s="1"/>
  <c r="U9" i="1"/>
  <c r="X9" i="1" s="1"/>
  <c r="T9" i="1"/>
  <c r="S9" i="1"/>
  <c r="R9" i="1"/>
  <c r="Q9" i="1"/>
  <c r="AB8" i="1"/>
  <c r="Z8" i="1"/>
  <c r="X8" i="1"/>
  <c r="W8" i="1"/>
  <c r="V8" i="1"/>
  <c r="Y7" i="1" s="1"/>
  <c r="U8" i="1"/>
  <c r="T8" i="1"/>
  <c r="S8" i="1"/>
  <c r="AA8" i="1" s="1"/>
  <c r="R8" i="1"/>
  <c r="Q8" i="1"/>
  <c r="AB7" i="1"/>
  <c r="Z7" i="1"/>
  <c r="W7" i="1"/>
  <c r="V7" i="1"/>
  <c r="U7" i="1"/>
  <c r="X7" i="1" s="1"/>
  <c r="T7" i="1"/>
  <c r="S7" i="1"/>
  <c r="AA7" i="1" s="1"/>
  <c r="R7" i="1"/>
  <c r="Q7" i="1"/>
  <c r="AB6" i="1"/>
  <c r="Z6" i="1"/>
  <c r="Y6" i="1"/>
  <c r="W6" i="1"/>
  <c r="V6" i="1"/>
  <c r="U6" i="1"/>
  <c r="X5" i="1" s="1"/>
  <c r="T6" i="1"/>
  <c r="S6" i="1"/>
  <c r="AA6" i="1" s="1"/>
  <c r="R6" i="1"/>
  <c r="Q6" i="1"/>
  <c r="AB5" i="1"/>
  <c r="Z5" i="1"/>
  <c r="Y5" i="1"/>
  <c r="W5" i="1"/>
  <c r="Z4" i="1" s="1"/>
  <c r="V5" i="1"/>
  <c r="U5" i="1"/>
  <c r="T5" i="1"/>
  <c r="S5" i="1"/>
  <c r="R5" i="1"/>
  <c r="Q5" i="1"/>
  <c r="AB4" i="1"/>
  <c r="X4" i="1"/>
  <c r="W4" i="1"/>
  <c r="V4" i="1"/>
  <c r="Y3" i="1" s="1"/>
  <c r="U4" i="1"/>
  <c r="T4" i="1"/>
  <c r="S4" i="1"/>
  <c r="AA4" i="1" s="1"/>
  <c r="R4" i="1"/>
  <c r="Q4" i="1"/>
  <c r="AB3" i="1"/>
  <c r="X3" i="1"/>
  <c r="W3" i="1"/>
  <c r="Z2" i="1" s="1"/>
  <c r="V3" i="1"/>
  <c r="U3" i="1"/>
  <c r="T3" i="1"/>
  <c r="S3" i="1"/>
  <c r="AA3" i="1" s="1"/>
  <c r="R3" i="1"/>
  <c r="Q3" i="1"/>
  <c r="AB2" i="1"/>
  <c r="W2" i="1"/>
  <c r="V2" i="1"/>
  <c r="Y2" i="1" s="1"/>
  <c r="U2" i="1"/>
  <c r="X2" i="1" s="1"/>
  <c r="T2" i="1"/>
  <c r="S2" i="1"/>
  <c r="R2" i="1"/>
  <c r="Q2" i="1"/>
  <c r="Z216" i="1" l="1"/>
  <c r="Z215" i="1"/>
  <c r="Z3" i="1"/>
  <c r="AA5" i="1"/>
  <c r="X6" i="1"/>
  <c r="Y8" i="1"/>
  <c r="Z10" i="1"/>
  <c r="B13" i="3" s="1"/>
  <c r="AA15" i="1"/>
  <c r="Z16" i="1"/>
  <c r="Y17" i="1"/>
  <c r="Y27" i="1"/>
  <c r="Y31" i="1"/>
  <c r="Y35" i="1"/>
  <c r="Y39" i="1"/>
  <c r="Y43" i="1"/>
  <c r="Y47" i="1"/>
  <c r="Y51" i="1"/>
  <c r="Y55" i="1"/>
  <c r="Y59" i="1"/>
  <c r="Y63" i="1"/>
  <c r="Y67" i="1"/>
  <c r="Y71" i="1"/>
  <c r="Y111" i="1"/>
  <c r="Y112" i="1"/>
  <c r="Z121" i="1"/>
  <c r="Y127" i="1"/>
  <c r="Y128" i="1"/>
  <c r="Y135" i="1"/>
  <c r="Y136" i="1"/>
  <c r="Z141" i="1"/>
  <c r="Z142" i="1"/>
  <c r="Y149" i="1"/>
  <c r="Z157" i="1"/>
  <c r="Z158" i="1"/>
  <c r="Z173" i="1"/>
  <c r="Z174" i="1"/>
  <c r="Z189" i="1"/>
  <c r="Z190" i="1"/>
  <c r="Z205" i="1"/>
  <c r="Z206" i="1"/>
  <c r="Y117" i="1"/>
  <c r="Y118" i="1"/>
  <c r="Z212" i="1"/>
  <c r="Z211" i="1"/>
  <c r="Y4" i="1"/>
  <c r="X11" i="1"/>
  <c r="B11" i="3" s="1"/>
  <c r="Y21" i="1"/>
  <c r="Y75" i="1"/>
  <c r="Y76" i="1"/>
  <c r="Y79" i="1"/>
  <c r="Y80" i="1"/>
  <c r="Y83" i="1"/>
  <c r="Y84" i="1"/>
  <c r="Y87" i="1"/>
  <c r="Y88" i="1"/>
  <c r="Y91" i="1"/>
  <c r="Y92" i="1"/>
  <c r="Y95" i="1"/>
  <c r="Y96" i="1"/>
  <c r="Y99" i="1"/>
  <c r="Y100" i="1"/>
  <c r="Y103" i="1"/>
  <c r="Y104" i="1"/>
  <c r="Y107" i="1"/>
  <c r="Y108" i="1"/>
  <c r="Z117" i="1"/>
  <c r="Y123" i="1"/>
  <c r="Y124" i="1"/>
  <c r="Y129" i="1"/>
  <c r="Y130" i="1"/>
  <c r="Y137" i="1"/>
  <c r="Y138" i="1"/>
  <c r="X144" i="1"/>
  <c r="AA201" i="1"/>
  <c r="Y121" i="1"/>
  <c r="Y122" i="1"/>
  <c r="Y18" i="1"/>
  <c r="C2" i="3"/>
  <c r="B2" i="3"/>
  <c r="D2" i="3"/>
  <c r="Y12" i="1"/>
  <c r="B12" i="3" s="1"/>
  <c r="AA13" i="1"/>
  <c r="Z14" i="1"/>
  <c r="Y15" i="1"/>
  <c r="Z27" i="1"/>
  <c r="Z31" i="1"/>
  <c r="Z35" i="1"/>
  <c r="Z39" i="1"/>
  <c r="Z43" i="1"/>
  <c r="Z47" i="1"/>
  <c r="Z51" i="1"/>
  <c r="Z55" i="1"/>
  <c r="Z59" i="1"/>
  <c r="Z63" i="1"/>
  <c r="Z67" i="1"/>
  <c r="Z71" i="1"/>
  <c r="Z75" i="1"/>
  <c r="Z79" i="1"/>
  <c r="Z83" i="1"/>
  <c r="Z87" i="1"/>
  <c r="Z91" i="1"/>
  <c r="Z95" i="1"/>
  <c r="Z99" i="1"/>
  <c r="Z103" i="1"/>
  <c r="Z107" i="1"/>
  <c r="Y113" i="1"/>
  <c r="Y114" i="1"/>
  <c r="Z123" i="1"/>
  <c r="Z129" i="1"/>
  <c r="Z137" i="1"/>
  <c r="Z160" i="1"/>
  <c r="Z159" i="1"/>
  <c r="Z176" i="1"/>
  <c r="Z175" i="1"/>
  <c r="Z192" i="1"/>
  <c r="Z191" i="1"/>
  <c r="Z208" i="1"/>
  <c r="Z207" i="1"/>
  <c r="Y209" i="1"/>
  <c r="Z13" i="1"/>
  <c r="B3" i="3"/>
  <c r="D3" i="3"/>
  <c r="C3" i="3"/>
  <c r="Y22" i="1"/>
  <c r="AA23" i="1"/>
  <c r="Y69" i="1"/>
  <c r="Y119" i="1"/>
  <c r="Y120" i="1"/>
  <c r="Y131" i="1"/>
  <c r="Y132" i="1"/>
  <c r="Y140" i="1"/>
  <c r="Y139" i="1"/>
  <c r="AA143" i="1"/>
  <c r="Z146" i="1"/>
  <c r="B21" i="3" s="1"/>
  <c r="X287" i="1"/>
  <c r="X288" i="1"/>
  <c r="D4" i="3"/>
  <c r="C4" i="3"/>
  <c r="B4" i="3"/>
  <c r="Y109" i="1"/>
  <c r="Y110" i="1"/>
  <c r="Y125" i="1"/>
  <c r="Y126" i="1"/>
  <c r="AA2" i="1"/>
  <c r="Y19" i="1"/>
  <c r="B5" i="3"/>
  <c r="D5" i="3"/>
  <c r="C5" i="3"/>
  <c r="AA9" i="1"/>
  <c r="Y73" i="1"/>
  <c r="Y74" i="1"/>
  <c r="B24" i="3" s="1"/>
  <c r="Y77" i="1"/>
  <c r="Y78" i="1"/>
  <c r="B20" i="3" s="1"/>
  <c r="Y81" i="1"/>
  <c r="Y82" i="1"/>
  <c r="Y85" i="1"/>
  <c r="Y86" i="1"/>
  <c r="Y89" i="1"/>
  <c r="Y90" i="1"/>
  <c r="Y93" i="1"/>
  <c r="Y94" i="1"/>
  <c r="B16" i="3" s="1"/>
  <c r="Y97" i="1"/>
  <c r="Y98" i="1"/>
  <c r="Y101" i="1"/>
  <c r="Y102" i="1"/>
  <c r="Y105" i="1"/>
  <c r="Y106" i="1"/>
  <c r="Z109" i="1"/>
  <c r="Y115" i="1"/>
  <c r="Y116" i="1"/>
  <c r="Z125" i="1"/>
  <c r="Y133" i="1"/>
  <c r="Y134" i="1"/>
  <c r="AA171" i="1"/>
  <c r="AA187" i="1"/>
  <c r="Z220" i="1"/>
  <c r="Z219" i="1"/>
  <c r="Y221" i="1"/>
  <c r="Y145" i="1"/>
  <c r="Y153" i="1"/>
  <c r="Y159" i="1"/>
  <c r="AA160" i="1"/>
  <c r="Z161" i="1"/>
  <c r="Z164" i="1"/>
  <c r="B25" i="3" s="1"/>
  <c r="Y175" i="1"/>
  <c r="AA176" i="1"/>
  <c r="Z177" i="1"/>
  <c r="Z180" i="1"/>
  <c r="AA192" i="1"/>
  <c r="Z193" i="1"/>
  <c r="Z196" i="1"/>
  <c r="AA208" i="1"/>
  <c r="AA212" i="1"/>
  <c r="Y219" i="1"/>
  <c r="Y223" i="1"/>
  <c r="Y239" i="1"/>
  <c r="Y255" i="1"/>
  <c r="Z281" i="1"/>
  <c r="Y148" i="1"/>
  <c r="Y169" i="1"/>
  <c r="Y185" i="1"/>
  <c r="Y201" i="1"/>
  <c r="Y229" i="1"/>
  <c r="Y245" i="1"/>
  <c r="Y261" i="1"/>
  <c r="AA164" i="1"/>
  <c r="Z165" i="1"/>
  <c r="Y166" i="1"/>
  <c r="AA180" i="1"/>
  <c r="Z181" i="1"/>
  <c r="Y182" i="1"/>
  <c r="AA196" i="1"/>
  <c r="Z197" i="1"/>
  <c r="Y198" i="1"/>
  <c r="Y235" i="1"/>
  <c r="Y251" i="1"/>
  <c r="Y267" i="1"/>
  <c r="Z289" i="1"/>
  <c r="Y146" i="1"/>
  <c r="Y154" i="1"/>
  <c r="Y157" i="1"/>
  <c r="AA158" i="1"/>
  <c r="Y173" i="1"/>
  <c r="AA174" i="1"/>
  <c r="Y189" i="1"/>
  <c r="AA190" i="1"/>
  <c r="Y205" i="1"/>
  <c r="AA206" i="1"/>
  <c r="Z276" i="1"/>
  <c r="Z277" i="1"/>
  <c r="Y152" i="1"/>
  <c r="Y161" i="1"/>
  <c r="AA162" i="1"/>
  <c r="Y164" i="1"/>
  <c r="Y177" i="1"/>
  <c r="AA178" i="1"/>
  <c r="Y180" i="1"/>
  <c r="Y193" i="1"/>
  <c r="AA194" i="1"/>
  <c r="Y196" i="1"/>
  <c r="Y237" i="1"/>
  <c r="Y253" i="1"/>
  <c r="X279" i="1"/>
  <c r="X280" i="1"/>
  <c r="B23" i="3" s="1"/>
  <c r="AA156" i="1"/>
  <c r="AA172" i="1"/>
  <c r="AA188" i="1"/>
  <c r="AA204" i="1"/>
  <c r="AA271" i="1"/>
  <c r="Z280" i="1"/>
  <c r="Z288" i="1"/>
  <c r="X273" i="1"/>
  <c r="X283" i="1"/>
  <c r="X291" i="1"/>
  <c r="AA305" i="1"/>
  <c r="AA309" i="1"/>
  <c r="AA313" i="1"/>
  <c r="AA317" i="1"/>
  <c r="AA321" i="1"/>
  <c r="AA325" i="1"/>
  <c r="AA329" i="1"/>
  <c r="AA333" i="1"/>
  <c r="AA337" i="1"/>
  <c r="AA341" i="1"/>
  <c r="AA345" i="1"/>
  <c r="AA355" i="1"/>
  <c r="AA360" i="1"/>
  <c r="AA371" i="1"/>
  <c r="AA376" i="1"/>
  <c r="Y274" i="1"/>
  <c r="Z304" i="1"/>
  <c r="Z308" i="1"/>
  <c r="B17" i="3" s="1"/>
  <c r="Z312" i="1"/>
  <c r="Z316" i="1"/>
  <c r="Z320" i="1"/>
  <c r="Z324" i="1"/>
  <c r="Z328" i="1"/>
  <c r="Z332" i="1"/>
  <c r="Z336" i="1"/>
  <c r="Z340" i="1"/>
  <c r="Z344" i="1"/>
  <c r="AA351" i="1"/>
  <c r="AA356" i="1"/>
  <c r="AA367" i="1"/>
  <c r="AA372" i="1"/>
  <c r="Y272" i="1"/>
  <c r="Z284" i="1"/>
  <c r="Z292" i="1"/>
  <c r="Z298" i="1"/>
  <c r="AA378" i="1"/>
  <c r="Y270" i="1"/>
  <c r="AA297" i="1"/>
  <c r="AA307" i="1"/>
  <c r="AA311" i="1"/>
  <c r="AA315" i="1"/>
  <c r="AA319" i="1"/>
  <c r="AA323" i="1"/>
  <c r="AA327" i="1"/>
  <c r="AA331" i="1"/>
  <c r="AA335" i="1"/>
  <c r="AA339" i="1"/>
  <c r="AA343" i="1"/>
  <c r="AA347" i="1"/>
  <c r="AA352" i="1"/>
  <c r="AA363" i="1"/>
  <c r="AA368" i="1"/>
  <c r="AA384" i="1"/>
  <c r="X413" i="1"/>
  <c r="Y425" i="1"/>
  <c r="Y433" i="1"/>
  <c r="X448" i="1"/>
  <c r="X447" i="1"/>
  <c r="X458" i="1"/>
  <c r="X457" i="1"/>
  <c r="Y414" i="1"/>
  <c r="X454" i="1"/>
  <c r="X453" i="1"/>
  <c r="X416" i="1"/>
  <c r="X426" i="1"/>
  <c r="B15" i="3" s="1"/>
  <c r="X434" i="1"/>
  <c r="B19" i="3" s="1"/>
  <c r="X442" i="1"/>
  <c r="X460" i="1"/>
  <c r="X459" i="1"/>
  <c r="Y421" i="1"/>
  <c r="Y429" i="1"/>
  <c r="Y437" i="1"/>
  <c r="Y449" i="1"/>
  <c r="X450" i="1"/>
  <c r="X449" i="1"/>
  <c r="Z459" i="1"/>
  <c r="X456" i="1"/>
  <c r="X455" i="1"/>
  <c r="Z422" i="1"/>
  <c r="Z430" i="1"/>
  <c r="Z438" i="1"/>
  <c r="X446" i="1"/>
  <c r="Y461" i="1"/>
  <c r="X462" i="1"/>
  <c r="X461" i="1"/>
  <c r="Y451" i="1"/>
  <c r="X452" i="1"/>
  <c r="X451" i="1"/>
  <c r="Z461" i="1"/>
  <c r="Z379" i="5"/>
  <c r="Z378" i="5"/>
  <c r="Z443" i="5"/>
  <c r="Z442" i="5"/>
  <c r="X69" i="5"/>
  <c r="X72" i="5"/>
  <c r="Y85" i="5"/>
  <c r="X106" i="5"/>
  <c r="Y125" i="5"/>
  <c r="Z130" i="5"/>
  <c r="Z146" i="5"/>
  <c r="Z148" i="5"/>
  <c r="Z170" i="5"/>
  <c r="X205" i="5"/>
  <c r="X212" i="5"/>
  <c r="X211" i="5"/>
  <c r="X222" i="5"/>
  <c r="X239" i="5"/>
  <c r="X238" i="5"/>
  <c r="Z277" i="5"/>
  <c r="X287" i="5"/>
  <c r="X286" i="5"/>
  <c r="AA91" i="5"/>
  <c r="X101" i="5"/>
  <c r="Z112" i="5"/>
  <c r="AA124" i="5"/>
  <c r="Z132" i="5"/>
  <c r="Z138" i="5"/>
  <c r="Y149" i="5"/>
  <c r="AA156" i="5"/>
  <c r="X160" i="5"/>
  <c r="Y173" i="5"/>
  <c r="X221" i="5"/>
  <c r="X228" i="5"/>
  <c r="X227" i="5"/>
  <c r="Y300" i="5"/>
  <c r="Y322" i="5"/>
  <c r="Y321" i="5"/>
  <c r="Y107" i="5"/>
  <c r="X120" i="5"/>
  <c r="Y133" i="5"/>
  <c r="Y176" i="5"/>
  <c r="X266" i="5"/>
  <c r="X273" i="5"/>
  <c r="X272" i="5"/>
  <c r="Y83" i="5"/>
  <c r="Z96" i="5"/>
  <c r="AA106" i="5"/>
  <c r="Z108" i="5"/>
  <c r="Z120" i="5"/>
  <c r="AA132" i="5"/>
  <c r="Y141" i="5"/>
  <c r="AA148" i="5"/>
  <c r="X152" i="5"/>
  <c r="Z162" i="5"/>
  <c r="AA172" i="5"/>
  <c r="Y210" i="5"/>
  <c r="X217" i="5"/>
  <c r="X216" i="5"/>
  <c r="X244" i="5"/>
  <c r="X243" i="5"/>
  <c r="Y115" i="5"/>
  <c r="X128" i="5"/>
  <c r="Y165" i="5"/>
  <c r="Y179" i="5"/>
  <c r="Y192" i="5"/>
  <c r="Y226" i="5"/>
  <c r="X233" i="5"/>
  <c r="X232" i="5"/>
  <c r="Y292" i="5"/>
  <c r="Y291" i="5"/>
  <c r="Y90" i="5"/>
  <c r="X98" i="5"/>
  <c r="AA108" i="5"/>
  <c r="X110" i="5"/>
  <c r="AA114" i="5"/>
  <c r="Z116" i="5"/>
  <c r="AA134" i="5"/>
  <c r="X136" i="5"/>
  <c r="X144" i="5"/>
  <c r="AA178" i="5"/>
  <c r="Z253" i="5"/>
  <c r="X310" i="5"/>
  <c r="X309" i="5"/>
  <c r="Y330" i="5"/>
  <c r="Y329" i="5"/>
  <c r="AA83" i="5"/>
  <c r="AA102" i="5"/>
  <c r="X104" i="5"/>
  <c r="Y123" i="5"/>
  <c r="AA142" i="5"/>
  <c r="AA164" i="5"/>
  <c r="Z215" i="5"/>
  <c r="Y248" i="5"/>
  <c r="Z261" i="5"/>
  <c r="Z260" i="5"/>
  <c r="Y186" i="5"/>
  <c r="AA246" i="5"/>
  <c r="AA252" i="5"/>
  <c r="X254" i="5"/>
  <c r="Y259" i="5"/>
  <c r="AA276" i="5"/>
  <c r="X278" i="5"/>
  <c r="X291" i="5"/>
  <c r="Z419" i="5"/>
  <c r="Z418" i="5"/>
  <c r="Z395" i="5"/>
  <c r="Z394" i="5"/>
  <c r="Z244" i="5"/>
  <c r="X256" i="5"/>
  <c r="Z272" i="5"/>
  <c r="X280" i="5"/>
  <c r="X294" i="5"/>
  <c r="Z371" i="5"/>
  <c r="Z370" i="5"/>
  <c r="Z435" i="5"/>
  <c r="Z434" i="5"/>
  <c r="AA254" i="5"/>
  <c r="Y256" i="5"/>
  <c r="AA260" i="5"/>
  <c r="Y267" i="5"/>
  <c r="Y280" i="5"/>
  <c r="Y294" i="5"/>
  <c r="AA315" i="5"/>
  <c r="Y343" i="5"/>
  <c r="AA356" i="5"/>
  <c r="Z411" i="5"/>
  <c r="Z410" i="5"/>
  <c r="X457" i="5"/>
  <c r="X456" i="5"/>
  <c r="X275" i="5"/>
  <c r="X325" i="5"/>
  <c r="X333" i="5"/>
  <c r="Y359" i="5"/>
  <c r="Z387" i="5"/>
  <c r="Z386" i="5"/>
  <c r="Z451" i="5"/>
  <c r="Z450" i="5"/>
  <c r="Y288" i="5"/>
  <c r="Z427" i="5"/>
  <c r="Z426" i="5"/>
  <c r="X182" i="5"/>
  <c r="Y195" i="5"/>
  <c r="Z208" i="5"/>
  <c r="Z224" i="5"/>
  <c r="Z240" i="5"/>
  <c r="AA262" i="5"/>
  <c r="Y264" i="5"/>
  <c r="AA268" i="5"/>
  <c r="X283" i="5"/>
  <c r="Z348" i="5"/>
  <c r="Z403" i="5"/>
  <c r="Z402" i="5"/>
  <c r="AA460" i="5"/>
  <c r="AA336" i="5"/>
  <c r="AA352" i="5"/>
  <c r="Y365" i="5"/>
  <c r="AA372" i="5"/>
  <c r="Y373" i="5"/>
  <c r="AA380" i="5"/>
  <c r="Y381" i="5"/>
  <c r="AA388" i="5"/>
  <c r="Y389" i="5"/>
  <c r="AA396" i="5"/>
  <c r="Y397" i="5"/>
  <c r="Y405" i="5"/>
  <c r="Y413" i="5"/>
  <c r="Y421" i="5"/>
  <c r="Y429" i="5"/>
  <c r="Y437" i="5"/>
  <c r="Y445" i="5"/>
  <c r="Y453" i="5"/>
  <c r="AA301" i="5"/>
  <c r="AA309" i="5"/>
  <c r="AA317" i="5"/>
  <c r="AA325" i="5"/>
  <c r="AA333" i="5"/>
  <c r="AA344" i="5"/>
  <c r="AA360" i="5"/>
  <c r="Z458" i="5"/>
  <c r="Y461" i="5"/>
</calcChain>
</file>

<file path=xl/sharedStrings.xml><?xml version="1.0" encoding="utf-8"?>
<sst xmlns="http://schemas.openxmlformats.org/spreadsheetml/2006/main" count="6211" uniqueCount="294">
  <si>
    <t>name</t>
  </si>
  <si>
    <t>year</t>
  </si>
  <si>
    <t>pop_n</t>
  </si>
  <si>
    <t>pop_u</t>
  </si>
  <si>
    <t>wat_bas_n</t>
  </si>
  <si>
    <t>wat_lim_n</t>
  </si>
  <si>
    <t>region</t>
  </si>
  <si>
    <t>wat_unimp_n</t>
  </si>
  <si>
    <t>wat_sur_n</t>
  </si>
  <si>
    <t>wat_bas_r</t>
  </si>
  <si>
    <t>wat_lim_r</t>
  </si>
  <si>
    <t>Afghanistan</t>
  </si>
  <si>
    <t>South Asia</t>
  </si>
  <si>
    <t>wat_unimp_r</t>
  </si>
  <si>
    <t>Albania</t>
  </si>
  <si>
    <t>Europe &amp; Central Asia</t>
  </si>
  <si>
    <t>wat_sur_r</t>
  </si>
  <si>
    <t>Algeria</t>
  </si>
  <si>
    <t>Middle East &amp; North Africa</t>
  </si>
  <si>
    <t>wat_bas_u</t>
  </si>
  <si>
    <t>American Samoa</t>
  </si>
  <si>
    <t>wat_lim_u</t>
  </si>
  <si>
    <t>East Asia &amp; Pacific</t>
  </si>
  <si>
    <t>wat_unimp_u</t>
  </si>
  <si>
    <t>Andorra</t>
  </si>
  <si>
    <t>wat_sur_u</t>
  </si>
  <si>
    <t>Angola</t>
  </si>
  <si>
    <t>y_diff</t>
  </si>
  <si>
    <t>Sub-Saharan Africa</t>
  </si>
  <si>
    <t>Anguilla</t>
  </si>
  <si>
    <t>Latin America &amp; Caribbean</t>
  </si>
  <si>
    <t>ARC_n</t>
  </si>
  <si>
    <t>Antigua and Barbuda</t>
  </si>
  <si>
    <t>Argentina</t>
  </si>
  <si>
    <t>Armenia</t>
  </si>
  <si>
    <t>ARC_r</t>
  </si>
  <si>
    <t>Aruba</t>
  </si>
  <si>
    <t>ARC_u</t>
  </si>
  <si>
    <t>Australia</t>
  </si>
  <si>
    <t>wat_bas_n(rounded)</t>
  </si>
  <si>
    <t>Austria</t>
  </si>
  <si>
    <t>wat_bas_r(rounded)</t>
  </si>
  <si>
    <t>Azerbaijan</t>
  </si>
  <si>
    <t>wat_bas_u(rounded)</t>
  </si>
  <si>
    <t>Bahamas</t>
  </si>
  <si>
    <t>ARC_n_full</t>
  </si>
  <si>
    <t>Bahrain</t>
  </si>
  <si>
    <t>ARC_r_full</t>
  </si>
  <si>
    <t>Bangladesh</t>
  </si>
  <si>
    <t>ARC_u_full</t>
  </si>
  <si>
    <t>Barbados</t>
  </si>
  <si>
    <t>ARC_diff</t>
  </si>
  <si>
    <t>Belarus</t>
  </si>
  <si>
    <t>Region</t>
  </si>
  <si>
    <t>Belgium</t>
  </si>
  <si>
    <t>Belize</t>
  </si>
  <si>
    <t>Benin</t>
  </si>
  <si>
    <t>Bermuda</t>
  </si>
  <si>
    <t>North America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</si>
  <si>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</si>
  <si>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</si>
  <si>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</si>
  <si>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</si>
  <si>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</si>
  <si>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</si>
  <si>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</si>
  <si>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</si>
  <si>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</si>
  <si>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</si>
  <si>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</si>
  <si>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</si>
  <si>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</si>
  <si>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</si>
  <si>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</si>
  <si>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</si>
  <si>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</si>
  <si>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</si>
  <si>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</si>
  <si>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</si>
  <si>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</si>
  <si>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</si>
  <si>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</si>
  <si>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</si>
  <si>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</si>
  <si>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</si>
  <si>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</si>
  <si>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</si>
  <si>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</si>
  <si>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</si>
  <si>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</si>
  <si>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</si>
  <si>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</si>
  <si>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</si>
  <si>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</si>
  <si>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</si>
  <si>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</si>
  <si>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</si>
  <si>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</si>
  <si>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</si>
  <si>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</si>
  <si>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</si>
  <si>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</si>
  <si>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</si>
  <si>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</si>
  <si>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</si>
  <si>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</si>
  <si>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</si>
  <si>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</si>
  <si>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</si>
  <si>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</si>
  <si>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</si>
  <si>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</si>
  <si>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</si>
  <si>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</si>
  <si>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</si>
  <si>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</si>
  <si>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</si>
  <si>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</si>
  <si>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</si>
  <si>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</si>
  <si>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</si>
  <si>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</si>
  <si>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</si>
  <si>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</si>
  <si>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</si>
  <si>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</si>
  <si>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</si>
  <si>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</si>
  <si>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</si>
  <si>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</si>
  <si>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</si>
  <si>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</si>
  <si>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</si>
  <si>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</si>
  <si>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</si>
  <si>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</si>
  <si>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</si>
  <si>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</si>
  <si>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</si>
  <si>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</si>
  <si>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</si>
  <si>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</si>
  <si>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</si>
  <si>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</si>
  <si>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</si>
  <si>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</si>
  <si>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</si>
  <si>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</si>
  <si>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</si>
  <si>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</si>
  <si>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</si>
  <si>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</si>
  <si>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</si>
  <si>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</si>
  <si>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</si>
  <si>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</si>
  <si>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</si>
  <si>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</si>
  <si>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</si>
  <si>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</si>
  <si>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</si>
  <si>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</si>
  <si>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</si>
  <si>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</si>
  <si>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</si>
  <si>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</si>
  <si>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</si>
  <si>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</si>
  <si>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</si>
  <si>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</si>
  <si>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</si>
  <si>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</si>
  <si>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</si>
  <si>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</si>
  <si>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</si>
  <si>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</si>
  <si>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</si>
  <si>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</si>
  <si>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</si>
  <si>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</si>
  <si>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</si>
  <si>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</si>
  <si>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</si>
  <si>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</si>
  <si>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</si>
  <si>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</si>
  <si>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</si>
  <si>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</si>
  <si>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</si>
  <si>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</si>
  <si>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</si>
  <si>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</si>
  <si>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</si>
  <si>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</si>
  <si>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</si>
  <si>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</si>
  <si>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</si>
  <si>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</si>
  <si>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</si>
  <si>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</si>
  <si>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</si>
  <si>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</si>
  <si>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</si>
  <si>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</si>
  <si>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</si>
  <si>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</si>
  <si>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</si>
  <si>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</si>
  <si>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AVERAGE of ARC_n</t>
  </si>
  <si>
    <t>Saint Barthelemy</t>
  </si>
  <si>
    <t>AVERAGE of ARC_r</t>
  </si>
  <si>
    <t>Saint Helena</t>
  </si>
  <si>
    <t>AVERAGE of ARC_u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</si>
  <si>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</si>
  <si>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</si>
  <si>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</si>
  <si>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</si>
  <si>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</si>
  <si>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</si>
  <si>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</si>
  <si>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</si>
  <si>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</si>
  <si>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</si>
  <si>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</si>
  <si>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</si>
  <si>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</si>
  <si>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</si>
  <si>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</si>
  <si>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Grand Total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</si>
  <si>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</si>
  <si>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</si>
  <si>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</si>
  <si>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</si>
  <si>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</si>
  <si>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</si>
  <si>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</si>
  <si>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</si>
  <si>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</si>
  <si>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</si>
  <si>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</si>
  <si>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</si>
  <si>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</si>
  <si>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</si>
  <si>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</si>
  <si>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</si>
  <si>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</si>
  <si>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</si>
  <si>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</si>
  <si>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</si>
  <si>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</si>
  <si>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</si>
  <si>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</si>
  <si>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</si>
  <si>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</si>
  <si>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</si>
  <si>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</si>
  <si>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</si>
  <si>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</si>
  <si>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</si>
  <si>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</si>
  <si>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</si>
  <si>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</si>
  <si>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</si>
  <si>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</si>
  <si>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</si>
  <si>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</si>
  <si>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</si>
  <si>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</si>
  <si>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</si>
  <si>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</si>
  <si>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</si>
  <si>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</si>
  <si>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null</t>
  </si>
  <si>
    <t>13 815</t>
  </si>
  <si>
    <t>&lt;1</t>
  </si>
  <si>
    <t>14 863</t>
  </si>
  <si>
    <t>Average</t>
  </si>
  <si>
    <t>Minimum</t>
  </si>
  <si>
    <t>Maximum</t>
  </si>
  <si>
    <t>count</t>
  </si>
  <si>
    <t>Number of countries that have missing ARc_n value (null)</t>
  </si>
  <si>
    <t>Number of countries that have missing ARC_r value (null)</t>
  </si>
  <si>
    <t>Number of countries that have missing ARc_u value (null)</t>
  </si>
  <si>
    <t>ARC_n=0 and doesn't have full access</t>
  </si>
  <si>
    <t>ARC_r=o and doesn't have full access</t>
  </si>
  <si>
    <t>ARC_u=o and doesn't have full access</t>
  </si>
  <si>
    <t>ARC_n&lt;0 and doesn't have full access</t>
  </si>
  <si>
    <t>ARC_r&lt;o and doesn't have full access</t>
  </si>
  <si>
    <t>ARC_u&lt;o and doesn't have full access</t>
  </si>
  <si>
    <t>ARC_n&gt;0 and doesn't have full access</t>
  </si>
  <si>
    <t>ARC_r&gt;o and doesn't have full access</t>
  </si>
  <si>
    <t>ARC_u&gt;o and doesn't have full access</t>
  </si>
  <si>
    <t/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</si>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</sst>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9"/>
      <color rgb="FF000000"/>
      <name val="&quot;Google Sans Mono&quot;"/>
    </font>
    <font>
      <sz val="11"/>
      <color rgb="FF1F1F1F"/>
      <name val="Arial"/>
    </font>
    <font>
      <sz val="11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2" fontId="1" fillId="0" borderId="0" xfId="0" applyNumberFormat="1" applyFont="1"/>
    <xf numFmtId="1" fontId="1" fillId="0" borderId="0" xfId="0" applyNumberFormat="1" applyFont="1"/>
    <xf numFmtId="0" fontId="4" fillId="2" borderId="0" xfId="0" applyFont="1" applyFill="1"/>
    <xf numFmtId="0" fontId="5" fillId="2" borderId="0" xfId="0" applyFont="1" applyFill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omePC" refreshedDate="46309.764534259259" refreshedVersion="8" recordCount="462" xr:uid="{00000000-000A-0000-FFFF-FFFF00000000}">
  <cacheSource type="worksheet">
    <worksheetSource ref="A1:AB463" sheet="Estimates of the use of water ("/>
  </cacheSource>
  <cacheFields count="28">
    <cacheField name="name" numFmtId="0">
      <sharedItems/>
    </cacheField>
    <cacheField name="year" numFmtId="0">
      <sharedItems containsSemiMixedTypes="0" containsString="0" containsNumber="1" containsInteger="1" minValue="2015" maxValue="2020"/>
    </cacheField>
    <cacheField name="pop_n" numFmtId="0">
      <sharedItems containsSemiMixedTypes="0" containsString="0" containsNumber="1" minValue="1.2469999789999999" maxValue="1463140.5"/>
    </cacheField>
    <cacheField name="pop_u" numFmtId="0">
      <sharedItems containsSemiMixedTypes="0" containsString="0" containsNumber="1" minValue="0" maxValue="100"/>
    </cacheField>
    <cacheField name="wat_bas_n" numFmtId="0">
      <sharedItems containsMixedTypes="1" containsNumber="1" minValue="37.202402050000003" maxValue="100.0000046"/>
    </cacheField>
    <cacheField name="wat_lim_n" numFmtId="0">
      <sharedItems containsMixedTypes="1" containsNumber="1" minValue="0" maxValue="37.426962869999997"/>
    </cacheField>
    <cacheField name="wat_unimp_n" numFmtId="0">
      <sharedItems containsMixedTypes="1" containsNumber="1" minValue="0" maxValue="34.719560010000002"/>
    </cacheField>
    <cacheField name="wat_sur_n" numFmtId="0">
      <sharedItems containsMixedTypes="1" containsNumber="1" minValue="0" maxValue="35.443486479999997"/>
    </cacheField>
    <cacheField name="wat_bas_r" numFmtId="0">
      <sharedItems containsMixedTypes="1" containsNumber="1" minValue="20.6225138" maxValue="100"/>
    </cacheField>
    <cacheField name="wat_lim_r" numFmtId="0">
      <sharedItems containsMixedTypes="1" containsNumber="1" minValue="0" maxValue="42.164380680000001"/>
    </cacheField>
    <cacheField name="wat_unimp_r" numFmtId="0">
      <sharedItems containsMixedTypes="1" containsNumber="1" minValue="0" maxValue="51.215981669999998"/>
    </cacheField>
    <cacheField name="wat_sur_r" numFmtId="0">
      <sharedItems containsMixedTypes="1" containsNumber="1" minValue="0" maxValue="41.629253689999999"/>
    </cacheField>
    <cacheField name="wat_bas_u" numFmtId="0">
      <sharedItems containsMixedTypes="1" containsNumber="1" minValue="49.661664950000002" maxValue="100"/>
    </cacheField>
    <cacheField name="wat_lim_u" numFmtId="0">
      <sharedItems containsMixedTypes="1" containsNumber="1" minValue="0" maxValue="34.279780090000003"/>
    </cacheField>
    <cacheField name="wat_unimp_u" numFmtId="0">
      <sharedItems containsMixedTypes="1" containsNumber="1" minValue="0" maxValue="19.835806810000001"/>
    </cacheField>
    <cacheField name="wat_sur_u" numFmtId="0">
      <sharedItems containsMixedTypes="1" containsNumber="1" minValue="0" maxValue="6.7629295520000001"/>
    </cacheField>
    <cacheField name="y_diff" numFmtId="0">
      <sharedItems containsMixedTypes="1" containsNumber="1" containsInteger="1" minValue="1" maxValue="5"/>
    </cacheField>
    <cacheField name="ARC_n" numFmtId="0">
      <sharedItems containsMixedTypes="1" containsNumber="1" minValue="-1.0217886739999997" maxValue="2.7503264880000002"/>
    </cacheField>
    <cacheField name="ARC_r" numFmtId="0">
      <sharedItems containsMixedTypes="1" containsNumber="1" minValue="-1.2273809599999992" maxValue="2.6678826380000005"/>
    </cacheField>
    <cacheField name="ARC_u" numFmtId="0">
      <sharedItems containsMixedTypes="1" containsNumber="1" minValue="-1.6200868119999996" maxValue="2.6682118559999992"/>
    </cacheField>
    <cacheField name="wat_bas_n(rounded)" numFmtId="0">
      <sharedItems containsMixedTypes="1" containsNumber="1" containsInteger="1" minValue="37" maxValue="100"/>
    </cacheField>
    <cacheField name="wat_bas_r(rounded)" numFmtId="0">
      <sharedItems containsMixedTypes="1" containsNumber="1" containsInteger="1" minValue="21" maxValue="100"/>
    </cacheField>
    <cacheField name="wat_bas_u(rounded)" numFmtId="0">
      <sharedItems containsMixedTypes="1" containsNumber="1" containsInteger="1" minValue="50" maxValue="100"/>
    </cacheField>
    <cacheField name="ARC_n_full" numFmtId="0">
      <sharedItems/>
    </cacheField>
    <cacheField name="ARC_r_full" numFmtId="0">
      <sharedItems/>
    </cacheField>
    <cacheField name="ARC_u_full" numFmtId="0">
      <sharedItems/>
    </cacheField>
    <cacheField name="ARC_diff" numFmtId="0">
      <sharedItems containsMixedTypes="1" containsNumber="1" minValue="-2.4887956019999988" maxValue="2.3292538460000003"/>
    </cacheField>
    <cacheField name="Region" numFmtId="0">
      <sharedItems count="8">
        <e v="#N/A"/>
        <s v="Europe &amp; Central Asia"/>
        <s v="Middle East &amp; North Africa"/>
        <s v="East Asia &amp; Pacific"/>
        <s v="Sub-Saharan Africa"/>
        <s v="Latin America &amp; Caribbean"/>
        <s v="South Asia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s v="Afghanistan"/>
    <n v="2015"/>
    <n v="34413.601560000003"/>
    <n v="24.802999499999999"/>
    <n v="61.339780810000001"/>
    <n v="3.5111995139999999"/>
    <n v="22.168783829999999"/>
    <n v="12.98023585"/>
    <n v="52.988502019999999"/>
    <n v="3.8611366170000001"/>
    <n v="26.553267569999999"/>
    <n v="16.597093789999999"/>
    <n v="86.658940720000004"/>
    <n v="2.450270561"/>
    <n v="8.8760357320000001"/>
    <n v="2.0147529870000001"/>
    <n v="5"/>
    <n v="2.7503264880000002"/>
    <n v="2.6678826380000005"/>
    <n v="2.6682118559999992"/>
    <n v="61"/>
    <n v="53"/>
    <n v="87"/>
    <s v=""/>
    <s v=""/>
    <s v=""/>
    <n v="-3.2921799999874324E-4"/>
    <x v="0"/>
  </r>
  <r>
    <s v="Afghanistan"/>
    <n v="2020"/>
    <n v="38928.339840000001"/>
    <n v="26.025999070000001"/>
    <n v="75.091413250000002"/>
    <n v="1.447541688"/>
    <n v="14.56026288"/>
    <n v="8.9007821739999997"/>
    <n v="66.32791521"/>
    <n v="1.9568248509999999"/>
    <n v="19.68294895"/>
    <n v="12.03231098"/>
    <n v="100"/>
    <n v="0"/>
    <n v="0"/>
    <n v="0"/>
    <s v=""/>
    <s v=""/>
    <s v=""/>
    <s v=""/>
    <n v="75"/>
    <n v="66"/>
    <n v="100"/>
    <s v=""/>
    <s v=""/>
    <s v=""/>
    <s v=""/>
    <x v="0"/>
  </r>
  <r>
    <s v="Albania"/>
    <n v="2015"/>
    <n v="2890.5239259999998"/>
    <n v="57.433998109999997"/>
    <n v="93.394325339999995"/>
    <n v="3.626383658"/>
    <n v="2.9792910039999998"/>
    <n v="0"/>
    <n v="90.627274610000001"/>
    <n v="5.2631726480000003"/>
    <n v="4.1095527440000001"/>
    <n v="0"/>
    <n v="95.445066960000005"/>
    <n v="2.4133118200000001"/>
    <n v="2.1416212159999999"/>
    <n v="0"/>
    <n v="5"/>
    <n v="0.33474269800000228"/>
    <n v="0.69281669000000079"/>
    <n v="4.3748431999998158E-2"/>
    <n v="93"/>
    <n v="91"/>
    <n v="95"/>
    <s v=""/>
    <s v=""/>
    <s v=""/>
    <n v="0.64906825800000267"/>
    <x v="1"/>
  </r>
  <r>
    <s v="Albania"/>
    <n v="2020"/>
    <n v="2877.8000489999999"/>
    <n v="62.111999509999997"/>
    <n v="95.068038830000006"/>
    <n v="1.8846560919999999"/>
    <n v="3.0473050810000002"/>
    <n v="0"/>
    <n v="94.091358060000005"/>
    <n v="2.3052649550000002"/>
    <n v="3.6033769859999998"/>
    <n v="0"/>
    <n v="95.663809119999996"/>
    <n v="1.62808683"/>
    <n v="2.7081040540000001"/>
    <n v="0"/>
    <s v=""/>
    <s v=""/>
    <s v=""/>
    <s v=""/>
    <n v="95"/>
    <n v="94"/>
    <n v="96"/>
    <s v=""/>
    <s v=""/>
    <s v=""/>
    <s v=""/>
    <x v="1"/>
  </r>
  <r>
    <s v="Algeria"/>
    <n v="2015"/>
    <n v="39728.019529999998"/>
    <n v="70.847999569999999"/>
    <n v="93.409561530000005"/>
    <n v="5.157780893"/>
    <n v="1.2754646839999999"/>
    <n v="0.1571928913"/>
    <n v="88.352706859999998"/>
    <n v="8.6857531209999994"/>
    <n v="2.580431801"/>
    <n v="0.38110821550000001"/>
    <n v="95.490314699999999"/>
    <n v="3.7061173169999999"/>
    <n v="0.73851008510000005"/>
    <n v="6.5057897530000006E-2"/>
    <n v="5"/>
    <n v="0.20555368599999896"/>
    <n v="0.33696620999999993"/>
    <n v="0.10288423199999955"/>
    <n v="93"/>
    <n v="88"/>
    <n v="95"/>
    <s v=""/>
    <s v=""/>
    <s v=""/>
    <n v="0.23408197800000038"/>
    <x v="2"/>
  </r>
  <r>
    <s v="Algeria"/>
    <n v="2020"/>
    <n v="43851.042970000002"/>
    <n v="73.733001709999996"/>
    <n v="94.43732996"/>
    <n v="4.9858808420000003"/>
    <n v="0.53183666380000005"/>
    <n v="4.495253272E-2"/>
    <n v="90.037537909999998"/>
    <n v="8.79672214"/>
    <n v="0.99460302810000001"/>
    <n v="0.17113692580000001"/>
    <n v="96.004735859999997"/>
    <n v="3.628288591"/>
    <n v="0.36697554780000002"/>
    <n v="0"/>
    <s v=""/>
    <s v=""/>
    <s v=""/>
    <s v=""/>
    <n v="94"/>
    <n v="90"/>
    <n v="96"/>
    <s v=""/>
    <s v=""/>
    <s v=""/>
    <s v=""/>
    <x v="2"/>
  </r>
  <r>
    <s v="American Samoa"/>
    <n v="2015"/>
    <n v="55.805999759999999"/>
    <n v="87.238006589999998"/>
    <n v="99.619103150000001"/>
    <n v="0"/>
    <n v="0.38089684610000002"/>
    <n v="0"/>
    <s v="null"/>
    <s v="null"/>
    <s v="null"/>
    <s v="null"/>
    <s v="null"/>
    <s v="null"/>
    <s v="null"/>
    <s v="null"/>
    <n v="5"/>
    <n v="3.0933701999998675E-2"/>
    <s v="null"/>
    <s v="null"/>
    <n v="100"/>
    <s v="null"/>
    <s v="null"/>
    <s v="fullaccesss"/>
    <s v=""/>
    <s v=""/>
    <s v="null"/>
    <x v="3"/>
  </r>
  <r>
    <s v="American Samoa"/>
    <n v="2020"/>
    <n v="55.196998600000001"/>
    <n v="87.152999879999996"/>
    <n v="99.773771659999994"/>
    <n v="0"/>
    <n v="0.22622834150000001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3"/>
  </r>
  <r>
    <s v="Andorra"/>
    <n v="2015"/>
    <n v="77.992996219999995"/>
    <n v="88.344993590000001"/>
    <n v="99.999997550000003"/>
    <n v="0"/>
    <n v="2.4455383569999998E-6"/>
    <n v="0"/>
    <n v="100"/>
    <n v="0"/>
    <n v="0"/>
    <n v="0"/>
    <n v="100"/>
    <n v="0"/>
    <n v="0"/>
    <n v="0"/>
    <n v="5"/>
    <n v="1.229999998031417E-6"/>
    <n v="0"/>
    <n v="0"/>
    <n v="100"/>
    <n v="100"/>
    <n v="100"/>
    <s v="fullaccesss"/>
    <s v="fullaccesss"/>
    <s v="fullaccesss"/>
    <n v="0"/>
    <x v="1"/>
  </r>
  <r>
    <s v="Andorra"/>
    <n v="2020"/>
    <n v="77.26499939"/>
    <n v="87.916000370000006"/>
    <n v="100.00000369999999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Angola"/>
    <n v="2015"/>
    <n v="27884.380860000001"/>
    <n v="63.445995330000002"/>
    <n v="54.316928349999998"/>
    <n v="11.368618659999999"/>
    <n v="17.37235635"/>
    <n v="16.942096639999999"/>
    <n v="26.714369399999999"/>
    <n v="9.9310692879999998"/>
    <n v="21.725307619999999"/>
    <n v="41.629253689999999"/>
    <n v="70.219965119999998"/>
    <n v="12.196853490000001"/>
    <n v="14.86443147"/>
    <n v="2.7187499210000001"/>
    <n v="5"/>
    <n v="0.57016185399999986"/>
    <n v="0.2187714419999999"/>
    <n v="0.30463670000000037"/>
    <n v="54"/>
    <n v="27"/>
    <n v="70"/>
    <s v=""/>
    <s v=""/>
    <s v=""/>
    <n v="-8.5865258000000472E-2"/>
    <x v="4"/>
  </r>
  <r>
    <s v="Angola"/>
    <n v="2020"/>
    <n v="32866.269529999998"/>
    <n v="66.824996949999999"/>
    <n v="57.167737619999997"/>
    <n v="9.2873499190000004"/>
    <n v="19.450825340000002"/>
    <n v="14.094087119999999"/>
    <n v="27.808226609999998"/>
    <n v="8.7404883889999994"/>
    <n v="22.933152580000002"/>
    <n v="40.518132420000001"/>
    <n v="71.743148619999999"/>
    <n v="9.5588374890000001"/>
    <n v="17.722034730000001"/>
    <n v="0.97597916289999997"/>
    <s v=""/>
    <s v=""/>
    <s v=""/>
    <s v=""/>
    <n v="57"/>
    <n v="28"/>
    <n v="72"/>
    <s v=""/>
    <s v=""/>
    <s v=""/>
    <s v=""/>
    <x v="4"/>
  </r>
  <r>
    <s v="Anguilla"/>
    <n v="2015"/>
    <n v="14.27900028"/>
    <n v="100"/>
    <n v="97.482274250000003"/>
    <n v="0"/>
    <n v="2.5177257530000001"/>
    <n v="0"/>
    <s v="null"/>
    <s v="null"/>
    <s v="null"/>
    <s v="null"/>
    <n v="97.482274250000003"/>
    <n v="0"/>
    <n v="2.5177257530000001"/>
    <n v="0"/>
    <n v="2"/>
    <n v="0"/>
    <s v="null"/>
    <n v="0"/>
    <n v="97"/>
    <s v="null"/>
    <n v="97"/>
    <s v=""/>
    <s v=""/>
    <s v=""/>
    <s v="null"/>
    <x v="5"/>
  </r>
  <r>
    <s v="Anguilla"/>
    <n v="2017"/>
    <n v="14.588000299999999"/>
    <n v="100"/>
    <n v="97.482274250000003"/>
    <n v="0"/>
    <n v="2.5177257530000001"/>
    <n v="0"/>
    <s v="null"/>
    <s v="null"/>
    <s v="null"/>
    <s v="null"/>
    <n v="97.482274250000003"/>
    <n v="0"/>
    <n v="2.5177257530000001"/>
    <n v="0"/>
    <s v=""/>
    <s v=""/>
    <s v=""/>
    <s v=""/>
    <n v="97"/>
    <s v="null"/>
    <n v="97"/>
    <s v=""/>
    <s v=""/>
    <s v=""/>
    <s v=""/>
    <x v="5"/>
  </r>
  <r>
    <s v="Antigua and Barbuda"/>
    <n v="2015"/>
    <n v="93.570999150000006"/>
    <n v="25"/>
    <n v="96.739186279999998"/>
    <n v="0"/>
    <n v="3.1663476099999999"/>
    <n v="9.4466114089999997E-2"/>
    <s v="null"/>
    <s v="null"/>
    <s v="null"/>
    <s v="null"/>
    <s v="null"/>
    <s v="null"/>
    <s v="null"/>
    <s v="null"/>
    <n v="2"/>
    <n v="0"/>
    <s v="null"/>
    <s v="null"/>
    <n v="97"/>
    <s v="null"/>
    <s v="null"/>
    <s v=""/>
    <s v=""/>
    <s v=""/>
    <s v="null"/>
    <x v="5"/>
  </r>
  <r>
    <s v="Antigua and Barbuda"/>
    <n v="2017"/>
    <n v="95.425003050000001"/>
    <n v="24.713001250000001"/>
    <n v="96.739186279999998"/>
    <n v="0"/>
    <n v="3.1663476099999999"/>
    <n v="9.4466114089999997E-2"/>
    <s v="null"/>
    <s v="null"/>
    <s v="null"/>
    <s v="null"/>
    <s v="null"/>
    <s v="null"/>
    <s v="null"/>
    <s v="null"/>
    <s v=""/>
    <s v=""/>
    <s v=""/>
    <s v=""/>
    <n v="97"/>
    <s v="null"/>
    <s v="null"/>
    <s v=""/>
    <s v=""/>
    <s v=""/>
    <s v=""/>
    <x v="5"/>
  </r>
  <r>
    <s v="Argentina"/>
    <n v="2015"/>
    <n v="43075.414060000003"/>
    <n v="91.502998349999999"/>
    <n v="98.966588150000007"/>
    <n v="0"/>
    <n v="0.66491437909999995"/>
    <n v="0.36849747420000001"/>
    <n v="92.983660049999997"/>
    <n v="0"/>
    <n v="2.6795448990000001"/>
    <n v="4.3367950510000002"/>
    <n v="99.522163050000003"/>
    <n v="0"/>
    <n v="0.47783694729999998"/>
    <n v="0"/>
    <n v="5"/>
    <s v="null"/>
    <s v="null"/>
    <n v="5.3651519999999661E-2"/>
    <n v="99"/>
    <n v="93"/>
    <n v="100"/>
    <s v=""/>
    <s v=""/>
    <s v="fullaccesss"/>
    <s v="null"/>
    <x v="5"/>
  </r>
  <r>
    <s v="Argentina"/>
    <n v="2020"/>
    <n v="45195.777340000001"/>
    <n v="92.111000059999995"/>
    <s v="null"/>
    <s v="null"/>
    <s v="null"/>
    <s v="null"/>
    <s v="null"/>
    <s v="null"/>
    <s v="null"/>
    <s v="null"/>
    <n v="99.790420650000002"/>
    <n v="0"/>
    <n v="0.20957935010000001"/>
    <n v="0"/>
    <s v=""/>
    <s v=""/>
    <s v=""/>
    <s v=""/>
    <s v="null"/>
    <s v="null"/>
    <n v="100"/>
    <s v=""/>
    <s v=""/>
    <s v=""/>
    <s v=""/>
    <x v="5"/>
  </r>
  <r>
    <s v="Armenia"/>
    <n v="2015"/>
    <n v="2925.5590820000002"/>
    <n v="63.085002899999999"/>
    <n v="99.5525667"/>
    <n v="0"/>
    <n v="9.8505083660000006E-2"/>
    <n v="0.3489282205"/>
    <n v="99.054779269999997"/>
    <n v="0"/>
    <n v="0"/>
    <n v="0.94522073470000001"/>
    <n v="99.8438534"/>
    <n v="0"/>
    <n v="0.15614659810000001"/>
    <n v="0"/>
    <n v="5"/>
    <n v="8.3722797999999446E-2"/>
    <n v="0.18904414600000052"/>
    <n v="2.2125564000000965E-2"/>
    <n v="100"/>
    <n v="99"/>
    <n v="100"/>
    <s v="fullaccesss"/>
    <s v=""/>
    <s v="fullaccesss"/>
    <n v="0.16691858199999957"/>
    <x v="1"/>
  </r>
  <r>
    <s v="Armenia"/>
    <n v="2020"/>
    <n v="2963.2338869999999"/>
    <n v="63.312999730000001"/>
    <n v="99.971180689999997"/>
    <n v="0"/>
    <n v="2.8819308009999999E-2"/>
    <n v="0"/>
    <n v="100"/>
    <n v="0"/>
    <n v="0"/>
    <n v="0"/>
    <n v="99.954481220000005"/>
    <n v="0"/>
    <n v="4.5518783639999998E-2"/>
    <n v="0"/>
    <s v=""/>
    <s v=""/>
    <s v=""/>
    <s v=""/>
    <n v="100"/>
    <n v="100"/>
    <n v="100"/>
    <s v=""/>
    <s v=""/>
    <s v=""/>
    <s v=""/>
    <x v="1"/>
  </r>
  <r>
    <s v="Aruba"/>
    <n v="2015"/>
    <n v="104.3389969"/>
    <n v="43.108001710000003"/>
    <n v="97.869023380000002"/>
    <n v="0"/>
    <n v="1.95993621"/>
    <n v="0.1710404089"/>
    <s v="null"/>
    <s v="null"/>
    <s v="null"/>
    <s v="null"/>
    <s v="null"/>
    <s v="null"/>
    <s v="null"/>
    <s v="null"/>
    <n v="1"/>
    <n v="0"/>
    <s v="null"/>
    <s v="null"/>
    <n v="98"/>
    <s v="null"/>
    <s v="null"/>
    <s v=""/>
    <s v=""/>
    <s v=""/>
    <s v="null"/>
    <x v="5"/>
  </r>
  <r>
    <s v="Aruba"/>
    <n v="2016"/>
    <n v="104.86499790000001"/>
    <n v="43.191997530000002"/>
    <n v="97.869023380000002"/>
    <n v="0"/>
    <n v="1.95993621"/>
    <n v="0.1710404089"/>
    <s v="null"/>
    <s v="null"/>
    <s v="null"/>
    <s v="null"/>
    <s v="null"/>
    <s v="null"/>
    <s v="null"/>
    <s v="null"/>
    <s v=""/>
    <s v=""/>
    <s v=""/>
    <s v=""/>
    <n v="98"/>
    <s v="null"/>
    <s v="null"/>
    <s v=""/>
    <s v=""/>
    <s v=""/>
    <s v=""/>
    <x v="5"/>
  </r>
  <r>
    <s v="Australia"/>
    <n v="2015"/>
    <n v="23932.498049999998"/>
    <n v="85.701004030000007"/>
    <n v="99.970005670000006"/>
    <n v="0"/>
    <n v="2.9994330570000002E-2"/>
    <n v="0"/>
    <n v="100"/>
    <n v="0"/>
    <n v="0"/>
    <n v="0"/>
    <n v="99.965000000000003"/>
    <n v="0"/>
    <n v="3.5000000000000003E-2"/>
    <n v="0"/>
    <n v="5"/>
    <n v="-3.8770000000454277E-5"/>
    <n v="0"/>
    <n v="0"/>
    <n v="100"/>
    <n v="100"/>
    <n v="100"/>
    <s v="fullaccesss"/>
    <s v="fullaccesss"/>
    <s v="fullaccesss"/>
    <n v="0"/>
    <x v="3"/>
  </r>
  <r>
    <s v="Australia"/>
    <n v="2020"/>
    <n v="25499.880860000001"/>
    <n v="86.240997309999997"/>
    <n v="99.969811820000004"/>
    <n v="0"/>
    <n v="3.0188178730000001E-2"/>
    <n v="0"/>
    <n v="100"/>
    <n v="0"/>
    <n v="0"/>
    <n v="0"/>
    <n v="99.965000000000003"/>
    <n v="0"/>
    <n v="3.5000000000000003E-2"/>
    <n v="0"/>
    <s v=""/>
    <s v=""/>
    <s v=""/>
    <s v=""/>
    <n v="100"/>
    <n v="100"/>
    <n v="100"/>
    <s v=""/>
    <s v=""/>
    <s v=""/>
    <s v=""/>
    <x v="3"/>
  </r>
  <r>
    <s v="Austria"/>
    <n v="2015"/>
    <n v="8678.6669920000004"/>
    <n v="57.715000150000002"/>
    <n v="100"/>
    <n v="0"/>
    <n v="0"/>
    <n v="0"/>
    <n v="100"/>
    <n v="0"/>
    <n v="0"/>
    <n v="0"/>
    <n v="100"/>
    <n v="0"/>
    <n v="0"/>
    <n v="0"/>
    <n v="5"/>
    <n v="0"/>
    <n v="0"/>
    <n v="0"/>
    <n v="100"/>
    <n v="100"/>
    <n v="100"/>
    <s v="fullaccesss"/>
    <s v="fullaccesss"/>
    <s v="fullaccesss"/>
    <n v="0"/>
    <x v="1"/>
  </r>
  <r>
    <s v="Austria"/>
    <n v="2020"/>
    <n v="9006.4003909999992"/>
    <n v="58.748001100000003"/>
    <n v="100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Azerbaijan"/>
    <n v="2015"/>
    <n v="9622.7412110000005"/>
    <n v="54.7140007"/>
    <n v="92.420313980000003"/>
    <n v="1.002242415"/>
    <n v="4.3650895219999999"/>
    <n v="2.2123540799999999"/>
    <n v="84.143213270000004"/>
    <n v="2.2131397310000001"/>
    <n v="8.9882060060000004"/>
    <n v="4.6554409919999999"/>
    <n v="99.271152029999996"/>
    <n v="0"/>
    <n v="0.53860203449999999"/>
    <n v="0.1902459339"/>
    <n v="5"/>
    <n v="0.72461242999999909"/>
    <n v="1.3565169359999998"/>
    <n v="0.14576959400000078"/>
    <n v="92"/>
    <n v="84"/>
    <n v="99"/>
    <s v=""/>
    <s v=""/>
    <s v=""/>
    <n v="1.210747341999999"/>
    <x v="1"/>
  </r>
  <r>
    <s v="Azerbaijan"/>
    <n v="2020"/>
    <n v="10139.174800000001"/>
    <n v="56.397003169999998"/>
    <n v="96.043376129999999"/>
    <n v="1.04278118"/>
    <n v="2.9138426879999999"/>
    <n v="0"/>
    <n v="90.925797950000003"/>
    <n v="2.3915356710000002"/>
    <n v="6.6826663770000003"/>
    <n v="0"/>
    <n v="100"/>
    <n v="0"/>
    <n v="0"/>
    <n v="0"/>
    <s v=""/>
    <s v=""/>
    <s v=""/>
    <s v=""/>
    <n v="96"/>
    <n v="91"/>
    <n v="100"/>
    <s v=""/>
    <s v=""/>
    <s v=""/>
    <s v=""/>
    <x v="1"/>
  </r>
  <r>
    <s v="Bahamas"/>
    <n v="2015"/>
    <n v="374.2000122"/>
    <n v="82.745994569999993"/>
    <n v="98.886960500000001"/>
    <n v="0"/>
    <n v="1.113039503"/>
    <n v="0"/>
    <s v="null"/>
    <s v="null"/>
    <s v="null"/>
    <s v="null"/>
    <s v="null"/>
    <s v="null"/>
    <s v="null"/>
    <s v="null"/>
    <n v="4"/>
    <n v="0"/>
    <s v="null"/>
    <s v="null"/>
    <n v="99"/>
    <s v="null"/>
    <s v="null"/>
    <s v=""/>
    <s v=""/>
    <s v=""/>
    <s v="null"/>
    <x v="5"/>
  </r>
  <r>
    <s v="Bahamas"/>
    <n v="2019"/>
    <n v="389.48599239999999"/>
    <n v="83.131996150000006"/>
    <n v="98.886960500000001"/>
    <n v="0"/>
    <n v="1.113039503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5"/>
  </r>
  <r>
    <s v="Bahrain"/>
    <n v="2015"/>
    <n v="1371.8530270000001"/>
    <n v="88.998992920000006"/>
    <n v="100"/>
    <n v="0"/>
    <n v="0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1"/>
  </r>
  <r>
    <s v="Bahrain"/>
    <n v="2020"/>
    <n v="1701.5830080000001"/>
    <n v="89.506004329999996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Bangladesh"/>
    <n v="2015"/>
    <n v="156256.2813"/>
    <n v="34.308002469999998"/>
    <n v="97.101602470000003"/>
    <n v="1.087988961"/>
    <n v="0.72156165819999996"/>
    <n v="1.08884691"/>
    <n v="96.773011280000006"/>
    <n v="1.0462141620000001"/>
    <n v="0.73174732170000001"/>
    <n v="1.4490272369999999"/>
    <n v="97.730779679999998"/>
    <n v="1.167978177"/>
    <n v="0.70205843499999998"/>
    <n v="0.39918370739999998"/>
    <n v="5"/>
    <n v="0.11927155599999821"/>
    <n v="0.22144529599999885"/>
    <n v="-6.5600341999999048E-2"/>
    <n v="97"/>
    <n v="97"/>
    <n v="98"/>
    <s v=""/>
    <s v=""/>
    <s v=""/>
    <n v="0.28704563799999788"/>
    <x v="6"/>
  </r>
  <r>
    <s v="Bangladesh"/>
    <n v="2020"/>
    <n v="164689.39060000001"/>
    <n v="38.177001949999998"/>
    <n v="97.697960249999994"/>
    <n v="1.1564258780000001"/>
    <n v="0.46265570020000002"/>
    <n v="0.68295817349999999"/>
    <n v="97.88023776"/>
    <n v="0.85810498040000005"/>
    <n v="0.31648024139999997"/>
    <n v="0.94517701509999996"/>
    <n v="97.402777970000002"/>
    <n v="1.6395201210000001"/>
    <n v="0.69937521469999997"/>
    <n v="0.25832669339999997"/>
    <s v=""/>
    <s v=""/>
    <s v=""/>
    <s v=""/>
    <n v="98"/>
    <n v="98"/>
    <n v="97"/>
    <s v=""/>
    <s v=""/>
    <s v=""/>
    <s v=""/>
    <x v="6"/>
  </r>
  <r>
    <s v="Barbados"/>
    <n v="2015"/>
    <n v="285.32699580000002"/>
    <n v="31.24899864"/>
    <n v="98.474444739999996"/>
    <n v="0.26749190639999998"/>
    <n v="1.2580633510000001"/>
    <n v="0"/>
    <s v="null"/>
    <s v="null"/>
    <s v="null"/>
    <s v="null"/>
    <s v="null"/>
    <s v="null"/>
    <s v="null"/>
    <s v="null"/>
    <n v="5"/>
    <n v="8.0011360000014527E-3"/>
    <s v="null"/>
    <s v="null"/>
    <n v="98"/>
    <s v="null"/>
    <s v="null"/>
    <s v=""/>
    <s v=""/>
    <s v=""/>
    <s v="null"/>
    <x v="5"/>
  </r>
  <r>
    <s v="Barbados"/>
    <n v="2020"/>
    <n v="287.37100220000002"/>
    <n v="31.190999980000001"/>
    <n v="98.514450420000003"/>
    <n v="0.26760057609999999"/>
    <n v="1.2179490049999999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5"/>
  </r>
  <r>
    <s v="Belarus"/>
    <n v="2015"/>
    <n v="9439.4238280000009"/>
    <n v="77.180999760000006"/>
    <n v="96.477067090000006"/>
    <n v="3.3001301079999998"/>
    <n v="0.22280279950000001"/>
    <n v="0"/>
    <n v="98.330671600000002"/>
    <n v="0.99323910709999996"/>
    <n v="0.67608928950000002"/>
    <n v="0"/>
    <n v="95.92903518"/>
    <n v="3.9821753929999999"/>
    <n v="8.8789423830000005E-2"/>
    <n v="0"/>
    <n v="5"/>
    <n v="1.1531797999998617E-2"/>
    <n v="4.6690141999999921E-2"/>
    <n v="1.6367687999999703E-2"/>
    <n v="96"/>
    <n v="98"/>
    <n v="96"/>
    <s v=""/>
    <s v=""/>
    <s v=""/>
    <n v="3.0322454000000217E-2"/>
    <x v="1"/>
  </r>
  <r>
    <s v="Belarus"/>
    <n v="2020"/>
    <n v="9449.3212889999995"/>
    <n v="79.483001709999996"/>
    <n v="96.534726079999999"/>
    <n v="3.3721195499999999"/>
    <n v="9.3154368370000004E-2"/>
    <n v="0"/>
    <n v="98.564122310000002"/>
    <n v="0.9955971951"/>
    <n v="0.4402804931"/>
    <n v="0"/>
    <n v="96.010873619999998"/>
    <n v="3.9855726439999999"/>
    <n v="3.5537319770000001E-3"/>
    <n v="0"/>
    <s v=""/>
    <s v=""/>
    <s v=""/>
    <s v=""/>
    <n v="97"/>
    <n v="99"/>
    <n v="96"/>
    <s v=""/>
    <s v=""/>
    <s v=""/>
    <s v=""/>
    <x v="1"/>
  </r>
  <r>
    <s v="Belgium"/>
    <n v="2015"/>
    <n v="11287.93066"/>
    <n v="97.875999449999995"/>
    <n v="99.999997699999994"/>
    <n v="0"/>
    <n v="2.2980245119999998E-6"/>
    <n v="0"/>
    <n v="100"/>
    <n v="0"/>
    <n v="0"/>
    <n v="0"/>
    <n v="100"/>
    <n v="0"/>
    <n v="0"/>
    <n v="0"/>
    <n v="5"/>
    <n v="-2.4999999936881068E-7"/>
    <n v="0"/>
    <n v="0"/>
    <n v="100"/>
    <n v="100"/>
    <n v="100"/>
    <s v="fullaccesss"/>
    <s v="fullaccesss"/>
    <s v="fullaccesss"/>
    <n v="0"/>
    <x v="1"/>
  </r>
  <r>
    <s v="Belgium"/>
    <n v="2020"/>
    <n v="11589.61621"/>
    <n v="98.078994750000007"/>
    <n v="99.999996449999998"/>
    <n v="0"/>
    <n v="3.5547967910000002E-6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Belize"/>
    <n v="2015"/>
    <n v="360.92599489999998"/>
    <n v="45.405998230000002"/>
    <n v="97.17559498"/>
    <n v="1.227940493"/>
    <n v="1.5682225350000001"/>
    <n v="2.8241988169999999E-2"/>
    <n v="95.653832059999999"/>
    <n v="1.4219190049999999"/>
    <n v="2.8725179939999999"/>
    <n v="5.1730935759999999E-2"/>
    <n v="99.005290000000002"/>
    <n v="0.99470999999999998"/>
    <n v="0"/>
    <n v="0"/>
    <n v="5"/>
    <n v="0.24527193000000125"/>
    <n v="0.46827510399999994"/>
    <n v="-2.5265999999999168E-2"/>
    <n v="97"/>
    <n v="96"/>
    <n v="99"/>
    <s v=""/>
    <s v=""/>
    <s v=""/>
    <n v="0.49354110399999912"/>
    <x v="5"/>
  </r>
  <r>
    <s v="Belize"/>
    <n v="2020"/>
    <n v="397.62100220000002"/>
    <n v="46.025001529999997"/>
    <n v="98.401954630000006"/>
    <n v="1.249110629"/>
    <n v="0.3489347411"/>
    <n v="0"/>
    <n v="97.995207579999999"/>
    <n v="1.358317682"/>
    <n v="0.64647473929999999"/>
    <n v="0"/>
    <n v="98.878960000000006"/>
    <n v="1.12104"/>
    <n v="0"/>
    <n v="0"/>
    <s v=""/>
    <s v=""/>
    <s v=""/>
    <s v=""/>
    <n v="98"/>
    <n v="98"/>
    <n v="99"/>
    <s v=""/>
    <s v=""/>
    <s v=""/>
    <s v=""/>
    <x v="5"/>
  </r>
  <r>
    <s v="Benin"/>
    <n v="2015"/>
    <n v="10575.96191"/>
    <n v="45.695003509999999"/>
    <n v="64.786822299999997"/>
    <n v="8.7154706540000006"/>
    <n v="21.298464339999999"/>
    <n v="5.1992427130000003"/>
    <n v="56.784352470000002"/>
    <n v="11.70337067"/>
    <n v="23.774978569999998"/>
    <n v="7.7372982859999997"/>
    <n v="74.297142559999998"/>
    <n v="5.1645811540000004"/>
    <n v="18.355317530000001"/>
    <n v="2.1829587560000001"/>
    <n v="5"/>
    <n v="0.12546013799999969"/>
    <n v="0.25358310399999906"/>
    <n v="-0.20782850399999972"/>
    <n v="65"/>
    <n v="57"/>
    <n v="74"/>
    <s v=""/>
    <s v=""/>
    <s v=""/>
    <n v="0.46141160799999881"/>
    <x v="4"/>
  </r>
  <r>
    <s v="Benin"/>
    <n v="2020"/>
    <n v="12123.19824"/>
    <n v="48.414997100000001"/>
    <n v="65.414122989999996"/>
    <n v="9.317535586"/>
    <n v="21.97254088"/>
    <n v="3.2958005469999998"/>
    <n v="58.052267989999997"/>
    <n v="12.705205039999999"/>
    <n v="23.977968329999999"/>
    <n v="5.2645586340000001"/>
    <n v="73.258000039999999"/>
    <n v="5.7080563529999999"/>
    <n v="19.835806810000001"/>
    <n v="1.1981367940000001"/>
    <s v=""/>
    <s v=""/>
    <s v=""/>
    <s v=""/>
    <n v="65"/>
    <n v="58"/>
    <n v="73"/>
    <s v=""/>
    <s v=""/>
    <s v=""/>
    <s v=""/>
    <x v="4"/>
  </r>
  <r>
    <s v="Bermuda"/>
    <n v="2015"/>
    <n v="63.694999690000003"/>
    <n v="100"/>
    <n v="99.903140019999995"/>
    <n v="0"/>
    <n v="9.6859982940000006E-2"/>
    <n v="0"/>
    <s v="null"/>
    <s v="null"/>
    <s v="null"/>
    <s v="null"/>
    <n v="99.903140019999995"/>
    <n v="0"/>
    <n v="9.6859982940000006E-2"/>
    <n v="0"/>
    <n v="5"/>
    <n v="0"/>
    <s v="null"/>
    <n v="0"/>
    <n v="100"/>
    <s v="null"/>
    <n v="100"/>
    <s v="fullaccesss"/>
    <s v=""/>
    <s v="fullaccesss"/>
    <s v="null"/>
    <x v="7"/>
  </r>
  <r>
    <s v="Bermuda"/>
    <n v="2020"/>
    <n v="62.272998809999997"/>
    <n v="100"/>
    <n v="99.903140019999995"/>
    <n v="0"/>
    <n v="9.6859982940000006E-2"/>
    <n v="0"/>
    <s v="null"/>
    <s v="null"/>
    <s v="null"/>
    <s v="null"/>
    <n v="99.903140019999995"/>
    <n v="0"/>
    <n v="9.6859982940000006E-2"/>
    <n v="0"/>
    <s v=""/>
    <s v=""/>
    <s v=""/>
    <s v=""/>
    <n v="100"/>
    <s v="null"/>
    <n v="100"/>
    <s v=""/>
    <s v=""/>
    <s v=""/>
    <s v=""/>
    <x v="7"/>
  </r>
  <r>
    <s v="Bhutan"/>
    <n v="2015"/>
    <n v="727.88500980000003"/>
    <n v="38.678001399999999"/>
    <n v="96.221422590000003"/>
    <n v="2.496596292"/>
    <n v="0.29618737509999998"/>
    <n v="0.98579373770000001"/>
    <n v="95.164362949999997"/>
    <n v="3.215858941"/>
    <n v="0.1935987005"/>
    <n v="1.4261794109999999"/>
    <n v="97.897336780000003"/>
    <n v="1.3562420319999999"/>
    <n v="0.45883648849999997"/>
    <n v="0.28758470349999998"/>
    <n v="5"/>
    <n v="0.21836000799999908"/>
    <n v="0.3133661399999994"/>
    <n v="4.1858342000000451E-2"/>
    <n v="96"/>
    <n v="95"/>
    <n v="98"/>
    <s v=""/>
    <s v=""/>
    <s v=""/>
    <n v="0.27150779799999897"/>
    <x v="6"/>
  </r>
  <r>
    <s v="Bhutan"/>
    <n v="2020"/>
    <n v="771.61199950000002"/>
    <n v="42.31599808"/>
    <n v="97.313222629999999"/>
    <n v="2.4607126070000001"/>
    <n v="0.17642421829999999"/>
    <n v="4.9640541420000003E-2"/>
    <n v="96.731193649999994"/>
    <n v="3.2688063509999998"/>
    <n v="0"/>
    <n v="0"/>
    <n v="98.106628490000006"/>
    <n v="1.3591415"/>
    <n v="0.41692084750000002"/>
    <n v="0.1173091586"/>
    <s v=""/>
    <s v=""/>
    <s v=""/>
    <s v=""/>
    <n v="97"/>
    <n v="97"/>
    <n v="98"/>
    <s v=""/>
    <s v=""/>
    <s v=""/>
    <s v=""/>
    <x v="6"/>
  </r>
  <r>
    <s v="Bolivia (Plurinational State of)"/>
    <n v="2015"/>
    <n v="10869.73242"/>
    <n v="68.392997739999998"/>
    <n v="90.462141009999996"/>
    <n v="0.17289839809999999"/>
    <n v="2.832457169"/>
    <n v="6.5325034249999998"/>
    <n v="73.740180199999998"/>
    <n v="0.33996878380000001"/>
    <n v="5.9118005360000003"/>
    <n v="20.008050480000001"/>
    <n v="98.189997079999998"/>
    <n v="9.5688834099999995E-2"/>
    <n v="1.4093724700000001"/>
    <n v="0.304941615"/>
    <n v="5"/>
    <n v="0.58558612399999954"/>
    <n v="1.2392925259999998"/>
    <n v="0.18642424800000015"/>
    <n v="90"/>
    <n v="74"/>
    <n v="98"/>
    <s v=""/>
    <s v=""/>
    <s v=""/>
    <n v="1.0528682779999996"/>
    <x v="5"/>
  </r>
  <r>
    <s v="Bolivia (Plurinational State of)"/>
    <n v="2020"/>
    <n v="11673.0293"/>
    <n v="70.123001099999996"/>
    <n v="93.390071629999994"/>
    <n v="0.13659052960000001"/>
    <n v="1.575010843"/>
    <n v="4.8983269969999998"/>
    <n v="79.936642829999997"/>
    <n v="0.24473640820000001"/>
    <n v="3.9541336930000002"/>
    <n v="15.864487069999999"/>
    <n v="99.122118319999998"/>
    <n v="9.0513289469999994E-2"/>
    <n v="0.56134538079999996"/>
    <n v="0.22602301120000001"/>
    <s v=""/>
    <s v=""/>
    <s v=""/>
    <s v=""/>
    <n v="93"/>
    <n v="80"/>
    <n v="99"/>
    <s v=""/>
    <s v=""/>
    <s v=""/>
    <s v=""/>
    <x v="5"/>
  </r>
  <r>
    <s v="Bosnia and Herzegovina"/>
    <n v="2015"/>
    <n v="3429.3620609999998"/>
    <n v="47.172996519999998"/>
    <n v="96.159844179999993"/>
    <n v="3.780069975"/>
    <n v="6.0085848570000003E-2"/>
    <n v="0"/>
    <n v="97.333333330000002"/>
    <n v="2.6666666669999999"/>
    <n v="0"/>
    <n v="0"/>
    <n v="94.845704400000002"/>
    <n v="5.0269222060000001"/>
    <n v="0.12737339280000001"/>
    <n v="0"/>
    <n v="5"/>
    <n v="-9.1893119999980396E-3"/>
    <n v="0"/>
    <n v="0"/>
    <n v="96"/>
    <n v="97"/>
    <n v="95"/>
    <s v=""/>
    <s v=""/>
    <s v=""/>
    <n v="0"/>
    <x v="1"/>
  </r>
  <r>
    <s v="Bosnia and Herzegovina"/>
    <n v="2020"/>
    <n v="3280.8149410000001"/>
    <n v="49.020000459999999"/>
    <n v="96.113897620000003"/>
    <n v="3.8236639380000002"/>
    <n v="6.2438437520000001E-2"/>
    <n v="0"/>
    <n v="97.333333330000002"/>
    <n v="2.6666666669999999"/>
    <n v="0"/>
    <n v="0"/>
    <n v="94.845704400000002"/>
    <n v="5.0269222060000001"/>
    <n v="0.12737339280000001"/>
    <n v="0"/>
    <s v=""/>
    <s v=""/>
    <s v=""/>
    <s v=""/>
    <n v="96"/>
    <n v="97"/>
    <n v="95"/>
    <s v=""/>
    <s v=""/>
    <s v=""/>
    <s v=""/>
    <x v="1"/>
  </r>
  <r>
    <s v="Botswana"/>
    <n v="2015"/>
    <n v="2120.7160640000002"/>
    <n v="67.15499878"/>
    <n v="88.446289530000001"/>
    <n v="8.4106141599999997"/>
    <n v="1.578349601"/>
    <n v="1.5647467079999999"/>
    <n v="71.892533830000005"/>
    <n v="21.789327549999999"/>
    <n v="1.854197906"/>
    <n v="4.4639407090000001"/>
    <n v="96.542602579999993"/>
    <n v="1.867186166"/>
    <n v="1.443438497"/>
    <n v="0.1467727616"/>
    <n v="5"/>
    <n v="0.75345470800000103"/>
    <n v="1.4302380059999991"/>
    <n v="0.21647560000000113"/>
    <n v="88"/>
    <n v="72"/>
    <n v="97"/>
    <s v=""/>
    <s v=""/>
    <s v=""/>
    <n v="1.2137624059999979"/>
    <x v="4"/>
  </r>
  <r>
    <s v="Botswana"/>
    <n v="2020"/>
    <n v="2351.625"/>
    <n v="70.876998900000004"/>
    <n v="92.213563070000006"/>
    <n v="4.7230389700000002"/>
    <n v="1.7325264760000001"/>
    <n v="1.330871481"/>
    <n v="79.04372386"/>
    <n v="15.154947180000001"/>
    <n v="1.5961191560000001"/>
    <n v="4.2052098100000004"/>
    <n v="97.624980579999999"/>
    <n v="0.43662003220000001"/>
    <n v="1.788579159"/>
    <n v="0.14982022810000001"/>
    <s v=""/>
    <s v=""/>
    <s v=""/>
    <s v=""/>
    <n v="92"/>
    <n v="79"/>
    <n v="98"/>
    <s v=""/>
    <s v=""/>
    <s v=""/>
    <s v=""/>
    <x v="4"/>
  </r>
  <r>
    <s v="Brazil"/>
    <n v="2015"/>
    <n v="204471.76560000001"/>
    <n v="85.770004270000001"/>
    <n v="97.80356759"/>
    <n v="0.57950002290000002"/>
    <n v="0.47496570910000002"/>
    <n v="1.141966676"/>
    <n v="88.756028180000001"/>
    <n v="2.8537735780000002"/>
    <n v="0.36513423810000001"/>
    <n v="8.0250640079999993"/>
    <n v="99.304631020000002"/>
    <n v="0.20217793440000001"/>
    <n v="0.49319104540000003"/>
    <n v="0"/>
    <n v="5"/>
    <n v="0.30345708000000116"/>
    <n v="1.4378462700000001"/>
    <n v="0.10347405800000047"/>
    <n v="98"/>
    <n v="89"/>
    <n v="99"/>
    <s v=""/>
    <s v=""/>
    <s v=""/>
    <n v="1.3343722119999997"/>
    <x v="5"/>
  </r>
  <r>
    <s v="Brazil"/>
    <n v="2020"/>
    <n v="212559.4063"/>
    <n v="87.072998049999995"/>
    <n v="99.320852990000006"/>
    <n v="0.12654900390000001"/>
    <n v="0.55259800989999996"/>
    <s v="null"/>
    <n v="95.945259530000001"/>
    <n v="0.97895091540000001"/>
    <n v="3.0757895510000002"/>
    <s v="null"/>
    <n v="99.822001310000005"/>
    <n v="0"/>
    <n v="0.1779986949"/>
    <n v="0"/>
    <s v=""/>
    <s v=""/>
    <s v=""/>
    <s v=""/>
    <n v="99"/>
    <n v="96"/>
    <n v="100"/>
    <s v=""/>
    <s v=""/>
    <s v=""/>
    <s v=""/>
    <x v="5"/>
  </r>
  <r>
    <s v="British Virgin Islands"/>
    <n v="2015"/>
    <n v="29.148000719999999"/>
    <n v="46.583000179999999"/>
    <n v="99.864383559999993"/>
    <n v="0"/>
    <n v="0.13561643840000001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5"/>
  </r>
  <r>
    <s v="British Virgin Islands"/>
    <n v="2020"/>
    <n v="30.23699951"/>
    <n v="48.51499939"/>
    <n v="99.864383559999993"/>
    <n v="0"/>
    <n v="0.13561643840000001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5"/>
  </r>
  <r>
    <s v="Brunei Darussalam"/>
    <n v="2015"/>
    <n v="414.91400149999998"/>
    <n v="76.662994380000001"/>
    <n v="99.509976159999994"/>
    <n v="0"/>
    <n v="0.39667583379999999"/>
    <n v="9.3348002949999995E-2"/>
    <n v="99.05"/>
    <n v="0"/>
    <n v="0.55000000000000004"/>
    <n v="0.4"/>
    <n v="99.65"/>
    <n v="0"/>
    <n v="0.35"/>
    <n v="0"/>
    <n v="5"/>
    <n v="7.8012128000000305E-2"/>
    <s v="null"/>
    <n v="0"/>
    <n v="100"/>
    <n v="99"/>
    <n v="100"/>
    <s v="fullaccesss"/>
    <s v=""/>
    <s v="fullaccesss"/>
    <s v="null"/>
    <x v="3"/>
  </r>
  <r>
    <s v="Brunei Darussalam"/>
    <n v="2020"/>
    <n v="437.48300169999999"/>
    <n v="78.250007629999999"/>
    <n v="99.900036799999995"/>
    <n v="0"/>
    <n v="9.9963200360000004E-2"/>
    <n v="0"/>
    <s v="null"/>
    <s v="null"/>
    <s v="null"/>
    <s v="null"/>
    <n v="99.65"/>
    <n v="0"/>
    <n v="0.35"/>
    <n v="0"/>
    <s v=""/>
    <s v=""/>
    <s v=""/>
    <s v=""/>
    <n v="100"/>
    <s v="null"/>
    <n v="100"/>
    <s v=""/>
    <s v=""/>
    <s v=""/>
    <s v=""/>
    <x v="3"/>
  </r>
  <r>
    <s v="Bulgaria"/>
    <n v="2015"/>
    <n v="7199.7387699999999"/>
    <n v="73.989997860000003"/>
    <n v="99.196327310000001"/>
    <n v="0"/>
    <n v="0.80367269050000001"/>
    <n v="0"/>
    <n v="98.016140340000007"/>
    <n v="0"/>
    <n v="1.98385966"/>
    <n v="0"/>
    <n v="99.611207719999996"/>
    <n v="0"/>
    <n v="0.3887922761"/>
    <n v="0"/>
    <n v="5"/>
    <n v="-3.6982073999999442E-2"/>
    <n v="-0.12297047400000168"/>
    <n v="-1.6507464000000027E-2"/>
    <n v="99"/>
    <n v="98"/>
    <n v="100"/>
    <s v=""/>
    <s v=""/>
    <s v="fullaccesss"/>
    <n v="-0.10646301000000165"/>
    <x v="1"/>
  </r>
  <r>
    <s v="Bulgaria"/>
    <n v="2020"/>
    <n v="6948.4448240000002"/>
    <n v="75.685997009999994"/>
    <n v="99.011416940000004"/>
    <n v="0"/>
    <n v="0.98858306070000002"/>
    <n v="0"/>
    <n v="97.401287969999998"/>
    <n v="0"/>
    <n v="2.5987120309999998"/>
    <n v="0"/>
    <n v="99.528670399999996"/>
    <n v="0"/>
    <n v="0.47132960070000002"/>
    <n v="0"/>
    <s v=""/>
    <s v=""/>
    <s v=""/>
    <s v=""/>
    <n v="99"/>
    <n v="97"/>
    <n v="100"/>
    <s v=""/>
    <s v=""/>
    <s v=""/>
    <s v=""/>
    <x v="1"/>
  </r>
  <r>
    <s v="Burkina Faso"/>
    <n v="2015"/>
    <n v="18110.615229999999"/>
    <n v="27.530000690000001"/>
    <n v="50.137131089999997"/>
    <n v="25.67354095"/>
    <n v="22.430178909999999"/>
    <n v="1.7591490430000001"/>
    <n v="38.855163699999999"/>
    <n v="30.202184890000002"/>
    <n v="28.648694299999999"/>
    <n v="2.2939571060000001"/>
    <n v="79.835792159999997"/>
    <n v="13.75233459"/>
    <n v="6.0605534319999999"/>
    <n v="0.35131981779999999"/>
    <n v="5"/>
    <n v="-0.58445532599999983"/>
    <n v="-1.2273809599999992"/>
    <n v="4.9225276000001372E-2"/>
    <n v="50"/>
    <n v="39"/>
    <n v="80"/>
    <s v=""/>
    <s v=""/>
    <s v=""/>
    <n v="-1.2766062360000006"/>
    <x v="4"/>
  </r>
  <r>
    <s v="Burkina Faso"/>
    <n v="2020"/>
    <n v="20903.277340000001"/>
    <n v="30.60700035"/>
    <n v="47.214854459999998"/>
    <n v="31.2730034"/>
    <n v="21.15863263"/>
    <n v="0.35350950240000001"/>
    <n v="32.718258900000002"/>
    <n v="38.626902540000003"/>
    <n v="28.3404457"/>
    <n v="0.31439286259999999"/>
    <n v="80.081918540000004"/>
    <n v="14.60004919"/>
    <n v="4.8758364869999999"/>
    <n v="0.44219578050000002"/>
    <s v=""/>
    <s v=""/>
    <s v=""/>
    <s v=""/>
    <n v="47"/>
    <n v="33"/>
    <n v="80"/>
    <s v=""/>
    <s v=""/>
    <s v=""/>
    <s v=""/>
    <x v="4"/>
  </r>
  <r>
    <s v="Burundi"/>
    <n v="2015"/>
    <n v="10160.034180000001"/>
    <n v="12.07800007"/>
    <n v="59.581469249999998"/>
    <n v="19.538891840000002"/>
    <n v="14.864992579999999"/>
    <n v="6.0146463399999996"/>
    <n v="55.55826691"/>
    <n v="21.166795570000001"/>
    <n v="16.594144570000001"/>
    <n v="6.6807929509999999"/>
    <n v="88.868437589999999"/>
    <n v="7.6885395340000002"/>
    <n v="2.2776018659999999"/>
    <n v="1.1654210119999999"/>
    <n v="5"/>
    <n v="0.5251306"/>
    <n v="0.42549967199999938"/>
    <n v="0.36013465400000089"/>
    <n v="60"/>
    <n v="56"/>
    <n v="89"/>
    <s v=""/>
    <s v=""/>
    <s v=""/>
    <n v="6.5365017999998498E-2"/>
    <x v="4"/>
  </r>
  <r>
    <s v="Burundi"/>
    <n v="2020"/>
    <n v="11890.78125"/>
    <n v="13.708000180000001"/>
    <n v="62.207122249999998"/>
    <n v="19.439693139999999"/>
    <n v="14.758259689999999"/>
    <n v="3.5949249129999998"/>
    <n v="57.685765269999997"/>
    <n v="21.251482129999999"/>
    <n v="16.896752379999999"/>
    <n v="4.1660002189999998"/>
    <n v="90.669110860000004"/>
    <n v="8.0344628690000004"/>
    <n v="1.2964262689999999"/>
    <n v="0"/>
    <s v=""/>
    <s v=""/>
    <s v=""/>
    <s v=""/>
    <n v="62"/>
    <n v="58"/>
    <n v="91"/>
    <s v=""/>
    <s v=""/>
    <s v=""/>
    <s v=""/>
    <x v="4"/>
  </r>
  <r>
    <s v="Cabo Verde"/>
    <n v="2015"/>
    <n v="524.73999019999997"/>
    <n v="64.299995420000002"/>
    <n v="85.443342369999996"/>
    <n v="10.253077619999999"/>
    <n v="4.1519483189999997"/>
    <n v="0.15163169109999999"/>
    <n v="72.832314109999999"/>
    <n v="16.379794579999999"/>
    <n v="10.436760769999999"/>
    <n v="0.35113053970000002"/>
    <n v="92.445114509999996"/>
    <n v="6.8514639109999997"/>
    <n v="0.66255362809999996"/>
    <n v="4.0867953800000002E-2"/>
    <n v="5"/>
    <n v="0.66525281000000125"/>
    <n v="1.4564422659999992"/>
    <n v="0.13097709799999963"/>
    <n v="85"/>
    <n v="73"/>
    <n v="92"/>
    <s v=""/>
    <s v=""/>
    <s v=""/>
    <n v="1.3254651679999996"/>
    <x v="4"/>
  </r>
  <r>
    <s v="Cabo Verde"/>
    <n v="2020"/>
    <n v="555.98797609999997"/>
    <n v="66.652000430000001"/>
    <n v="88.769606420000002"/>
    <n v="7.9041508460000003"/>
    <n v="3.2091477159999999"/>
    <n v="0.1170950144"/>
    <n v="80.114525439999994"/>
    <n v="9.9111270220000005"/>
    <n v="9.6232170030000006"/>
    <n v="0.35113053970000002"/>
    <n v="93.1"/>
    <n v="6.9"/>
    <n v="0"/>
    <n v="0"/>
    <s v=""/>
    <s v=""/>
    <s v=""/>
    <s v=""/>
    <n v="89"/>
    <n v="80"/>
    <n v="93"/>
    <s v=""/>
    <s v=""/>
    <s v=""/>
    <s v=""/>
    <x v="4"/>
  </r>
  <r>
    <s v="Cambodia"/>
    <n v="2015"/>
    <n v="15521.434569999999"/>
    <n v="22.187999730000001"/>
    <n v="68.443848959999997"/>
    <n v="8.6032481930000007"/>
    <n v="9.6029948170000008"/>
    <n v="13.34990803"/>
    <n v="62.711116680000003"/>
    <n v="9.432045638"/>
    <n v="11.750895959999999"/>
    <n v="16.105941720000001"/>
    <n v="88.548191439999997"/>
    <n v="5.6967034720000003"/>
    <n v="2.0704456869999999"/>
    <n v="3.6846594000000001"/>
    <n v="5"/>
    <n v="0.55520720199999973"/>
    <n v="0.47120783000000016"/>
    <n v="0.38197714599999982"/>
    <n v="68"/>
    <n v="63"/>
    <n v="89"/>
    <s v=""/>
    <s v=""/>
    <s v=""/>
    <n v="8.9230684000000338E-2"/>
    <x v="3"/>
  </r>
  <r>
    <s v="Cambodia"/>
    <n v="2020"/>
    <n v="16718.970700000002"/>
    <n v="24.23200035"/>
    <n v="71.219884969999995"/>
    <n v="13.90222204"/>
    <n v="5.6772185579999999"/>
    <n v="9.2006744339999997"/>
    <n v="65.067155830000004"/>
    <n v="15.51772278"/>
    <n v="7.4928993070000001"/>
    <n v="11.92222209"/>
    <n v="90.458077169999996"/>
    <n v="8.8509147200000005"/>
    <n v="0"/>
    <n v="0.69100811439999998"/>
    <s v=""/>
    <s v=""/>
    <s v=""/>
    <s v=""/>
    <n v="71"/>
    <n v="65"/>
    <n v="90"/>
    <s v=""/>
    <s v=""/>
    <s v=""/>
    <s v=""/>
    <x v="3"/>
  </r>
  <r>
    <s v="Cameroon"/>
    <n v="2015"/>
    <n v="23298.376950000002"/>
    <n v="54.57799911"/>
    <n v="63.973990120000003"/>
    <n v="11.23827056"/>
    <n v="17.651358330000001"/>
    <n v="7.1363809839999996"/>
    <n v="42.005669210000001"/>
    <n v="11.073386409999999"/>
    <n v="32.39404459"/>
    <n v="14.52689979"/>
    <n v="82.256907909999995"/>
    <n v="11.37549377"/>
    <n v="5.3819035130000001"/>
    <n v="0.98569480279999999"/>
    <n v="5"/>
    <n v="0.34928561199999847"/>
    <n v="0.30438238200000001"/>
    <n v="-3.4664609999998673E-2"/>
    <n v="64"/>
    <n v="42"/>
    <n v="82"/>
    <s v=""/>
    <s v=""/>
    <s v=""/>
    <n v="0.33904699199999866"/>
    <x v="4"/>
  </r>
  <r>
    <s v="Cameroon"/>
    <n v="2020"/>
    <n v="26545.863280000001"/>
    <n v="57.560005189999998"/>
    <n v="65.720418179999996"/>
    <n v="12.874748629999999"/>
    <n v="15.00100626"/>
    <n v="6.4038269269999999"/>
    <n v="43.527581120000001"/>
    <n v="12.67259943"/>
    <n v="30.12380645"/>
    <n v="13.676012999999999"/>
    <n v="82.083584860000002"/>
    <n v="13.023796770000001"/>
    <n v="3.8507013510000001"/>
    <n v="1.041917019"/>
    <s v=""/>
    <s v=""/>
    <s v=""/>
    <s v=""/>
    <n v="66"/>
    <n v="44"/>
    <n v="82"/>
    <s v=""/>
    <s v=""/>
    <s v=""/>
    <s v=""/>
    <x v="4"/>
  </r>
  <r>
    <s v="Canada"/>
    <n v="2015"/>
    <n v="36026.667970000002"/>
    <n v="81.259002690000003"/>
    <n v="99.229221390000006"/>
    <n v="0"/>
    <n v="0.77077860909999996"/>
    <n v="0"/>
    <n v="98.81619508"/>
    <n v="0"/>
    <n v="1.183804922"/>
    <n v="0"/>
    <n v="99.324478850000006"/>
    <n v="0"/>
    <n v="0.67552114730000001"/>
    <n v="0"/>
    <n v="5"/>
    <n v="-1.4821460000007391E-3"/>
    <n v="4.8860164000001302E-2"/>
    <n v="-1.3240238000000204E-2"/>
    <n v="99"/>
    <n v="99"/>
    <n v="99"/>
    <s v=""/>
    <s v=""/>
    <s v=""/>
    <n v="6.2100402000001505E-2"/>
    <x v="7"/>
  </r>
  <r>
    <s v="Canada"/>
    <n v="2020"/>
    <n v="37742.15625"/>
    <n v="81.562004090000002"/>
    <n v="99.221810660000003"/>
    <n v="0"/>
    <n v="0.77818933690000003"/>
    <n v="0"/>
    <n v="99.060495900000006"/>
    <n v="0"/>
    <n v="0.9395041006"/>
    <n v="0"/>
    <n v="99.258277660000005"/>
    <n v="0"/>
    <n v="0.74172233710000002"/>
    <n v="0"/>
    <s v=""/>
    <s v=""/>
    <s v=""/>
    <s v=""/>
    <n v="99"/>
    <n v="99"/>
    <n v="99"/>
    <s v=""/>
    <s v=""/>
    <s v=""/>
    <s v=""/>
    <x v="7"/>
  </r>
  <r>
    <s v="Cayman Islands"/>
    <n v="2015"/>
    <n v="61.721000670000002"/>
    <n v="100"/>
    <n v="96.125"/>
    <n v="0"/>
    <n v="3.875"/>
    <n v="0"/>
    <s v="null"/>
    <s v="null"/>
    <s v="null"/>
    <s v="null"/>
    <n v="96.125"/>
    <n v="0"/>
    <n v="3.875"/>
    <n v="0"/>
    <n v="1"/>
    <n v="0"/>
    <s v="null"/>
    <n v="0"/>
    <n v="96"/>
    <s v="null"/>
    <n v="96"/>
    <s v=""/>
    <s v=""/>
    <s v=""/>
    <s v="null"/>
    <x v="5"/>
  </r>
  <r>
    <s v="Cayman Islands"/>
    <n v="2016"/>
    <n v="62.563999180000003"/>
    <n v="100"/>
    <n v="96.125"/>
    <n v="0"/>
    <n v="3.875"/>
    <n v="0"/>
    <s v="null"/>
    <s v="null"/>
    <s v="null"/>
    <s v="null"/>
    <n v="96.125"/>
    <n v="0"/>
    <n v="3.875"/>
    <n v="0"/>
    <s v=""/>
    <s v=""/>
    <s v=""/>
    <s v=""/>
    <n v="96"/>
    <s v="null"/>
    <n v="96"/>
    <s v=""/>
    <s v=""/>
    <s v=""/>
    <s v=""/>
    <x v="5"/>
  </r>
  <r>
    <s v="Central African Republic"/>
    <n v="2015"/>
    <n v="4493.1708980000003"/>
    <n v="40.277000430000001"/>
    <n v="42.311345420000002"/>
    <n v="21.343997179999999"/>
    <n v="32.010174079999999"/>
    <n v="4.3344833180000002"/>
    <n v="31.891407789999999"/>
    <n v="17.35785358"/>
    <n v="43.702609250000002"/>
    <n v="7.0481293919999999"/>
    <n v="57.76209901"/>
    <n v="27.25467806"/>
    <n v="14.67255123"/>
    <n v="0.31067170900000002"/>
    <n v="5"/>
    <n v="-1.0217886739999997"/>
    <n v="-0.75696272799999986"/>
    <n v="-1.6200868119999996"/>
    <n v="42"/>
    <n v="32"/>
    <n v="58"/>
    <s v=""/>
    <s v=""/>
    <s v=""/>
    <n v="0.86312408399999974"/>
    <x v="4"/>
  </r>
  <r>
    <s v="Central African Republic"/>
    <n v="2020"/>
    <n v="4829.7641599999997"/>
    <n v="42.197998050000002"/>
    <n v="37.202402050000003"/>
    <n v="25.682373479999999"/>
    <n v="33.53911377"/>
    <n v="3.5761107079999999"/>
    <n v="28.106594149999999"/>
    <n v="19.405889899999998"/>
    <n v="46.373073009999999"/>
    <n v="6.1144429440000003"/>
    <n v="49.661664950000002"/>
    <n v="34.279780090000003"/>
    <n v="15.95940214"/>
    <n v="9.915281712E-2"/>
    <s v=""/>
    <s v=""/>
    <s v=""/>
    <s v=""/>
    <n v="37"/>
    <n v="28"/>
    <n v="50"/>
    <s v=""/>
    <s v=""/>
    <s v=""/>
    <s v=""/>
    <x v="4"/>
  </r>
  <r>
    <s v="Chad"/>
    <n v="2015"/>
    <n v="14110.9707"/>
    <n v="22.515001300000002"/>
    <n v="44.399096970000002"/>
    <n v="13.51638311"/>
    <n v="34.702739940000001"/>
    <n v="7.3817799820000003"/>
    <n v="35.578900740000002"/>
    <n v="13.876413980000001"/>
    <n v="41.266156469999999"/>
    <n v="9.2785288060000006"/>
    <n v="74.753651779999998"/>
    <n v="12.27734182"/>
    <n v="12.11485643"/>
    <n v="0.85414997150000005"/>
    <n v="5"/>
    <n v="0.35768756399999974"/>
    <n v="0.39926290199999953"/>
    <n v="-0.11228573799999993"/>
    <n v="44"/>
    <n v="36"/>
    <n v="75"/>
    <s v=""/>
    <s v=""/>
    <s v=""/>
    <n v="0.51154863999999944"/>
    <x v="4"/>
  </r>
  <r>
    <s v="Chad"/>
    <n v="2020"/>
    <n v="16425.859380000002"/>
    <n v="23.520000459999999"/>
    <n v="46.187534790000001"/>
    <n v="14.74028929"/>
    <n v="31.562457139999999"/>
    <n v="7.5097187840000004"/>
    <n v="37.575215249999999"/>
    <n v="14.35396111"/>
    <n v="38.524967609999997"/>
    <n v="9.5458560269999992"/>
    <n v="74.192223089999999"/>
    <n v="15.99651381"/>
    <n v="8.9224527210000009"/>
    <n v="0.88881038430000003"/>
    <s v=""/>
    <s v=""/>
    <s v=""/>
    <s v=""/>
    <n v="46"/>
    <n v="38"/>
    <n v="74"/>
    <s v=""/>
    <s v=""/>
    <s v=""/>
    <s v=""/>
    <x v="4"/>
  </r>
  <r>
    <s v="Channel Islands"/>
    <n v="2015"/>
    <n v="165.38699339999999"/>
    <n v="30.96199799"/>
    <n v="94.15"/>
    <n v="0"/>
    <n v="5.85"/>
    <n v="0"/>
    <s v="null"/>
    <s v="null"/>
    <s v="null"/>
    <s v="null"/>
    <s v="null"/>
    <s v="null"/>
    <s v="null"/>
    <s v="null"/>
    <n v="2"/>
    <n v="0"/>
    <s v="null"/>
    <s v="null"/>
    <n v="94"/>
    <s v="null"/>
    <s v="null"/>
    <s v=""/>
    <s v=""/>
    <s v=""/>
    <s v="null"/>
    <x v="1"/>
  </r>
  <r>
    <s v="Channel Islands"/>
    <n v="2017"/>
    <n v="168.6660004"/>
    <n v="30.913999560000001"/>
    <n v="94.15"/>
    <n v="0"/>
    <n v="5.85"/>
    <n v="0"/>
    <s v="null"/>
    <s v="null"/>
    <s v="null"/>
    <s v="null"/>
    <s v="null"/>
    <s v="null"/>
    <s v="null"/>
    <s v="null"/>
    <s v=""/>
    <s v=""/>
    <s v=""/>
    <s v=""/>
    <n v="94"/>
    <s v="null"/>
    <s v="null"/>
    <s v=""/>
    <s v=""/>
    <s v=""/>
    <s v=""/>
    <x v="1"/>
  </r>
  <r>
    <s v="Chile"/>
    <n v="2015"/>
    <n v="17969.355469999999"/>
    <n v="87.36000061"/>
    <n v="99.506492719999997"/>
    <n v="0"/>
    <n v="0.49350727579999998"/>
    <n v="0"/>
    <n v="97.067698500000006"/>
    <n v="0"/>
    <n v="2.9323014980000002"/>
    <n v="0"/>
    <n v="99.859356980000001"/>
    <n v="0"/>
    <n v="0.1406430186"/>
    <n v="0"/>
    <n v="5"/>
    <n v="9.8701199999999295E-2"/>
    <n v="0.58646029999999882"/>
    <n v="2.8128603999999769E-2"/>
    <n v="100"/>
    <n v="97"/>
    <n v="100"/>
    <s v="fullaccesss"/>
    <s v=""/>
    <s v="fullaccesss"/>
    <n v="0.5583316959999991"/>
    <x v="5"/>
  </r>
  <r>
    <s v="Chile"/>
    <n v="2020"/>
    <n v="19116.208979999999"/>
    <n v="87.72699738"/>
    <n v="99.999998719999994"/>
    <n v="0"/>
    <n v="1.2771393330000001E-6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5"/>
  </r>
  <r>
    <s v="China"/>
    <n v="2015"/>
    <n v="1430405.375"/>
    <n v="55.852706910000002"/>
    <n v="91.76264123"/>
    <n v="0.81876266180000001"/>
    <n v="6.7820774070000001"/>
    <n v="0.63651870079999995"/>
    <n v="84.479187920000001"/>
    <n v="1.51186307"/>
    <n v="12.952949009999999"/>
    <n v="1.056"/>
    <n v="97.519653969999993"/>
    <n v="0.27091980389999998"/>
    <n v="1.9044754100000001"/>
    <n v="0.30495081969999999"/>
    <n v="5"/>
    <n v="0.49969387200000026"/>
    <n v="1.0364091180000004"/>
    <n v="-8.0954259999998612E-2"/>
    <n v="92"/>
    <n v="84"/>
    <n v="98"/>
    <s v=""/>
    <s v=""/>
    <s v=""/>
    <n v="1.117363377999999"/>
    <x v="3"/>
  </r>
  <r>
    <s v="China"/>
    <n v="2020"/>
    <n v="1463140.5"/>
    <n v="61.713088990000003"/>
    <n v="94.261110590000001"/>
    <n v="0.8147213297"/>
    <n v="4.725451938"/>
    <n v="0.19871614409999999"/>
    <n v="89.661233510000002"/>
    <n v="1.832679086"/>
    <n v="8.5060874089999992"/>
    <n v="0"/>
    <n v="97.11488267"/>
    <n v="0.1831784927"/>
    <n v="2.3799388399999999"/>
    <n v="0.32200000000000001"/>
    <s v=""/>
    <s v=""/>
    <s v=""/>
    <s v=""/>
    <n v="94"/>
    <n v="90"/>
    <n v="97"/>
    <s v=""/>
    <s v=""/>
    <s v=""/>
    <s v=""/>
    <x v="3"/>
  </r>
  <r>
    <s v="China, Hong Kong SAR"/>
    <n v="2015"/>
    <n v="7185.9921880000002"/>
    <n v="100"/>
    <n v="100"/>
    <n v="0"/>
    <n v="0"/>
    <n v="0"/>
    <s v="null"/>
    <s v="null"/>
    <s v="null"/>
    <s v="null"/>
    <n v="100"/>
    <n v="0"/>
    <n v="0"/>
    <n v="0"/>
    <n v="5"/>
    <n v="0"/>
    <s v="null"/>
    <n v="0"/>
    <n v="100"/>
    <s v="null"/>
    <n v="100"/>
    <s v="fullaccesss"/>
    <s v=""/>
    <s v="fullaccesss"/>
    <s v="null"/>
    <x v="3"/>
  </r>
  <r>
    <s v="China, Hong Kong SAR"/>
    <n v="2020"/>
    <n v="7496.9877930000002"/>
    <n v="100"/>
    <n v="100"/>
    <n v="0"/>
    <n v="0"/>
    <n v="0"/>
    <s v="null"/>
    <s v="null"/>
    <s v="null"/>
    <s v="null"/>
    <n v="100"/>
    <n v="0"/>
    <n v="0"/>
    <n v="0"/>
    <s v=""/>
    <s v=""/>
    <s v=""/>
    <s v=""/>
    <n v="100"/>
    <s v="null"/>
    <n v="100"/>
    <s v=""/>
    <s v=""/>
    <s v=""/>
    <s v=""/>
    <x v="3"/>
  </r>
  <r>
    <s v="China, Macao SAR"/>
    <n v="2015"/>
    <n v="602.09301760000005"/>
    <n v="100"/>
    <n v="100"/>
    <n v="0"/>
    <n v="0"/>
    <n v="0"/>
    <s v="null"/>
    <s v="null"/>
    <s v="null"/>
    <s v="null"/>
    <n v="100"/>
    <n v="0"/>
    <n v="0"/>
    <n v="0"/>
    <n v="5"/>
    <n v="0"/>
    <s v="null"/>
    <n v="0"/>
    <n v="100"/>
    <s v="null"/>
    <n v="100"/>
    <s v="fullaccesss"/>
    <s v=""/>
    <s v="fullaccesss"/>
    <s v="null"/>
    <x v="3"/>
  </r>
  <r>
    <s v="China, Macao SAR"/>
    <n v="2020"/>
    <n v="649.34198000000004"/>
    <n v="100"/>
    <n v="100"/>
    <n v="0"/>
    <n v="0"/>
    <n v="0"/>
    <s v="null"/>
    <s v="null"/>
    <s v="null"/>
    <s v="null"/>
    <n v="100"/>
    <n v="0"/>
    <n v="0"/>
    <n v="0"/>
    <s v=""/>
    <s v=""/>
    <s v=""/>
    <s v=""/>
    <n v="100"/>
    <s v="null"/>
    <n v="100"/>
    <s v=""/>
    <s v=""/>
    <s v=""/>
    <s v=""/>
    <x v="3"/>
  </r>
  <r>
    <s v="Colombia"/>
    <n v="2015"/>
    <n v="47520.667970000002"/>
    <n v="79.763999940000005"/>
    <n v="96.335868120000001"/>
    <n v="0.1840519904"/>
    <n v="1.7034450619999999"/>
    <n v="1.7766348270000001"/>
    <n v="83.273725850000005"/>
    <n v="0.68766562610000004"/>
    <n v="7.2590323550000004"/>
    <n v="8.7795761720000005"/>
    <n v="99.649712370000003"/>
    <n v="5.6286030219999998E-2"/>
    <n v="0.29400160289999999"/>
    <n v="0"/>
    <n v="5"/>
    <n v="0.23115779800000097"/>
    <n v="0.69866939399999806"/>
    <n v="5.7696085999998557E-2"/>
    <n v="96"/>
    <n v="83"/>
    <n v="100"/>
    <s v=""/>
    <s v=""/>
    <s v="fullaccesss"/>
    <n v="0.64097330799999952"/>
    <x v="5"/>
  </r>
  <r>
    <s v="Colombia"/>
    <n v="2020"/>
    <n v="50882.882810000003"/>
    <n v="81.424995420000002"/>
    <n v="97.491657110000006"/>
    <n v="0.18615215909999999"/>
    <n v="0.95361622280000002"/>
    <n v="1.3685745119999999"/>
    <n v="86.767072819999996"/>
    <n v="0.73122820160000002"/>
    <n v="5.13386897"/>
    <n v="7.3678300050000001"/>
    <n v="99.938192799999996"/>
    <n v="6.18072E-2"/>
    <n v="0"/>
    <n v="0"/>
    <s v=""/>
    <s v=""/>
    <s v=""/>
    <s v=""/>
    <n v="97"/>
    <n v="87"/>
    <n v="100"/>
    <s v=""/>
    <s v=""/>
    <s v=""/>
    <s v=""/>
    <x v="5"/>
  </r>
  <r>
    <s v="Comoros"/>
    <n v="2015"/>
    <n v="777.43499759999997"/>
    <n v="28.47000122"/>
    <n v="80.132000079999997"/>
    <n v="10.877265"/>
    <n v="8.3951934319999992"/>
    <n v="0.59554149119999999"/>
    <n v="76.911723449999997"/>
    <n v="11.568647240000001"/>
    <n v="10.82245445"/>
    <n v="0.69717485830000003"/>
    <n v="88.222845579999998"/>
    <n v="9.1401884950000003"/>
    <n v="2.2967751299999999"/>
    <n v="0.34019079699999999"/>
    <n v="4"/>
    <n v="1.9624432500002342E-2"/>
    <n v="0"/>
    <n v="0"/>
    <n v="80"/>
    <n v="77"/>
    <n v="88"/>
    <s v=""/>
    <s v=""/>
    <s v=""/>
    <n v="0"/>
    <x v="4"/>
  </r>
  <r>
    <s v="Comoros"/>
    <n v="2019"/>
    <n v="850.89099120000003"/>
    <n v="29.164001460000001"/>
    <n v="80.210497810000007"/>
    <n v="10.86041131"/>
    <n v="8.9290908879999993"/>
    <s v="null"/>
    <n v="76.911723449999997"/>
    <n v="11.568647240000001"/>
    <n v="11.519629309999999"/>
    <s v="null"/>
    <n v="88.222845579999998"/>
    <n v="9.1401884950000003"/>
    <n v="2.2967751299999999"/>
    <n v="0.34019079699999999"/>
    <s v=""/>
    <s v=""/>
    <s v=""/>
    <s v=""/>
    <n v="80"/>
    <n v="77"/>
    <n v="88"/>
    <s v=""/>
    <s v=""/>
    <s v=""/>
    <s v=""/>
    <x v="4"/>
  </r>
  <r>
    <s v="Congo"/>
    <n v="2015"/>
    <n v="4856.0927730000003"/>
    <n v="65.542999269999996"/>
    <n v="71.149581769999998"/>
    <n v="10.510526049999999"/>
    <n v="11.662046309999999"/>
    <n v="6.6778458760000001"/>
    <n v="41.39183594"/>
    <n v="10.739572649999999"/>
    <n v="28.501848710000001"/>
    <n v="19.366742689999999"/>
    <n v="86.793705160000002"/>
    <n v="10.390112999999999"/>
    <n v="2.809090742"/>
    <n v="7.0910958900000003E-3"/>
    <n v="5"/>
    <n v="0.52698596200000059"/>
    <n v="0.8665154479999998"/>
    <n v="5.9918199999998478E-2"/>
    <n v="71"/>
    <n v="41"/>
    <n v="87"/>
    <s v=""/>
    <s v=""/>
    <s v=""/>
    <n v="0.80659724800000132"/>
    <x v="4"/>
  </r>
  <r>
    <s v="Congo"/>
    <n v="2020"/>
    <n v="5518.091797"/>
    <n v="67.829002380000006"/>
    <n v="73.78451158"/>
    <n v="10.46117203"/>
    <n v="9.5591807220000007"/>
    <n v="6.1951356640000004"/>
    <n v="45.724413179999999"/>
    <n v="10.6323901"/>
    <n v="24.405169730000001"/>
    <n v="19.238026990000002"/>
    <n v="87.093296159999994"/>
    <n v="10.37996439"/>
    <n v="2.5177899969999999"/>
    <n v="8.9494520549999994E-3"/>
    <s v=""/>
    <s v=""/>
    <s v=""/>
    <s v=""/>
    <n v="74"/>
    <n v="46"/>
    <n v="87"/>
    <s v=""/>
    <s v=""/>
    <s v=""/>
    <s v=""/>
    <x v="4"/>
  </r>
  <r>
    <s v="Cook Islands"/>
    <n v="2015"/>
    <n v="17.580999370000001"/>
    <n v="74.403999330000005"/>
    <n v="99.953671020000002"/>
    <n v="0"/>
    <n v="4.6328976289999997E-2"/>
    <n v="0"/>
    <s v="null"/>
    <s v="null"/>
    <s v="null"/>
    <s v="null"/>
    <s v="null"/>
    <s v="null"/>
    <s v="null"/>
    <s v="null"/>
    <n v="5"/>
    <n v="3.5878400000001419E-3"/>
    <s v="null"/>
    <s v="null"/>
    <n v="100"/>
    <s v="null"/>
    <s v="null"/>
    <s v="fullaccesss"/>
    <s v=""/>
    <s v=""/>
    <s v="null"/>
    <x v="3"/>
  </r>
  <r>
    <s v="Cook Islands"/>
    <n v="2020"/>
    <n v="17.56399918"/>
    <n v="75.495002749999998"/>
    <n v="99.971610220000002"/>
    <n v="0"/>
    <n v="2.8389782700000001E-2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3"/>
  </r>
  <r>
    <s v="Costa Rica"/>
    <n v="2015"/>
    <n v="4847.8051759999998"/>
    <n v="76.861999510000004"/>
    <n v="99.378686819999999"/>
    <n v="0.25413037840000002"/>
    <n v="0.21133501860000001"/>
    <n v="0.15584778429999999"/>
    <n v="98.186032490000002"/>
    <n v="0.4100611535"/>
    <n v="0.73034857679999998"/>
    <n v="0.67355777780000003"/>
    <n v="99.737715109999996"/>
    <n v="0.20719007179999999"/>
    <n v="5.5094818300000001E-2"/>
    <n v="0"/>
    <n v="5"/>
    <n v="8.6370021999999838E-2"/>
    <n v="0.29204350199999851"/>
    <n v="2.2387550000001966E-2"/>
    <n v="99"/>
    <n v="98"/>
    <n v="100"/>
    <s v=""/>
    <s v=""/>
    <s v="fullaccesss"/>
    <n v="0.26965595199999653"/>
    <x v="5"/>
  </r>
  <r>
    <s v="Costa Rica"/>
    <n v="2020"/>
    <n v="5094.1137699999999"/>
    <n v="80.770996089999997"/>
    <n v="99.810536929999998"/>
    <n v="0.18945947460000001"/>
    <n v="3.5944518969999999E-6"/>
    <n v="0"/>
    <n v="99.646249999999995"/>
    <n v="0.35375000000000001"/>
    <n v="0"/>
    <n v="0"/>
    <n v="99.849652860000006"/>
    <n v="0.15034714290000001"/>
    <n v="0"/>
    <n v="0"/>
    <s v=""/>
    <s v=""/>
    <s v=""/>
    <s v=""/>
    <n v="100"/>
    <n v="100"/>
    <n v="100"/>
    <s v=""/>
    <s v=""/>
    <s v=""/>
    <s v=""/>
    <x v="5"/>
  </r>
  <r>
    <s v="Côte d'Ivoire"/>
    <n v="2015"/>
    <n v="23226.148440000001"/>
    <n v="49.444000240000001"/>
    <n v="71.075766900000005"/>
    <n v="8.7671364589999996"/>
    <n v="14.417680539999999"/>
    <n v="5.7394160950000002"/>
    <n v="55.843171720000001"/>
    <n v="13.188467299999999"/>
    <n v="22.631284709999999"/>
    <n v="8.3370762729999992"/>
    <n v="86.650945350000001"/>
    <n v="4.2463692540000002"/>
    <n v="6.0193512360000003"/>
    <n v="3.083334164"/>
    <n v="5"/>
    <n v="-3.333930200000168E-2"/>
    <n v="-2.4144972000000563E-2"/>
    <n v="-0.31147841199999959"/>
    <n v="71"/>
    <n v="56"/>
    <n v="87"/>
    <s v=""/>
    <s v=""/>
    <s v=""/>
    <n v="0.28733343999999905"/>
    <x v="4"/>
  </r>
  <r>
    <s v="Côte d'Ivoire"/>
    <n v="2020"/>
    <n v="26378.275389999999"/>
    <n v="51.70599747"/>
    <n v="70.909070389999997"/>
    <n v="8.9354217019999993"/>
    <n v="14.192441609999999"/>
    <n v="5.9630662929999998"/>
    <n v="55.722446859999998"/>
    <n v="13.343168289999999"/>
    <n v="23.17527956"/>
    <n v="7.7591052889999998"/>
    <n v="85.093553290000003"/>
    <n v="4.8185351560000003"/>
    <n v="5.8023665600000003"/>
    <n v="4.2855449940000003"/>
    <s v=""/>
    <s v=""/>
    <s v=""/>
    <s v=""/>
    <n v="71"/>
    <n v="56"/>
    <n v="85"/>
    <s v=""/>
    <s v=""/>
    <s v=""/>
    <s v=""/>
    <x v="4"/>
  </r>
  <r>
    <s v="Croatia"/>
    <n v="2015"/>
    <n v="4232.8740230000003"/>
    <n v="56.155002590000002"/>
    <s v="null"/>
    <s v="null"/>
    <s v="null"/>
    <s v="null"/>
    <s v="null"/>
    <s v="null"/>
    <s v="null"/>
    <s v="null"/>
    <n v="100"/>
    <n v="0"/>
    <n v="0"/>
    <n v="0"/>
    <n v="5"/>
    <s v="null"/>
    <s v="null"/>
    <n v="0"/>
    <s v="null"/>
    <s v="null"/>
    <n v="100"/>
    <s v=""/>
    <s v=""/>
    <s v="fullaccesss"/>
    <s v="null"/>
    <x v="1"/>
  </r>
  <r>
    <s v="Croatia"/>
    <n v="2020"/>
    <n v="4105.2680659999996"/>
    <n v="57.552997589999997"/>
    <s v="null"/>
    <s v="null"/>
    <s v="null"/>
    <s v="null"/>
    <s v="null"/>
    <s v="null"/>
    <s v="null"/>
    <s v="null"/>
    <n v="100"/>
    <n v="0"/>
    <n v="0"/>
    <n v="0"/>
    <s v=""/>
    <s v=""/>
    <s v=""/>
    <s v=""/>
    <s v="null"/>
    <s v="null"/>
    <n v="100"/>
    <s v=""/>
    <s v=""/>
    <s v=""/>
    <s v=""/>
    <x v="1"/>
  </r>
  <r>
    <s v="Cuba"/>
    <n v="2015"/>
    <n v="11324.777340000001"/>
    <n v="76.896003719999996"/>
    <n v="95.871796470000007"/>
    <n v="1.7502537890000001"/>
    <n v="1.99464"/>
    <n v="0.38330973619999997"/>
    <n v="90.445060659999996"/>
    <n v="3.3621971309999998"/>
    <n v="4.747322467"/>
    <n v="1.445419738"/>
    <n v="97.502301369999998"/>
    <n v="1.2659328999999999"/>
    <n v="1.167575187"/>
    <n v="6.4190542059999994E-2"/>
    <n v="5"/>
    <n v="0.22617993799999853"/>
    <n v="0.78831809600000047"/>
    <n v="5.4655053999999835E-2"/>
    <n v="96"/>
    <n v="90"/>
    <n v="98"/>
    <s v=""/>
    <s v=""/>
    <s v=""/>
    <n v="0.73366304200000065"/>
    <x v="5"/>
  </r>
  <r>
    <s v="Cuba"/>
    <n v="2020"/>
    <n v="11326.61621"/>
    <n v="77.194000239999994"/>
    <n v="97.002696159999999"/>
    <n v="1.471384542"/>
    <n v="1.252811506"/>
    <n v="0.27310779629999998"/>
    <n v="94.386651139999998"/>
    <n v="2.591752445"/>
    <n v="1.9059729350000001"/>
    <n v="1.115623477"/>
    <n v="97.775576639999997"/>
    <n v="1.1403859000000001"/>
    <n v="1.059840374"/>
    <n v="2.4197084109999999E-2"/>
    <s v=""/>
    <s v=""/>
    <s v=""/>
    <s v=""/>
    <n v="97"/>
    <n v="94"/>
    <n v="98"/>
    <s v=""/>
    <s v=""/>
    <s v=""/>
    <s v=""/>
    <x v="5"/>
  </r>
  <r>
    <s v="Curaçao"/>
    <n v="2015"/>
    <n v="159.8500061"/>
    <n v="89.35199738"/>
    <n v="99.49775185"/>
    <n v="0"/>
    <n v="0.50224815249999999"/>
    <n v="0"/>
    <s v="null"/>
    <s v="null"/>
    <s v="null"/>
    <s v="null"/>
    <s v="null"/>
    <s v="null"/>
    <s v="null"/>
    <s v="null"/>
    <n v="2"/>
    <n v="0"/>
    <s v="null"/>
    <s v="null"/>
    <n v="99"/>
    <s v="null"/>
    <s v="null"/>
    <s v=""/>
    <s v=""/>
    <s v=""/>
    <s v="null"/>
    <x v="5"/>
  </r>
  <r>
    <s v="Curaçao"/>
    <n v="2017"/>
    <n v="161.98599239999999"/>
    <n v="89.203002929999997"/>
    <n v="99.49775185"/>
    <n v="0"/>
    <n v="0.50224815249999999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5"/>
  </r>
  <r>
    <s v="Cyprus"/>
    <n v="2015"/>
    <n v="1160.987061"/>
    <n v="66.945999150000006"/>
    <n v="99.788517569999996"/>
    <n v="0"/>
    <n v="0.21148243489999999"/>
    <n v="0"/>
    <n v="99.861185539999994"/>
    <n v="0"/>
    <n v="0.1388144553"/>
    <n v="0"/>
    <n v="99.752642309999999"/>
    <n v="0"/>
    <n v="0.24735769429999999"/>
    <n v="0"/>
    <n v="5"/>
    <n v="-4.668877999998244E-3"/>
    <n v="-3.0847639999990405E-3"/>
    <n v="-5.4968379999991157E-3"/>
    <n v="100"/>
    <n v="100"/>
    <n v="100"/>
    <s v="fullaccesss"/>
    <s v="fullaccesss"/>
    <s v="fullaccesss"/>
    <n v="2.4120740000000752E-3"/>
    <x v="1"/>
  </r>
  <r>
    <s v="Cyprus"/>
    <n v="2020"/>
    <n v="1207.360962"/>
    <n v="66.820999150000006"/>
    <n v="99.765173180000005"/>
    <n v="0"/>
    <n v="0.2348268167"/>
    <n v="0"/>
    <n v="99.845761719999999"/>
    <n v="0"/>
    <n v="0.1542382836"/>
    <n v="0"/>
    <n v="99.725158120000003"/>
    <n v="0"/>
    <n v="0.27484188250000002"/>
    <n v="0"/>
    <s v=""/>
    <s v=""/>
    <s v=""/>
    <s v=""/>
    <n v="100"/>
    <n v="100"/>
    <n v="100"/>
    <s v=""/>
    <s v=""/>
    <s v=""/>
    <s v=""/>
    <x v="1"/>
  </r>
  <r>
    <s v="Czech Republic"/>
    <n v="2015"/>
    <n v="10601.389649999999"/>
    <n v="73.47699738"/>
    <n v="99.880092689999998"/>
    <n v="0"/>
    <n v="0.11990731189999999"/>
    <n v="0"/>
    <n v="99.817599299999998"/>
    <n v="0"/>
    <n v="0.18240069649999999"/>
    <n v="0"/>
    <n v="99.902650929999993"/>
    <n v="0"/>
    <n v="9.7349067900000003E-2"/>
    <n v="0"/>
    <n v="5"/>
    <n v="9.9796000000651475E-5"/>
    <n v="0"/>
    <n v="0"/>
    <n v="100"/>
    <n v="100"/>
    <n v="100"/>
    <s v="fullaccesss"/>
    <s v="fullaccesss"/>
    <s v="fullaccesss"/>
    <n v="0"/>
    <x v="1"/>
  </r>
  <r>
    <s v="Czech Republic"/>
    <n v="2020"/>
    <n v="10708.98242"/>
    <n v="74.061004639999993"/>
    <n v="99.880591670000001"/>
    <n v="0"/>
    <n v="0.11940833250000001"/>
    <n v="0"/>
    <n v="99.817599299999998"/>
    <n v="0"/>
    <n v="0.18240069649999999"/>
    <n v="0"/>
    <n v="99.902650929999993"/>
    <n v="0"/>
    <n v="9.7349067900000003E-2"/>
    <n v="0"/>
    <s v=""/>
    <s v=""/>
    <s v=""/>
    <s v=""/>
    <n v="100"/>
    <n v="100"/>
    <n v="100"/>
    <s v=""/>
    <s v=""/>
    <s v=""/>
    <s v=""/>
    <x v="1"/>
  </r>
  <r>
    <s v="Democratic People's Republic of Korea"/>
    <n v="2015"/>
    <n v="25183.832030000001"/>
    <n v="61.277004239999997"/>
    <n v="95.21488171"/>
    <n v="0.68500239009999997"/>
    <n v="3.8290549180000002"/>
    <n v="0.27106098029999998"/>
    <n v="91.616968420000006"/>
    <n v="0.36793963219999998"/>
    <n v="7.3150919439999997"/>
    <n v="0.7"/>
    <n v="97.48852402"/>
    <n v="0.88536500119999995"/>
    <n v="1.626110978"/>
    <n v="0"/>
    <n v="5"/>
    <n v="-0.27420773599999959"/>
    <n v="-0.57266870800000047"/>
    <n v="-0.11500271600000075"/>
    <n v="95"/>
    <n v="92"/>
    <n v="97"/>
    <s v=""/>
    <s v=""/>
    <s v=""/>
    <n v="-0.45766599199999969"/>
    <x v="3"/>
  </r>
  <r>
    <s v="Democratic People's Republic of Korea"/>
    <n v="2020"/>
    <n v="25778.814450000002"/>
    <n v="62.381000520000001"/>
    <n v="93.843843030000002"/>
    <n v="0.68313118719999999"/>
    <n v="5.2096927800000001"/>
    <n v="0.26333300580000002"/>
    <n v="88.753624880000004"/>
    <n v="0.3564402606"/>
    <n v="10.189934859999999"/>
    <n v="0.7"/>
    <n v="96.913510439999996"/>
    <n v="0.88014287989999995"/>
    <n v="2.206346677"/>
    <n v="0"/>
    <s v=""/>
    <s v=""/>
    <s v=""/>
    <s v=""/>
    <n v="94"/>
    <n v="89"/>
    <n v="97"/>
    <s v=""/>
    <s v=""/>
    <s v=""/>
    <s v=""/>
    <x v="3"/>
  </r>
  <r>
    <s v="Democratic Republic of the Congo"/>
    <n v="2015"/>
    <n v="76244.53125"/>
    <n v="42.739997860000003"/>
    <n v="42.718179970000001"/>
    <n v="12.68729907"/>
    <n v="34.284024770000002"/>
    <n v="10.31049619"/>
    <n v="20.6225138"/>
    <n v="11.51689397"/>
    <n v="51.009840029999999"/>
    <n v="16.850752199999999"/>
    <n v="72.320377789999995"/>
    <n v="14.255324979999999"/>
    <n v="11.87596826"/>
    <n v="1.548328967"/>
    <n v="5"/>
    <n v="0.6467893979999999"/>
    <n v="0.2720557079999999"/>
    <n v="0.43659539800000002"/>
    <n v="43"/>
    <n v="21"/>
    <n v="72"/>
    <s v=""/>
    <s v=""/>
    <s v=""/>
    <n v="-0.16453969000000013"/>
    <x v="4"/>
  </r>
  <r>
    <s v="Democratic Republic of the Congo"/>
    <n v="2020"/>
    <n v="89561.40625"/>
    <n v="45.638000490000003"/>
    <n v="45.952126960000001"/>
    <n v="13.44122447"/>
    <n v="32.542316069999998"/>
    <n v="8.0643324950000004"/>
    <n v="21.98279234"/>
    <n v="12.68294146"/>
    <n v="51.215981669999998"/>
    <n v="14.11828453"/>
    <n v="74.503354779999995"/>
    <n v="14.34445818"/>
    <n v="10.29905862"/>
    <n v="0.85312841309999998"/>
    <s v=""/>
    <s v=""/>
    <s v=""/>
    <s v=""/>
    <n v="46"/>
    <n v="22"/>
    <n v="75"/>
    <s v=""/>
    <s v=""/>
    <s v=""/>
    <s v=""/>
    <x v="4"/>
  </r>
  <r>
    <s v="Denmark"/>
    <n v="2015"/>
    <n v="5688.6948240000002"/>
    <n v="87.526000980000006"/>
    <n v="99.99999785"/>
    <n v="0"/>
    <n v="2.1458404119999999E-6"/>
    <n v="0"/>
    <n v="100"/>
    <n v="0"/>
    <n v="0"/>
    <n v="0"/>
    <n v="100"/>
    <n v="0"/>
    <n v="0"/>
    <n v="0"/>
    <n v="5"/>
    <n v="6.5000000120107866E-7"/>
    <n v="0"/>
    <n v="0"/>
    <n v="100"/>
    <n v="100"/>
    <n v="100"/>
    <s v="fullaccesss"/>
    <s v="fullaccesss"/>
    <s v="fullaccesss"/>
    <n v="0"/>
    <x v="1"/>
  </r>
  <r>
    <s v="Denmark"/>
    <n v="2020"/>
    <n v="5792.203125"/>
    <n v="88.116004939999996"/>
    <n v="100.00000110000001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Djibouti"/>
    <n v="2015"/>
    <n v="913.99798580000004"/>
    <n v="77.416992190000002"/>
    <n v="75.787045030000002"/>
    <n v="14.754171189999999"/>
    <n v="7.3949239499999999"/>
    <n v="2.0638598250000002"/>
    <n v="48.759205090000002"/>
    <n v="12.43877762"/>
    <n v="30.377002539999999"/>
    <n v="8.4250147539999993"/>
    <n v="83.671229850000003"/>
    <n v="15.42958572"/>
    <n v="0.69091164790000004"/>
    <n v="0.20827278539999999"/>
    <n v="5"/>
    <n v="5.257503599999893E-2"/>
    <n v="-0.29569443200000051"/>
    <n v="9.2757015999998776E-2"/>
    <n v="76"/>
    <n v="49"/>
    <n v="84"/>
    <s v=""/>
    <s v=""/>
    <s v=""/>
    <n v="-0.38845144799999931"/>
    <x v="4"/>
  </r>
  <r>
    <s v="Djibouti"/>
    <n v="2020"/>
    <n v="988.00201419999996"/>
    <n v="78.061996460000003"/>
    <n v="76.049920209999996"/>
    <n v="14.7574817"/>
    <n v="7.0158760510000002"/>
    <n v="2.1767220379999999"/>
    <n v="47.280732929999999"/>
    <n v="12.061610140000001"/>
    <n v="30.735504679999998"/>
    <n v="9.9221522489999998"/>
    <n v="84.135014929999997"/>
    <n v="15.51511107"/>
    <n v="0.34987400289999998"/>
    <n v="0"/>
    <s v=""/>
    <s v=""/>
    <s v=""/>
    <s v=""/>
    <n v="76"/>
    <n v="47"/>
    <n v="84"/>
    <s v=""/>
    <s v=""/>
    <s v=""/>
    <s v=""/>
    <x v="4"/>
  </r>
  <r>
    <s v="Dominica"/>
    <n v="2015"/>
    <n v="71.175003050000001"/>
    <n v="69.578994750000007"/>
    <n v="95.420656059999999"/>
    <n v="0"/>
    <n v="4.579343937"/>
    <n v="0"/>
    <s v="null"/>
    <s v="null"/>
    <s v="null"/>
    <s v="null"/>
    <s v="null"/>
    <s v="null"/>
    <s v="null"/>
    <s v="null"/>
    <n v="2"/>
    <n v="0"/>
    <s v="null"/>
    <s v="null"/>
    <n v="95"/>
    <s v="null"/>
    <s v="null"/>
    <s v=""/>
    <s v=""/>
    <s v=""/>
    <s v="null"/>
    <x v="5"/>
  </r>
  <r>
    <s v="Dominica"/>
    <n v="2017"/>
    <n v="71.459999080000003"/>
    <n v="70.180999760000006"/>
    <n v="95.420656059999999"/>
    <n v="0"/>
    <n v="4.579343937"/>
    <n v="0"/>
    <s v="null"/>
    <s v="null"/>
    <s v="null"/>
    <s v="null"/>
    <s v="null"/>
    <s v="null"/>
    <s v="null"/>
    <s v="null"/>
    <s v=""/>
    <s v=""/>
    <s v=""/>
    <s v=""/>
    <n v="95"/>
    <s v="null"/>
    <s v="null"/>
    <s v=""/>
    <s v=""/>
    <s v=""/>
    <s v=""/>
    <x v="5"/>
  </r>
  <r>
    <s v="Dominican Republic"/>
    <n v="2015"/>
    <n v="10281.674800000001"/>
    <n v="78.566001889999995"/>
    <n v="96.099338500000002"/>
    <n v="0.69521221550000001"/>
    <n v="1.5505944979999999"/>
    <n v="1.654854791"/>
    <n v="89.211043779999997"/>
    <n v="1.8228771610000001"/>
    <n v="2.4418886230000001"/>
    <n v="6.5241904399999999"/>
    <n v="97.978569809999996"/>
    <n v="0.3875681084"/>
    <n v="1.3074359369999999"/>
    <n v="0.32642614349999999"/>
    <n v="5"/>
    <n v="0.11749468399999899"/>
    <n v="0.21868411800000159"/>
    <n v="1.1664354000001254E-2"/>
    <n v="96"/>
    <n v="89"/>
    <n v="98"/>
    <s v=""/>
    <s v=""/>
    <s v=""/>
    <n v="0.20701976400000033"/>
    <x v="5"/>
  </r>
  <r>
    <s v="Dominican Republic"/>
    <n v="2020"/>
    <n v="10847.9043"/>
    <n v="82.540000919999997"/>
    <n v="96.686811919999997"/>
    <n v="0.46703865039999998"/>
    <n v="1.2694287829999999"/>
    <n v="1.5767206439999999"/>
    <n v="90.304464370000005"/>
    <n v="1.3853155079999999"/>
    <n v="1.1151181269999999"/>
    <n v="7.1951019909999996"/>
    <n v="98.036891580000002"/>
    <n v="0.27279203590000001"/>
    <n v="1.3020733959999999"/>
    <n v="0.38824299220000003"/>
    <s v=""/>
    <s v=""/>
    <s v=""/>
    <s v=""/>
    <n v="97"/>
    <n v="90"/>
    <n v="98"/>
    <s v=""/>
    <s v=""/>
    <s v=""/>
    <s v=""/>
    <x v="5"/>
  </r>
  <r>
    <s v="Ecuador"/>
    <n v="2015"/>
    <n v="16212.02246"/>
    <n v="63.397998809999997"/>
    <n v="93.063779499999995"/>
    <n v="0.19976017630000001"/>
    <n v="3.1195651139999998"/>
    <n v="3.6168952120000002"/>
    <n v="82.552481950000001"/>
    <n v="0.445629255"/>
    <n v="7.379055031"/>
    <n v="9.6228337600000007"/>
    <n v="99.132339200000004"/>
    <n v="5.7810890199999999E-2"/>
    <n v="0.66040450689999997"/>
    <n v="0.14944540680000001"/>
    <n v="5"/>
    <n v="0.45919681200000184"/>
    <n v="0.89965259999999891"/>
    <n v="0.17353215999999919"/>
    <n v="93"/>
    <n v="83"/>
    <n v="99"/>
    <s v=""/>
    <s v=""/>
    <s v=""/>
    <n v="0.72612043999999976"/>
    <x v="5"/>
  </r>
  <r>
    <s v="Ecuador"/>
    <n v="2020"/>
    <n v="17643.060549999998"/>
    <n v="64.166000370000006"/>
    <n v="95.359763560000005"/>
    <n v="3.451463449E-3"/>
    <n v="2.6044853890000002"/>
    <n v="2.032299589"/>
    <n v="87.050744949999995"/>
    <n v="9.6318110219999996E-3"/>
    <n v="7.2681954900000001"/>
    <n v="5.6714277470000001"/>
    <n v="100"/>
    <n v="0"/>
    <n v="0"/>
    <n v="0"/>
    <s v=""/>
    <s v=""/>
    <s v=""/>
    <s v=""/>
    <n v="95"/>
    <n v="87"/>
    <n v="100"/>
    <s v=""/>
    <s v=""/>
    <s v=""/>
    <s v=""/>
    <x v="5"/>
  </r>
  <r>
    <s v="Egypt"/>
    <n v="2015"/>
    <n v="92442.546879999994"/>
    <n v="42.784999849999998"/>
    <n v="99.106717540000005"/>
    <n v="0.28637254010000002"/>
    <n v="0.59343982930000005"/>
    <n v="1.347009398E-2"/>
    <n v="98.801877919999995"/>
    <n v="0.41034629639999998"/>
    <n v="0.76423283809999998"/>
    <n v="2.3542941179999999E-2"/>
    <n v="99.514369729999999"/>
    <n v="0.12058643080000001"/>
    <n v="0.36504384220000002"/>
    <n v="0"/>
    <n v="5"/>
    <n v="6.669168399999989E-2"/>
    <n v="0.1061914459999997"/>
    <n v="1.3872273999999152E-2"/>
    <n v="99"/>
    <n v="99"/>
    <n v="100"/>
    <s v=""/>
    <s v=""/>
    <s v="fullaccesss"/>
    <n v="9.2319172000000546E-2"/>
    <x v="2"/>
  </r>
  <r>
    <s v="Egypt"/>
    <n v="2020"/>
    <n v="102334.4063"/>
    <n v="42.783000950000002"/>
    <n v="99.440175960000005"/>
    <n v="0.23760910860000001"/>
    <n v="0.3222149265"/>
    <n v="0"/>
    <n v="99.332835149999994"/>
    <n v="0.33594182239999998"/>
    <n v="0.33122303190000002"/>
    <n v="0"/>
    <n v="99.583731099999994"/>
    <n v="0.10610120670000001"/>
    <n v="0.31016769430000002"/>
    <n v="0"/>
    <s v=""/>
    <s v=""/>
    <s v=""/>
    <s v=""/>
    <n v="99"/>
    <n v="99"/>
    <n v="100"/>
    <s v=""/>
    <s v=""/>
    <s v=""/>
    <s v=""/>
    <x v="2"/>
  </r>
  <r>
    <s v="El Salvador"/>
    <n v="2015"/>
    <n v="6325.1210940000001"/>
    <n v="69.699996949999999"/>
    <n v="95.562137739999997"/>
    <n v="0.58047977699999997"/>
    <n v="1.1619505450000001"/>
    <n v="2.6954319419999999"/>
    <n v="87.961214319999996"/>
    <n v="1.734743718"/>
    <n v="2.4810339560000001"/>
    <n v="7.8230080050000002"/>
    <n v="98.866417850000005"/>
    <n v="7.8697977569999994E-2"/>
    <n v="0.58851288960000003"/>
    <n v="0.4663712861"/>
    <n v="5"/>
    <n v="0.47688753399999939"/>
    <n v="1.0986361520000003"/>
    <n v="0.14089043199999765"/>
    <n v="96"/>
    <n v="88"/>
    <n v="99"/>
    <s v=""/>
    <s v=""/>
    <s v=""/>
    <n v="0.95774572000000269"/>
    <x v="5"/>
  </r>
  <r>
    <s v="El Salvador"/>
    <n v="2020"/>
    <n v="6486.201172"/>
    <n v="73.444000239999994"/>
    <n v="97.946575409999994"/>
    <n v="0.20726323190000001"/>
    <n v="0.31517399689999998"/>
    <n v="1.530987366"/>
    <n v="93.454395079999998"/>
    <n v="0.78047620490000003"/>
    <n v="0"/>
    <n v="5.7651287120000001"/>
    <n v="99.570870009999993"/>
    <n v="0"/>
    <n v="0.42912999439999999"/>
    <n v="0"/>
    <s v=""/>
    <s v=""/>
    <s v=""/>
    <s v=""/>
    <n v="98"/>
    <n v="93"/>
    <n v="100"/>
    <s v=""/>
    <s v=""/>
    <s v=""/>
    <s v=""/>
    <x v="5"/>
  </r>
  <r>
    <s v="Equatorial Guinea"/>
    <n v="2015"/>
    <n v="1168.5749510000001"/>
    <n v="70.616004939999996"/>
    <n v="64.178601650000004"/>
    <n v="2.9349338359999999"/>
    <n v="26.328798880000001"/>
    <n v="6.5576656309999999"/>
    <n v="30.775369319999999"/>
    <n v="1.353579774"/>
    <n v="46.286056360000003"/>
    <n v="21.584994550000001"/>
    <n v="78.07800598"/>
    <n v="3.5929503829999998"/>
    <n v="18.02439455"/>
    <n v="0.30464909089999997"/>
    <n v="2"/>
    <n v="0.24360720499999644"/>
    <n v="0"/>
    <n v="0"/>
    <n v="64"/>
    <n v="31"/>
    <n v="78"/>
    <s v=""/>
    <s v=""/>
    <s v=""/>
    <n v="0"/>
    <x v="4"/>
  </r>
  <r>
    <s v="Equatorial Guinea"/>
    <n v="2017"/>
    <n v="1262.008057"/>
    <n v="71.645996089999997"/>
    <n v="64.665816059999997"/>
    <n v="2.957999225"/>
    <n v="26.037706329999999"/>
    <n v="6.3384783860000002"/>
    <n v="30.775369319999999"/>
    <n v="1.353579774"/>
    <n v="46.286056360000003"/>
    <n v="21.584994550000001"/>
    <n v="78.07800598"/>
    <n v="3.5929503829999998"/>
    <n v="18.02439455"/>
    <n v="0.30464909089999997"/>
    <s v=""/>
    <s v=""/>
    <s v=""/>
    <s v=""/>
    <n v="65"/>
    <n v="31"/>
    <n v="78"/>
    <s v=""/>
    <s v=""/>
    <s v=""/>
    <s v=""/>
    <x v="4"/>
  </r>
  <r>
    <s v="Eritrea"/>
    <n v="2015"/>
    <n v="3342.818115"/>
    <n v="38.206001280000002"/>
    <n v="51.465093529999997"/>
    <n v="17.707633340000001"/>
    <n v="13.55609825"/>
    <n v="17.27117488"/>
    <n v="27.801576470000001"/>
    <n v="24.49842353"/>
    <n v="20.074999999999999"/>
    <n v="27.625"/>
    <n v="89.738224529999997"/>
    <n v="6.7242754739999997"/>
    <n v="3.0125000000000002"/>
    <n v="0.52500000000000002"/>
    <n v="1"/>
    <n v="0.38462665000000129"/>
    <n v="0"/>
    <n v="0"/>
    <n v="51"/>
    <n v="28"/>
    <n v="90"/>
    <s v=""/>
    <s v=""/>
    <s v=""/>
    <n v="0"/>
    <x v="4"/>
  </r>
  <r>
    <s v="Eritrea"/>
    <n v="2016"/>
    <n v="3376.5581050000001"/>
    <n v="38.826999659999998"/>
    <n v="51.849720179999998"/>
    <n v="17.59725585"/>
    <n v="13.45014014"/>
    <n v="17.102883840000001"/>
    <n v="27.801576470000001"/>
    <n v="24.49842353"/>
    <n v="20.074999999999999"/>
    <n v="27.625"/>
    <n v="89.738224529999997"/>
    <n v="6.7242754739999997"/>
    <n v="3.0125000000000002"/>
    <n v="0.52500000000000002"/>
    <s v=""/>
    <s v=""/>
    <s v=""/>
    <s v=""/>
    <n v="52"/>
    <n v="28"/>
    <n v="90"/>
    <s v=""/>
    <s v=""/>
    <s v=""/>
    <s v=""/>
    <x v="4"/>
  </r>
  <r>
    <s v="Estonia"/>
    <n v="2015"/>
    <n v="1315.329956"/>
    <n v="68.416000370000006"/>
    <n v="99.751307569999994"/>
    <n v="0"/>
    <n v="0.24869242890000001"/>
    <n v="0"/>
    <n v="99.244115809999997"/>
    <n v="0"/>
    <n v="0.75588419029999998"/>
    <n v="0"/>
    <n v="99.98545421"/>
    <n v="0"/>
    <n v="1.454579307E-2"/>
    <n v="0"/>
    <n v="5"/>
    <n v="-3.2105157999998822E-2"/>
    <s v="null"/>
    <n v="0"/>
    <n v="100"/>
    <n v="99"/>
    <n v="100"/>
    <s v="fullaccesss"/>
    <s v=""/>
    <s v="fullaccesss"/>
    <s v="null"/>
    <x v="1"/>
  </r>
  <r>
    <s v="Estonia"/>
    <n v="2020"/>
    <n v="1326.5389399999999"/>
    <n v="69.229003910000003"/>
    <n v="99.59078178"/>
    <n v="0"/>
    <n v="0.40921822320000001"/>
    <n v="0"/>
    <s v="null"/>
    <s v="null"/>
    <s v="null"/>
    <s v="null"/>
    <n v="99.98545421"/>
    <n v="0"/>
    <n v="1.454579307E-2"/>
    <n v="0"/>
    <s v=""/>
    <s v=""/>
    <s v=""/>
    <s v=""/>
    <n v="100"/>
    <s v="null"/>
    <n v="100"/>
    <s v=""/>
    <s v=""/>
    <s v=""/>
    <s v=""/>
    <x v="1"/>
  </r>
  <r>
    <s v="Eswatini"/>
    <n v="2015"/>
    <n v="1104.0379640000001"/>
    <n v="23.299999239999998"/>
    <n v="66.703955219999997"/>
    <n v="8.7676173330000005"/>
    <n v="10.89011026"/>
    <n v="13.63831719"/>
    <n v="58.124984900000001"/>
    <n v="11.182049299999999"/>
    <n v="13.43987898"/>
    <n v="17.253086830000001"/>
    <n v="94.944600129999998"/>
    <n v="0.81968032219999998"/>
    <n v="2.4966655609999999"/>
    <n v="1.7390539899999999"/>
    <n v="5"/>
    <n v="0.80982314599999938"/>
    <n v="0.86829276799999922"/>
    <n v="0.36103258400000016"/>
    <n v="67"/>
    <n v="58"/>
    <n v="95"/>
    <s v=""/>
    <s v=""/>
    <s v=""/>
    <n v="0.50726018399999906"/>
    <x v="4"/>
  </r>
  <r>
    <s v="Eswatini"/>
    <n v="2020"/>
    <n v="1160.1639399999999"/>
    <n v="24.17100143"/>
    <n v="70.753070949999994"/>
    <n v="9.5070671630000003"/>
    <n v="9.8355679309999999"/>
    <n v="9.9042939590000003"/>
    <n v="62.466448739999997"/>
    <n v="12.29969513"/>
    <n v="12.45046093"/>
    <n v="12.78339519"/>
    <n v="96.749763049999999"/>
    <n v="0.74606447310000001"/>
    <n v="1.6321642439999999"/>
    <n v="0.8720082294"/>
    <s v=""/>
    <s v=""/>
    <s v=""/>
    <s v=""/>
    <n v="71"/>
    <n v="62"/>
    <n v="97"/>
    <s v=""/>
    <s v=""/>
    <s v=""/>
    <s v=""/>
    <x v="4"/>
  </r>
  <r>
    <s v="Ethiopia"/>
    <n v="2015"/>
    <n v="100835.4531"/>
    <n v="19.428001399999999"/>
    <n v="42.070067199999997"/>
    <n v="21.738790269999999"/>
    <n v="24.477856150000001"/>
    <n v="11.71328639"/>
    <n v="32.451767429999997"/>
    <n v="23.598552099999999"/>
    <n v="29.78155581"/>
    <n v="14.168124669999999"/>
    <n v="81.959176540000001"/>
    <n v="14.02596733"/>
    <n v="2.4822996910000001"/>
    <n v="1.5325564389999999"/>
    <n v="5"/>
    <n v="1.5091011080000001"/>
    <n v="1.5156743520000007"/>
    <n v="0.4507303239999999"/>
    <n v="42"/>
    <n v="32"/>
    <n v="82"/>
    <s v=""/>
    <s v=""/>
    <s v=""/>
    <n v="1.0649440280000007"/>
    <x v="4"/>
  </r>
  <r>
    <s v="Ethiopia"/>
    <n v="2020"/>
    <n v="114963.58590000001"/>
    <n v="21.69499969"/>
    <n v="49.615572739999998"/>
    <n v="26.740719639999998"/>
    <n v="18.635060129999999"/>
    <n v="5.0086474860000001"/>
    <n v="40.03013919"/>
    <n v="30.186683339999998"/>
    <n v="23.49561327"/>
    <n v="6.2875642029999996"/>
    <n v="84.212828160000001"/>
    <n v="14.30300858"/>
    <n v="1.0915823549999999"/>
    <n v="0.39258089600000001"/>
    <s v=""/>
    <s v=""/>
    <s v=""/>
    <s v=""/>
    <n v="50"/>
    <n v="40"/>
    <n v="84"/>
    <s v=""/>
    <s v=""/>
    <s v=""/>
    <s v=""/>
    <x v="4"/>
  </r>
  <r>
    <s v="Faeroe Islands"/>
    <n v="2015"/>
    <n v="48.055000309999997"/>
    <n v="41.63799667"/>
    <n v="100"/>
    <n v="0"/>
    <n v="0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1"/>
  </r>
  <r>
    <s v="Faeroe Islands"/>
    <n v="2020"/>
    <n v="48.865001679999999"/>
    <n v="42.397998809999997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Falkland Islands (Malvinas)"/>
    <n v="2015"/>
    <n v="2.8359999660000001"/>
    <n v="76.268005369999997"/>
    <n v="94.820006660000004"/>
    <n v="0"/>
    <n v="5.1799933429999996"/>
    <n v="0"/>
    <n v="78.172942820000003"/>
    <n v="0"/>
    <n v="21.827057180000001"/>
    <n v="0"/>
    <n v="100"/>
    <n v="0"/>
    <n v="0"/>
    <n v="0"/>
    <n v="5"/>
    <n v="9.7784147999999502E-2"/>
    <n v="0"/>
    <n v="0"/>
    <n v="95"/>
    <n v="78"/>
    <n v="100"/>
    <s v=""/>
    <s v=""/>
    <s v="fullaccesss"/>
    <n v="0"/>
    <x v="5"/>
  </r>
  <r>
    <s v="Falkland Islands (Malvinas)"/>
    <n v="2020"/>
    <n v="3.4830000399999999"/>
    <n v="78.507995609999995"/>
    <n v="95.308927400000002"/>
    <n v="0"/>
    <n v="4.6910725959999997"/>
    <n v="0"/>
    <n v="78.172942820000003"/>
    <n v="0"/>
    <n v="21.827057180000001"/>
    <n v="0"/>
    <n v="100"/>
    <n v="0"/>
    <n v="0"/>
    <n v="0"/>
    <s v=""/>
    <s v=""/>
    <s v=""/>
    <s v=""/>
    <n v="95"/>
    <n v="78"/>
    <n v="100"/>
    <s v=""/>
    <s v=""/>
    <s v=""/>
    <s v=""/>
    <x v="5"/>
  </r>
  <r>
    <s v="Fiji"/>
    <n v="2015"/>
    <n v="868.63201900000001"/>
    <n v="54.725997919999998"/>
    <n v="94.262558670000004"/>
    <n v="0"/>
    <n v="3.4193659360000002"/>
    <n v="2.3180753950000001"/>
    <n v="89.378527390000002"/>
    <n v="0"/>
    <n v="5.8294678109999998"/>
    <n v="4.7920047950000004"/>
    <n v="98.303044670000006"/>
    <n v="0"/>
    <n v="1.4255247120000001"/>
    <n v="0.27143061419999998"/>
    <n v="5"/>
    <n v="7.7013139999991152E-3"/>
    <n v="-5.8100668000000154E-2"/>
    <n v="-2.1760122000000593E-2"/>
    <n v="94"/>
    <n v="89"/>
    <n v="98"/>
    <s v=""/>
    <s v=""/>
    <s v=""/>
    <n v="-3.6340545999999557E-2"/>
    <x v="3"/>
  </r>
  <r>
    <s v="Fiji"/>
    <n v="2020"/>
    <n v="896.44396970000003"/>
    <n v="57.247005459999997"/>
    <n v="94.30106524"/>
    <n v="0"/>
    <n v="3.3186027660000001"/>
    <n v="2.380331999"/>
    <n v="89.088024050000001"/>
    <n v="0"/>
    <n v="5.7598979379999999"/>
    <n v="5.1520780119999996"/>
    <n v="98.194244060000003"/>
    <n v="0"/>
    <n v="1.495409344"/>
    <n v="0.31034659219999999"/>
    <s v=""/>
    <s v=""/>
    <s v=""/>
    <s v=""/>
    <n v="94"/>
    <n v="89"/>
    <n v="98"/>
    <s v=""/>
    <s v=""/>
    <s v=""/>
    <s v=""/>
    <x v="3"/>
  </r>
  <r>
    <s v="Finland"/>
    <n v="2015"/>
    <n v="5481.1279299999997"/>
    <n v="85.224998470000003"/>
    <n v="99.999996659999994"/>
    <n v="0"/>
    <n v="3.3406530800000001E-6"/>
    <n v="0"/>
    <n v="100"/>
    <n v="0"/>
    <n v="0"/>
    <n v="0"/>
    <n v="100"/>
    <n v="0"/>
    <n v="0"/>
    <n v="0"/>
    <n v="5"/>
    <n v="1.3280000018767169E-6"/>
    <n v="0"/>
    <n v="0"/>
    <n v="100"/>
    <n v="100"/>
    <n v="100"/>
    <s v="fullaccesss"/>
    <s v="fullaccesss"/>
    <s v="fullaccesss"/>
    <n v="0"/>
    <x v="1"/>
  </r>
  <r>
    <s v="Finland"/>
    <n v="2020"/>
    <n v="5540.7177730000003"/>
    <n v="85.517005920000003"/>
    <n v="100.0000033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France"/>
    <n v="2015"/>
    <n v="64453.195310000003"/>
    <n v="79.65499878"/>
    <n v="100"/>
    <n v="0"/>
    <n v="0"/>
    <n v="0"/>
    <n v="100"/>
    <n v="0"/>
    <n v="0"/>
    <n v="0"/>
    <n v="100"/>
    <n v="0"/>
    <n v="0"/>
    <n v="0"/>
    <n v="5"/>
    <n v="-2.999999992425728E-7"/>
    <n v="0"/>
    <n v="0"/>
    <n v="100"/>
    <n v="100"/>
    <n v="100"/>
    <s v="fullaccesss"/>
    <s v="fullaccesss"/>
    <s v="fullaccesss"/>
    <n v="0"/>
    <x v="1"/>
  </r>
  <r>
    <s v="France"/>
    <n v="2020"/>
    <n v="65273.511720000002"/>
    <n v="80.974998470000003"/>
    <n v="99.999998500000004"/>
    <n v="0"/>
    <n v="1.49610841E-6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French Guiana"/>
    <n v="2015"/>
    <n v="261.00799560000002"/>
    <n v="84.482002260000002"/>
    <n v="93.562056569999996"/>
    <n v="0"/>
    <n v="6.4379434250000003"/>
    <n v="0"/>
    <s v="null"/>
    <s v="null"/>
    <s v="null"/>
    <s v="null"/>
    <s v="null"/>
    <s v="null"/>
    <s v="null"/>
    <s v="null"/>
    <n v="5"/>
    <n v="4.4031956000000608E-2"/>
    <s v="null"/>
    <s v="null"/>
    <n v="94"/>
    <s v="null"/>
    <s v="null"/>
    <s v=""/>
    <s v=""/>
    <s v=""/>
    <s v="null"/>
    <x v="5"/>
  </r>
  <r>
    <s v="French Guiana"/>
    <n v="2020"/>
    <n v="298.68200680000001"/>
    <n v="85.819999690000003"/>
    <n v="93.782216349999999"/>
    <n v="0"/>
    <n v="6.2177836519999996"/>
    <n v="0"/>
    <s v="null"/>
    <s v="null"/>
    <s v="null"/>
    <s v="null"/>
    <s v="null"/>
    <s v="null"/>
    <s v="null"/>
    <s v="null"/>
    <s v=""/>
    <s v=""/>
    <s v=""/>
    <s v=""/>
    <n v="94"/>
    <s v="null"/>
    <s v="null"/>
    <s v=""/>
    <s v=""/>
    <s v=""/>
    <s v=""/>
    <x v="5"/>
  </r>
  <r>
    <s v="French Polynesia"/>
    <n v="2015"/>
    <n v="273.118988"/>
    <n v="61.683002469999998"/>
    <n v="100"/>
    <n v="0"/>
    <n v="0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3"/>
  </r>
  <r>
    <s v="French Polynesia"/>
    <n v="2020"/>
    <n v="280.90399170000001"/>
    <n v="61.975002289999999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3"/>
  </r>
  <r>
    <s v="Gabon"/>
    <n v="2015"/>
    <n v="1947.6899410000001"/>
    <n v="88.117996219999995"/>
    <n v="83.858486549999995"/>
    <n v="7.7224304339999996"/>
    <n v="4.9241821100000003"/>
    <n v="3.4949009009999998"/>
    <n v="43.390033160000002"/>
    <n v="10.192647770000001"/>
    <n v="21.81093263"/>
    <n v="24.606386440000001"/>
    <n v="89.315331869999994"/>
    <n v="7.3893416170000004"/>
    <n v="2.6471391450000001"/>
    <n v="0.6481873668"/>
    <n v="5"/>
    <n v="0.29668881000000058"/>
    <n v="0.27117116999999952"/>
    <n v="9.824145999999985E-2"/>
    <n v="84"/>
    <n v="43"/>
    <n v="89"/>
    <s v=""/>
    <s v=""/>
    <s v=""/>
    <n v="0.17292970999999968"/>
    <x v="4"/>
  </r>
  <r>
    <s v="Gabon"/>
    <n v="2020"/>
    <n v="2225.7280270000001"/>
    <n v="90.092002870000002"/>
    <n v="85.341930599999998"/>
    <n v="7.7352631030000003"/>
    <n v="6.9228083570000001"/>
    <s v="null"/>
    <n v="44.745889009999999"/>
    <n v="10.511148589999999"/>
    <n v="44.742962400000003"/>
    <s v="null"/>
    <n v="89.806539169999994"/>
    <n v="7.4299807600000003"/>
    <n v="2.7634800720000001"/>
    <s v="null"/>
    <s v=""/>
    <s v=""/>
    <s v=""/>
    <s v=""/>
    <n v="85"/>
    <n v="45"/>
    <n v="90"/>
    <s v=""/>
    <s v=""/>
    <s v=""/>
    <s v=""/>
    <x v="4"/>
  </r>
  <r>
    <s v="Gambia"/>
    <n v="2015"/>
    <n v="2085.860107"/>
    <n v="59.228000639999998"/>
    <n v="79.2101665"/>
    <n v="9.0733700059999993"/>
    <n v="11.624014620000001"/>
    <n v="9.2448870380000006E-2"/>
    <n v="68.254892569999996"/>
    <n v="15.340084539999999"/>
    <n v="16.322389959999999"/>
    <n v="8.263292471E-2"/>
    <n v="86.751671259999995"/>
    <n v="4.7594215670000004"/>
    <n v="8.3897011020000001"/>
    <n v="9.9206071500000007E-2"/>
    <n v="5"/>
    <n v="0.34604812800000107"/>
    <n v="0.18672612800000082"/>
    <n v="0.24304660200000114"/>
    <n v="79"/>
    <n v="68"/>
    <n v="87"/>
    <s v=""/>
    <s v=""/>
    <s v=""/>
    <n v="-5.6320474000000315E-2"/>
    <x v="4"/>
  </r>
  <r>
    <s v="Gambia"/>
    <n v="2020"/>
    <n v="2416.6640630000002"/>
    <n v="62.581996920000002"/>
    <n v="80.940407140000005"/>
    <n v="8.5973913910000004"/>
    <n v="10.352852070000001"/>
    <n v="0.10934939270000001"/>
    <n v="69.18852321"/>
    <n v="16.497832389999999"/>
    <n v="14.24376547"/>
    <n v="6.9878936799999999E-2"/>
    <n v="87.966904270000001"/>
    <n v="3.8736895219999998"/>
    <n v="8.0264572780000005"/>
    <n v="0.13294892529999999"/>
    <s v=""/>
    <s v=""/>
    <s v=""/>
    <s v=""/>
    <n v="81"/>
    <n v="69"/>
    <n v="88"/>
    <s v=""/>
    <s v=""/>
    <s v=""/>
    <s v=""/>
    <x v="4"/>
  </r>
  <r>
    <s v="Georgia"/>
    <n v="2015"/>
    <n v="4024.179932"/>
    <n v="57.447998050000002"/>
    <n v="95.754729510000004"/>
    <n v="0.95196455830000004"/>
    <n v="3.2398949309999998"/>
    <n v="5.3410995400000001E-2"/>
    <n v="91.295150590000006"/>
    <n v="1.893756292"/>
    <n v="6.7002163880000003"/>
    <n v="0.1108767321"/>
    <n v="99.057965449999998"/>
    <n v="0.25437508559999999"/>
    <n v="0.67681360540000002"/>
    <n v="1.084585945E-2"/>
    <n v="5"/>
    <n v="0.31868203800000006"/>
    <n v="0.59534672199999927"/>
    <n v="7.7637698000000907E-2"/>
    <n v="96"/>
    <n v="91"/>
    <n v="99"/>
    <s v=""/>
    <s v=""/>
    <s v=""/>
    <n v="0.51770902399999841"/>
    <x v="1"/>
  </r>
  <r>
    <s v="Georgia"/>
    <n v="2020"/>
    <n v="3989.1750489999999"/>
    <n v="59.452995299999998"/>
    <n v="97.348139700000004"/>
    <n v="0"/>
    <n v="2.6327613790000002"/>
    <n v="1.9098923269999998E-2"/>
    <n v="94.271884200000002"/>
    <n v="0"/>
    <n v="5.7039236180000001"/>
    <n v="2.4192183450000002E-2"/>
    <n v="99.446153940000002"/>
    <n v="0"/>
    <n v="0.53822074200000003"/>
    <n v="1.5625315859999999E-2"/>
    <s v=""/>
    <s v=""/>
    <s v=""/>
    <s v=""/>
    <n v="97"/>
    <n v="94"/>
    <n v="99"/>
    <s v=""/>
    <s v=""/>
    <s v=""/>
    <s v=""/>
    <x v="1"/>
  </r>
  <r>
    <s v="Germany"/>
    <n v="2015"/>
    <n v="81787.414059999996"/>
    <n v="77.200004579999998"/>
    <n v="100.0000024"/>
    <n v="0"/>
    <n v="0"/>
    <n v="0"/>
    <n v="100"/>
    <n v="0"/>
    <n v="0"/>
    <n v="0"/>
    <n v="100"/>
    <n v="0"/>
    <n v="0"/>
    <n v="0"/>
    <n v="5"/>
    <n v="-1.9999998812636478E-8"/>
    <n v="0"/>
    <n v="0"/>
    <n v="100"/>
    <n v="100"/>
    <n v="100"/>
    <s v="fullaccesss"/>
    <s v="fullaccesss"/>
    <s v="fullaccesss"/>
    <n v="0"/>
    <x v="1"/>
  </r>
  <r>
    <s v="Germany"/>
    <n v="2020"/>
    <n v="83783.945309999996"/>
    <n v="77.453002929999997"/>
    <n v="100.00000230000001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Ghana"/>
    <n v="2015"/>
    <n v="27849.203130000002"/>
    <n v="54.085998539999999"/>
    <n v="80.157961229999998"/>
    <n v="7.8975991900000002"/>
    <n v="4.4266436760000003"/>
    <n v="7.5177958990000002"/>
    <n v="67.208304769999998"/>
    <n v="11.1534648"/>
    <n v="6.3352592420000002"/>
    <n v="15.302971189999999"/>
    <n v="91.151019840000004"/>
    <n v="5.133670929"/>
    <n v="2.806405888"/>
    <n v="0.90890334449999999"/>
    <n v="5"/>
    <n v="1.1266070839999998"/>
    <n v="0.93688905600000116"/>
    <n v="0.99524793599999839"/>
    <n v="80"/>
    <n v="67"/>
    <n v="91"/>
    <s v=""/>
    <s v=""/>
    <s v=""/>
    <n v="-5.8358879999997226E-2"/>
    <x v="4"/>
  </r>
  <r>
    <s v="Ghana"/>
    <n v="2020"/>
    <n v="31072.945309999999"/>
    <n v="57.348999020000001"/>
    <n v="85.790996649999997"/>
    <n v="6.5860621129999997"/>
    <n v="2.8122161760000002"/>
    <n v="4.8107250580000001"/>
    <n v="71.892750050000004"/>
    <n v="11.934548270000001"/>
    <n v="4.9993564829999997"/>
    <n v="11.173345189999999"/>
    <n v="96.127259519999996"/>
    <n v="2.6083424549999998"/>
    <n v="1.1856138030000001"/>
    <n v="7.8784218190000005E-2"/>
    <s v=""/>
    <s v=""/>
    <s v=""/>
    <s v=""/>
    <n v="86"/>
    <n v="72"/>
    <n v="96"/>
    <s v=""/>
    <s v=""/>
    <s v=""/>
    <s v=""/>
    <x v="4"/>
  </r>
  <r>
    <s v="Gibraltar"/>
    <n v="2015"/>
    <n v="33.742000580000003"/>
    <n v="100"/>
    <n v="100"/>
    <n v="0"/>
    <n v="0"/>
    <n v="0"/>
    <s v="null"/>
    <s v="null"/>
    <s v="null"/>
    <s v="null"/>
    <n v="100"/>
    <n v="0"/>
    <n v="0"/>
    <n v="0"/>
    <n v="5"/>
    <n v="0"/>
    <s v="null"/>
    <n v="0"/>
    <n v="100"/>
    <s v="null"/>
    <n v="100"/>
    <s v="fullaccesss"/>
    <s v=""/>
    <s v="fullaccesss"/>
    <s v="null"/>
    <x v="1"/>
  </r>
  <r>
    <s v="Gibraltar"/>
    <n v="2020"/>
    <n v="33.691001890000003"/>
    <n v="100"/>
    <n v="100"/>
    <n v="0"/>
    <n v="0"/>
    <n v="0"/>
    <s v="null"/>
    <s v="null"/>
    <s v="null"/>
    <s v="null"/>
    <n v="100"/>
    <n v="0"/>
    <n v="0"/>
    <n v="0"/>
    <s v=""/>
    <s v=""/>
    <s v=""/>
    <s v=""/>
    <n v="100"/>
    <s v="null"/>
    <n v="100"/>
    <s v=""/>
    <s v=""/>
    <s v=""/>
    <s v=""/>
    <x v="1"/>
  </r>
  <r>
    <s v="Greece"/>
    <n v="2015"/>
    <n v="10659.737300000001"/>
    <n v="78.046005249999993"/>
    <n v="100.0000046"/>
    <n v="0"/>
    <n v="0"/>
    <n v="0"/>
    <n v="100"/>
    <n v="0"/>
    <n v="0"/>
    <n v="0"/>
    <n v="100"/>
    <n v="0"/>
    <n v="0"/>
    <n v="0"/>
    <n v="5"/>
    <n v="-4.5999999827017745E-7"/>
    <n v="0"/>
    <n v="0"/>
    <n v="100"/>
    <n v="100"/>
    <n v="100"/>
    <s v="fullaccesss"/>
    <s v="fullaccesss"/>
    <s v="fullaccesss"/>
    <n v="0"/>
    <x v="1"/>
  </r>
  <r>
    <s v="Greece"/>
    <n v="2020"/>
    <n v="10423.05566"/>
    <n v="79.715003969999998"/>
    <n v="100.00000230000001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Greenland"/>
    <n v="2015"/>
    <n v="56.377998349999999"/>
    <n v="86.070999150000006"/>
    <n v="100"/>
    <n v="0"/>
    <n v="0"/>
    <n v="0"/>
    <n v="100"/>
    <n v="0"/>
    <n v="0"/>
    <n v="0"/>
    <n v="100"/>
    <n v="0"/>
    <n v="0"/>
    <n v="0"/>
    <n v="5"/>
    <n v="3.3999999971001671E-7"/>
    <n v="0"/>
    <n v="0"/>
    <n v="100"/>
    <n v="100"/>
    <n v="100"/>
    <s v="fullaccesss"/>
    <s v="fullaccesss"/>
    <s v="fullaccesss"/>
    <n v="0"/>
    <x v="7"/>
  </r>
  <r>
    <s v="Greenland"/>
    <n v="2020"/>
    <n v="56.771999360000002"/>
    <n v="87.282005310000002"/>
    <n v="100.0000017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7"/>
  </r>
  <r>
    <s v="Grenada"/>
    <n v="2015"/>
    <n v="109.6029968"/>
    <n v="35.997001650000001"/>
    <n v="95.628650440000001"/>
    <n v="1.1614815839999999"/>
    <n v="0"/>
    <n v="3.2098679720000001"/>
    <s v="null"/>
    <s v="null"/>
    <s v="null"/>
    <s v="null"/>
    <s v="null"/>
    <s v="null"/>
    <s v="null"/>
    <s v="null"/>
    <n v="2"/>
    <n v="0"/>
    <s v="null"/>
    <s v="null"/>
    <n v="96"/>
    <s v="null"/>
    <s v="null"/>
    <s v=""/>
    <s v=""/>
    <s v=""/>
    <s v="null"/>
    <x v="5"/>
  </r>
  <r>
    <s v="Grenada"/>
    <n v="2017"/>
    <n v="110.87400049999999"/>
    <n v="36.164001460000001"/>
    <n v="95.628650440000001"/>
    <n v="1.1614815839999999"/>
    <n v="0"/>
    <n v="3.2098679720000001"/>
    <s v="null"/>
    <s v="null"/>
    <s v="null"/>
    <s v="null"/>
    <s v="null"/>
    <s v="null"/>
    <s v="null"/>
    <s v="null"/>
    <s v=""/>
    <s v=""/>
    <s v=""/>
    <s v=""/>
    <n v="96"/>
    <s v="null"/>
    <s v="null"/>
    <s v=""/>
    <s v=""/>
    <s v=""/>
    <s v=""/>
    <x v="5"/>
  </r>
  <r>
    <s v="Guadeloupe"/>
    <n v="2015"/>
    <n v="400.26000979999998"/>
    <n v="98.443000789999999"/>
    <n v="99.611028129999994"/>
    <n v="0"/>
    <n v="0.38897187239999997"/>
    <n v="0"/>
    <s v="null"/>
    <s v="null"/>
    <s v="null"/>
    <s v="null"/>
    <s v="null"/>
    <s v="null"/>
    <s v="null"/>
    <s v="null"/>
    <n v="5"/>
    <n v="3.8419582000000216E-2"/>
    <s v="null"/>
    <s v="null"/>
    <n v="100"/>
    <s v="null"/>
    <s v="null"/>
    <s v="fullaccesss"/>
    <s v=""/>
    <s v=""/>
    <s v="null"/>
    <x v="5"/>
  </r>
  <r>
    <s v="Guadeloupe"/>
    <n v="2020"/>
    <n v="400.12701420000002"/>
    <n v="98.498992920000006"/>
    <n v="99.803126039999995"/>
    <n v="0"/>
    <n v="0.19687396130000001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5"/>
  </r>
  <r>
    <s v="Guam"/>
    <n v="2015"/>
    <n v="161.85099790000001"/>
    <n v="94.533996579999993"/>
    <n v="99.6952"/>
    <n v="0"/>
    <n v="0.30480000000000002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3"/>
  </r>
  <r>
    <s v="Guam"/>
    <n v="2020"/>
    <n v="168.78300479999999"/>
    <n v="94.938003539999997"/>
    <n v="99.6952"/>
    <n v="0"/>
    <n v="0.30480000000000002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3"/>
  </r>
  <r>
    <s v="Guatemala"/>
    <n v="2015"/>
    <n v="16252.424800000001"/>
    <n v="49.971000670000002"/>
    <n v="92.134033849999994"/>
    <n v="0.96845174850000004"/>
    <n v="4.7652610869999998"/>
    <n v="2.1322533130000001"/>
    <n v="87.242756180000001"/>
    <n v="1.6509012869999999"/>
    <n v="7.052091828"/>
    <n v="4.0542507089999997"/>
    <n v="97.030988910000005"/>
    <n v="0.2852100796"/>
    <n v="2.4757759840000002"/>
    <n v="0.20802502270000001"/>
    <n v="5"/>
    <n v="0.37447888400000123"/>
    <n v="0.57531472400000039"/>
    <n v="0.11743610599999954"/>
    <n v="92"/>
    <n v="87"/>
    <n v="97"/>
    <s v=""/>
    <s v=""/>
    <s v=""/>
    <n v="0.45787861800000085"/>
    <x v="5"/>
  </r>
  <r>
    <s v="Guatemala"/>
    <n v="2020"/>
    <n v="17915.566409999999"/>
    <n v="51.835998539999999"/>
    <n v="94.006428270000001"/>
    <n v="1.034150511"/>
    <n v="3.2159118150000001"/>
    <n v="1.7435094040000001"/>
    <n v="90.119329800000003"/>
    <n v="1.8491699989999999"/>
    <n v="4.5834386909999996"/>
    <n v="3.4480615079999999"/>
    <n v="97.618169440000003"/>
    <n v="0.27686600569999997"/>
    <n v="1.94525887"/>
    <n v="0.15970568490000001"/>
    <s v=""/>
    <s v=""/>
    <s v=""/>
    <s v=""/>
    <n v="94"/>
    <n v="90"/>
    <n v="98"/>
    <s v=""/>
    <s v=""/>
    <s v=""/>
    <s v=""/>
    <x v="5"/>
  </r>
  <r>
    <s v="Guinea"/>
    <n v="2015"/>
    <n v="11432.0957"/>
    <n v="35.140998840000002"/>
    <n v="63.615389540000002"/>
    <n v="16.090256029999999"/>
    <n v="9.7579804439999993"/>
    <n v="10.53637399"/>
    <n v="51.949155339999997"/>
    <n v="18.760629779999999"/>
    <n v="13.309717210000001"/>
    <n v="15.980497679999999"/>
    <n v="85.147507689999998"/>
    <n v="11.161602630000001"/>
    <n v="3.202620418"/>
    <n v="0.48826926510000002"/>
    <n v="5"/>
    <n v="6.9279840000000092E-2"/>
    <n v="-0.24019526999999954"/>
    <n v="0.28683647599999917"/>
    <n v="64"/>
    <n v="52"/>
    <n v="85"/>
    <s v=""/>
    <s v=""/>
    <s v=""/>
    <n v="-0.52703174599999869"/>
    <x v="4"/>
  </r>
  <r>
    <s v="Guinea"/>
    <n v="2020"/>
    <n v="13132.79199"/>
    <n v="36.875"/>
    <n v="63.961788740000003"/>
    <n v="21.281591500000001"/>
    <n v="6.2961194059999999"/>
    <n v="8.4605003540000006"/>
    <n v="50.74817899"/>
    <n v="26.14432944"/>
    <n v="9.7047191430000002"/>
    <n v="13.402772430000001"/>
    <n v="86.581690069999993"/>
    <n v="12.957241529999999"/>
    <n v="0.46106839799999999"/>
    <n v="0"/>
    <s v=""/>
    <s v=""/>
    <s v=""/>
    <s v=""/>
    <n v="64"/>
    <n v="51"/>
    <n v="87"/>
    <s v=""/>
    <s v=""/>
    <s v=""/>
    <s v=""/>
    <x v="4"/>
  </r>
  <r>
    <s v="Guinea-Bissau"/>
    <n v="2015"/>
    <n v="1737.2070309999999"/>
    <n v="42.12299728"/>
    <n v="58.764347620000002"/>
    <n v="10.59149221"/>
    <n v="29.744379070000001"/>
    <n v="0.89978109260000005"/>
    <n v="48.422730049999998"/>
    <n v="7.5662803609999996"/>
    <n v="42.58264827"/>
    <n v="1.428341318"/>
    <n v="72.973731220000005"/>
    <n v="14.748133599999999"/>
    <n v="12.104595890000001"/>
    <n v="0.17353928900000001"/>
    <n v="5"/>
    <n v="5.0512917999999726E-2"/>
    <n v="0.28183505000000081"/>
    <n v="-0.47187666199999967"/>
    <n v="59"/>
    <n v="48"/>
    <n v="73"/>
    <s v=""/>
    <s v=""/>
    <s v=""/>
    <n v="0.75371171200000053"/>
    <x v="4"/>
  </r>
  <r>
    <s v="Guinea-Bissau"/>
    <n v="2020"/>
    <n v="1967.998047"/>
    <n v="44.195999149999999"/>
    <n v="59.016912210000001"/>
    <n v="14.03457137"/>
    <n v="26.6263769"/>
    <n v="0.3221395192"/>
    <n v="49.831905300000003"/>
    <n v="9.2857730259999993"/>
    <n v="40.316451290000003"/>
    <n v="0.56587038450000005"/>
    <n v="70.614347910000006"/>
    <n v="20.03063358"/>
    <n v="9.3406252839999997"/>
    <n v="1.4393226929999999E-2"/>
    <s v=""/>
    <s v=""/>
    <s v=""/>
    <s v=""/>
    <n v="59"/>
    <n v="50"/>
    <n v="71"/>
    <s v=""/>
    <s v=""/>
    <s v=""/>
    <s v=""/>
    <x v="4"/>
  </r>
  <r>
    <s v="Guyana"/>
    <n v="2015"/>
    <n v="767.43298340000001"/>
    <n v="26.44099808"/>
    <n v="95.161856950000001"/>
    <n v="1.233247953"/>
    <n v="1.344803287"/>
    <n v="2.2600918079999999"/>
    <n v="93.422769709999997"/>
    <n v="1.6765425039999999"/>
    <n v="1.82819943"/>
    <n v="3.0724883580000002"/>
    <n v="100"/>
    <n v="0"/>
    <n v="0"/>
    <n v="0"/>
    <n v="5"/>
    <n v="7.8589980000000989E-2"/>
    <n v="0.10114415799999961"/>
    <n v="0"/>
    <n v="95"/>
    <n v="93"/>
    <n v="100"/>
    <s v=""/>
    <s v=""/>
    <s v="fullaccesss"/>
    <n v="0.10114415799999961"/>
    <x v="5"/>
  </r>
  <r>
    <s v="Guyana"/>
    <n v="2020"/>
    <n v="786.55902100000003"/>
    <n v="26.7859993"/>
    <n v="95.554806850000006"/>
    <n v="1.205244408"/>
    <n v="1.143069849"/>
    <n v="2.0968788969999999"/>
    <n v="93.928490499999995"/>
    <n v="1.6461938620000001"/>
    <n v="1.5612748329999999"/>
    <n v="2.864040809"/>
    <n v="100"/>
    <n v="0"/>
    <n v="0"/>
    <n v="0"/>
    <s v=""/>
    <s v=""/>
    <s v=""/>
    <s v=""/>
    <n v="96"/>
    <n v="94"/>
    <n v="100"/>
    <s v=""/>
    <s v=""/>
    <s v=""/>
    <s v=""/>
    <x v="5"/>
  </r>
  <r>
    <s v="Haiti"/>
    <n v="2015"/>
    <n v="10695.54004"/>
    <n v="52.426998140000002"/>
    <n v="64.567485939999997"/>
    <n v="9.2184870100000005"/>
    <n v="25.477839450000001"/>
    <n v="0.73618759609999995"/>
    <n v="42.416418049999997"/>
    <n v="12.228897890000001"/>
    <n v="43.807193750000003"/>
    <n v="1.5474903170000001"/>
    <n v="84.667679129999996"/>
    <n v="6.4867974830000001"/>
    <n v="8.8455233880000002"/>
    <n v="0"/>
    <n v="5"/>
    <n v="0.4255644920000009"/>
    <n v="8.5856410000000952E-2"/>
    <n v="-9.0115679999996697E-3"/>
    <n v="65"/>
    <n v="42"/>
    <n v="85"/>
    <s v=""/>
    <s v=""/>
    <s v=""/>
    <n v="9.4867978000000616E-2"/>
    <x v="4"/>
  </r>
  <r>
    <s v="Haiti"/>
    <n v="2020"/>
    <n v="11402.5332"/>
    <n v="57.087997440000002"/>
    <n v="66.695308400000002"/>
    <n v="9.8145436519999993"/>
    <n v="23.490147950000001"/>
    <n v="0"/>
    <n v="42.845700100000002"/>
    <n v="13.25598695"/>
    <n v="43.898312949999998"/>
    <n v="0"/>
    <n v="84.622621289999998"/>
    <n v="7.2276738790000001"/>
    <n v="8.1497048349999996"/>
    <n v="0"/>
    <s v=""/>
    <s v=""/>
    <s v=""/>
    <s v=""/>
    <n v="67"/>
    <n v="43"/>
    <n v="85"/>
    <s v=""/>
    <s v=""/>
    <s v=""/>
    <s v=""/>
    <x v="4"/>
  </r>
  <r>
    <s v="Honduras"/>
    <n v="2015"/>
    <n v="9112.9042969999991"/>
    <n v="55.164997100000001"/>
    <n v="93.254410710000002"/>
    <n v="0.43175410669999997"/>
    <n v="6.0221561560000003"/>
    <n v="0.29167902839999998"/>
    <n v="86.437073749999996"/>
    <n v="0.77584410459999997"/>
    <n v="12.14597638"/>
    <n v="0.6411057671"/>
    <n v="98.795162680000004"/>
    <n v="0.15209716100000001"/>
    <n v="1.04505549"/>
    <n v="7.6846736400000004E-3"/>
    <n v="5"/>
    <n v="0.48696208400000102"/>
    <n v="0.68774516000000008"/>
    <n v="0.20842402600000015"/>
    <n v="93"/>
    <n v="86"/>
    <n v="99"/>
    <s v=""/>
    <s v=""/>
    <s v=""/>
    <n v="0.47932113399999993"/>
    <x v="5"/>
  </r>
  <r>
    <s v="Honduras"/>
    <n v="2020"/>
    <n v="9904.6083980000003"/>
    <n v="58.358997340000002"/>
    <n v="95.689221130000007"/>
    <n v="0.4256206085"/>
    <n v="3.8851582640000002"/>
    <n v="0"/>
    <n v="89.875799549999996"/>
    <n v="0.80670950789999996"/>
    <n v="9.3174909459999995"/>
    <n v="0"/>
    <n v="99.837282810000005"/>
    <n v="0.15370152619999999"/>
    <n v="9.0156632960000007E-3"/>
    <n v="0"/>
    <s v=""/>
    <s v=""/>
    <s v=""/>
    <s v=""/>
    <n v="96"/>
    <n v="90"/>
    <n v="100"/>
    <s v=""/>
    <s v=""/>
    <s v=""/>
    <s v=""/>
    <x v="5"/>
  </r>
  <r>
    <s v="Hungary"/>
    <n v="2015"/>
    <n v="9777.9248050000006"/>
    <n v="70.5"/>
    <n v="99.970528959999996"/>
    <n v="0"/>
    <n v="2.9471039399999999E-2"/>
    <n v="0"/>
    <n v="99.900089719999997"/>
    <n v="0"/>
    <n v="9.9910284789999998E-2"/>
    <n v="0"/>
    <n v="100"/>
    <n v="0"/>
    <n v="0"/>
    <n v="0"/>
    <n v="5"/>
    <n v="5.8937020000001897E-3"/>
    <n v="1.9982056000000626E-2"/>
    <n v="0"/>
    <n v="100"/>
    <n v="100"/>
    <n v="100"/>
    <s v="fullaccesss"/>
    <s v="fullaccesss"/>
    <s v="fullaccesss"/>
    <n v="1.9982056000000626E-2"/>
    <x v="1"/>
  </r>
  <r>
    <s v="Hungary"/>
    <n v="2020"/>
    <n v="9660.3496090000008"/>
    <n v="71.942001340000004"/>
    <n v="99.999997469999997"/>
    <n v="0"/>
    <n v="2.5272441919999999E-6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Iceland"/>
    <n v="2015"/>
    <n v="330.23699950000002"/>
    <n v="93.699996949999999"/>
    <n v="100.00000230000001"/>
    <n v="0"/>
    <n v="0"/>
    <n v="0"/>
    <n v="100"/>
    <n v="0"/>
    <n v="0"/>
    <n v="0"/>
    <n v="100"/>
    <n v="0"/>
    <n v="0"/>
    <n v="0"/>
    <n v="5"/>
    <n v="-1.0180000003856548E-6"/>
    <n v="0"/>
    <n v="0"/>
    <n v="100"/>
    <n v="100"/>
    <n v="100"/>
    <s v="fullaccesss"/>
    <s v="fullaccesss"/>
    <s v="fullaccesss"/>
    <n v="0"/>
    <x v="1"/>
  </r>
  <r>
    <s v="Iceland"/>
    <n v="2020"/>
    <n v="341.25"/>
    <n v="93.897994999999995"/>
    <n v="99.999997210000004"/>
    <n v="0"/>
    <n v="2.7946500150000002E-6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India"/>
    <n v="2015"/>
    <n v="1310152.375"/>
    <n v="32.777000430000001"/>
    <n v="88.138132630000001"/>
    <n v="4.6925990149999999"/>
    <n v="6.4124515520000003"/>
    <n v="0.75681680389999995"/>
    <n v="85.572000349999996"/>
    <n v="5.5421338929999999"/>
    <n v="7.8808700040000002"/>
    <n v="1.004995751"/>
    <n v="93.401064610000006"/>
    <n v="2.9502709540000001"/>
    <n v="3.4008427999999999"/>
    <n v="0.2478216409"/>
    <n v="5"/>
    <n v="0.47027847999999894"/>
    <n v="0.64210055599999971"/>
    <n v="5.379433800000015E-2"/>
    <n v="88"/>
    <n v="86"/>
    <n v="93"/>
    <s v=""/>
    <s v=""/>
    <s v=""/>
    <n v="0.5883062179999996"/>
    <x v="6"/>
  </r>
  <r>
    <s v="India"/>
    <n v="2020"/>
    <n v="1380004.375"/>
    <n v="34.926002500000003"/>
    <n v="90.489525029999996"/>
    <n v="4.9836025619999997"/>
    <n v="3.9631539450000002"/>
    <n v="0.56371846260000003"/>
    <n v="88.782503129999995"/>
    <n v="5.9022100540000002"/>
    <n v="4.5763757299999996"/>
    <n v="0.73891108559999996"/>
    <n v="93.670036300000007"/>
    <n v="3.2720560270000001"/>
    <n v="2.8206075230000001"/>
    <n v="0.2373001538"/>
    <s v=""/>
    <s v=""/>
    <s v=""/>
    <s v=""/>
    <n v="90"/>
    <n v="89"/>
    <n v="94"/>
    <s v=""/>
    <s v=""/>
    <s v=""/>
    <s v=""/>
    <x v="6"/>
  </r>
  <r>
    <s v="Indonesia"/>
    <n v="2015"/>
    <n v="258383.25"/>
    <n v="53.312999730000001"/>
    <n v="88.527352960000002"/>
    <n v="0.79413052260000006"/>
    <n v="8.9438595640000003"/>
    <n v="1.7346569540000001"/>
    <n v="80.630791189999997"/>
    <n v="0.97404573149999996"/>
    <n v="14.98518808"/>
    <n v="3.4099750009999998"/>
    <n v="95.442491759999996"/>
    <n v="0.63657604779999999"/>
    <n v="3.6533766409999999"/>
    <n v="0.26755555320000002"/>
    <n v="5"/>
    <n v="0.77759933000000103"/>
    <n v="1.0074342380000019"/>
    <n v="0.42760406200000034"/>
    <n v="89"/>
    <n v="81"/>
    <n v="95"/>
    <s v=""/>
    <s v=""/>
    <s v=""/>
    <n v="0.57983017600000153"/>
    <x v="3"/>
  </r>
  <r>
    <s v="Indonesia"/>
    <n v="2020"/>
    <n v="273523.625"/>
    <n v="56.640998840000002"/>
    <n v="92.415349610000007"/>
    <n v="0.85547463349999997"/>
    <n v="5.553871666"/>
    <n v="1.175304087"/>
    <n v="85.667962380000006"/>
    <n v="1.1780912299999999"/>
    <n v="10.61491462"/>
    <n v="2.539031772"/>
    <n v="97.580512069999997"/>
    <n v="0.60850983449999996"/>
    <n v="1.679615139"/>
    <n v="0.13136295880000001"/>
    <s v=""/>
    <s v=""/>
    <s v=""/>
    <s v=""/>
    <n v="92"/>
    <n v="86"/>
    <n v="98"/>
    <s v=""/>
    <s v=""/>
    <s v=""/>
    <s v=""/>
    <x v="3"/>
  </r>
  <r>
    <s v="Iran (Islamic Republic of)"/>
    <n v="2015"/>
    <n v="78492.210940000004"/>
    <n v="73.358001709999996"/>
    <n v="96.806987079999999"/>
    <n v="1.9948915730000001"/>
    <n v="1.126061081"/>
    <n v="7.2060265609999993E-2"/>
    <n v="92.162502649999993"/>
    <n v="4.221624781"/>
    <n v="3.3453963830000002"/>
    <n v="0.27047619049999999"/>
    <n v="98.493760870000003"/>
    <n v="1.186191432"/>
    <n v="0.3200476961"/>
    <n v="0"/>
    <n v="5"/>
    <n v="0.13512985000000127"/>
    <n v="0.33324654600000087"/>
    <n v="3.014517000000012E-2"/>
    <n v="97"/>
    <n v="92"/>
    <n v="98"/>
    <s v=""/>
    <s v=""/>
    <s v=""/>
    <n v="0.30310137600000076"/>
    <x v="6"/>
  </r>
  <r>
    <s v="Iran (Islamic Republic of)"/>
    <n v="2020"/>
    <n v="83992.953129999994"/>
    <n v="75.874000550000005"/>
    <n v="97.482636330000005"/>
    <n v="1.938311229"/>
    <n v="0.51379736310000002"/>
    <n v="6.5255081849999994E-2"/>
    <n v="93.828735379999998"/>
    <n v="4.2979487650000001"/>
    <n v="1.602839669"/>
    <n v="0.27047619049999999"/>
    <n v="98.644486720000003"/>
    <n v="1.1880066709999999"/>
    <n v="0.1675066077"/>
    <n v="0"/>
    <s v=""/>
    <s v=""/>
    <s v=""/>
    <s v=""/>
    <n v="97"/>
    <n v="94"/>
    <n v="99"/>
    <s v=""/>
    <s v=""/>
    <s v=""/>
    <s v=""/>
    <x v="6"/>
  </r>
  <r>
    <s v="Iraq"/>
    <n v="2015"/>
    <n v="35572.269529999998"/>
    <n v="69.920997619999994"/>
    <n v="94.247593300000005"/>
    <n v="1.056676215"/>
    <n v="1.7379110360000001"/>
    <n v="2.9578194500000001"/>
    <n v="84.76271011"/>
    <n v="2.8306169350000001"/>
    <n v="2.77640479"/>
    <n v="9.630268161"/>
    <n v="98.3278526"/>
    <n v="0.29355262310000002"/>
    <n v="1.2911660709999999"/>
    <n v="8.74287017E-2"/>
    <n v="5"/>
    <n v="0.82246198999999931"/>
    <n v="2.0136873339999992"/>
    <n v="0.29617568600000083"/>
    <n v="94"/>
    <n v="85"/>
    <n v="98"/>
    <s v=""/>
    <s v=""/>
    <s v=""/>
    <n v="1.7175116479999983"/>
    <x v="2"/>
  </r>
  <r>
    <s v="Iraq"/>
    <n v="2020"/>
    <n v="40222.503909999999"/>
    <n v="70.892997739999998"/>
    <n v="98.359903250000002"/>
    <n v="0.89216034950000001"/>
    <n v="2.427900808E-6"/>
    <n v="0.74793397129999994"/>
    <n v="94.831146779999997"/>
    <n v="2.5992513389999998"/>
    <n v="0"/>
    <n v="2.5696018770000002"/>
    <n v="99.808731030000004"/>
    <n v="0.19126897000000001"/>
    <n v="0"/>
    <n v="0"/>
    <s v=""/>
    <s v=""/>
    <s v=""/>
    <s v=""/>
    <n v="98"/>
    <n v="95"/>
    <n v="100"/>
    <s v=""/>
    <s v=""/>
    <s v=""/>
    <s v=""/>
    <x v="2"/>
  </r>
  <r>
    <s v="Ireland"/>
    <n v="2015"/>
    <n v="4652.419922"/>
    <n v="62.537998199999997"/>
    <n v="97.372127989999996"/>
    <n v="0"/>
    <n v="2.6278720080000002"/>
    <n v="0"/>
    <n v="98.01681619"/>
    <n v="0"/>
    <n v="1.983183812"/>
    <n v="0"/>
    <n v="96.98594181"/>
    <n v="0"/>
    <n v="3.014058189"/>
    <n v="0"/>
    <n v="5"/>
    <n v="5.5157040000011646E-3"/>
    <n v="2.3620912000001226E-2"/>
    <n v="-1.2111559999993915E-3"/>
    <n v="97"/>
    <n v="98"/>
    <n v="97"/>
    <s v=""/>
    <s v=""/>
    <s v=""/>
    <n v="2.4832068000000616E-2"/>
    <x v="1"/>
  </r>
  <r>
    <s v="Ireland"/>
    <n v="2020"/>
    <n v="4937.7958980000003"/>
    <n v="63.652999880000003"/>
    <n v="97.399706510000001"/>
    <n v="0"/>
    <n v="2.6002934849999999"/>
    <n v="0"/>
    <n v="98.134920750000006"/>
    <n v="0"/>
    <n v="1.8650792469999999"/>
    <n v="0"/>
    <n v="96.979886030000003"/>
    <n v="0"/>
    <n v="3.0201139659999998"/>
    <n v="0"/>
    <s v=""/>
    <s v=""/>
    <s v=""/>
    <s v=""/>
    <n v="97"/>
    <n v="98"/>
    <n v="97"/>
    <s v=""/>
    <s v=""/>
    <s v=""/>
    <s v=""/>
    <x v="1"/>
  </r>
  <r>
    <s v="Isle of Man"/>
    <n v="2015"/>
    <n v="83.232002260000002"/>
    <n v="52.244998930000001"/>
    <n v="99.075000000000003"/>
    <n v="0"/>
    <n v="0.92500000000000004"/>
    <n v="0"/>
    <s v="null"/>
    <s v="null"/>
    <s v="null"/>
    <s v="null"/>
    <s v="null"/>
    <s v="null"/>
    <s v="null"/>
    <s v="null"/>
    <n v="5"/>
    <n v="0"/>
    <s v="null"/>
    <s v="null"/>
    <n v="99"/>
    <s v="null"/>
    <s v="null"/>
    <s v=""/>
    <s v=""/>
    <s v=""/>
    <s v="null"/>
    <x v="1"/>
  </r>
  <r>
    <s v="Isle of Man"/>
    <n v="2020"/>
    <n v="85.031997680000003"/>
    <n v="52.89800262"/>
    <n v="99.075000000000003"/>
    <n v="0"/>
    <n v="0.92500000000000004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1"/>
  </r>
  <r>
    <s v="Israel"/>
    <n v="2015"/>
    <n v="7978.4960940000001"/>
    <n v="92.179000849999994"/>
    <n v="100.0000015"/>
    <n v="0"/>
    <n v="0"/>
    <n v="0"/>
    <n v="100"/>
    <n v="0"/>
    <n v="0"/>
    <n v="0"/>
    <n v="100"/>
    <n v="0"/>
    <n v="0"/>
    <n v="0"/>
    <n v="5"/>
    <n v="-2.999999992425728E-7"/>
    <n v="0"/>
    <n v="0"/>
    <n v="100"/>
    <n v="100"/>
    <n v="100"/>
    <s v="fullaccesss"/>
    <s v="fullaccesss"/>
    <s v="fullaccesss"/>
    <n v="0"/>
    <x v="1"/>
  </r>
  <r>
    <s v="Israel"/>
    <n v="2020"/>
    <n v="8655.5410159999992"/>
    <n v="92.58699799"/>
    <n v="100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Italy"/>
    <n v="2015"/>
    <n v="60578.488279999998"/>
    <n v="69.565002440000001"/>
    <n v="99.91703407"/>
    <n v="0"/>
    <n v="8.2965925910000002E-2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1"/>
  </r>
  <r>
    <s v="Italy"/>
    <n v="2020"/>
    <n v="60461.828130000002"/>
    <n v="71.038993840000003"/>
    <n v="99.91703407"/>
    <n v="0"/>
    <n v="8.2965925910000002E-2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Jamaica"/>
    <n v="2015"/>
    <n v="2891.0239259999998"/>
    <n v="54.833004000000003"/>
    <n v="90.416796289999994"/>
    <n v="5.4073366030000001"/>
    <n v="2.169821217"/>
    <n v="2.006045893"/>
    <n v="84.500709900000004"/>
    <n v="8.4013357529999997"/>
    <n v="3.055395678"/>
    <n v="4.0425586710000001"/>
    <n v="95.289990239999995"/>
    <n v="2.9411220149999999"/>
    <n v="1.440356529"/>
    <n v="0.32853121530000001"/>
    <n v="5"/>
    <n v="0.12262964200000112"/>
    <n v="0.17984045199999912"/>
    <n v="2.1605134000000702E-2"/>
    <n v="90"/>
    <n v="85"/>
    <n v="95"/>
    <s v=""/>
    <s v=""/>
    <s v=""/>
    <n v="0.15823531799999843"/>
    <x v="5"/>
  </r>
  <r>
    <s v="Jamaica"/>
    <n v="2020"/>
    <n v="2961.1608890000002"/>
    <n v="56.311000819999997"/>
    <n v="91.029944499999999"/>
    <n v="5.3675709139999999"/>
    <n v="1.8640102030000001"/>
    <n v="1.7384743789999999"/>
    <n v="85.39991216"/>
    <n v="8.4907373709999998"/>
    <n v="2.5689718949999998"/>
    <n v="3.540378574"/>
    <n v="95.398015909999998"/>
    <n v="2.944456223"/>
    <n v="1.317064322"/>
    <n v="0.34046355"/>
    <s v=""/>
    <s v=""/>
    <s v=""/>
    <s v=""/>
    <n v="91"/>
    <n v="85"/>
    <n v="95"/>
    <s v=""/>
    <s v=""/>
    <s v=""/>
    <s v=""/>
    <x v="5"/>
  </r>
  <r>
    <s v="Japan"/>
    <n v="2015"/>
    <n v="127985.1406"/>
    <n v="91.380996699999997"/>
    <n v="98.922805479999994"/>
    <n v="0"/>
    <n v="1.0771945169999999"/>
    <n v="0"/>
    <s v="null"/>
    <s v="null"/>
    <s v="null"/>
    <s v="null"/>
    <s v="null"/>
    <s v="null"/>
    <s v="null"/>
    <s v="null"/>
    <n v="5"/>
    <n v="3.1221394000002078E-2"/>
    <s v="null"/>
    <s v="null"/>
    <n v="99"/>
    <s v="null"/>
    <s v="null"/>
    <s v=""/>
    <s v=""/>
    <s v=""/>
    <s v="null"/>
    <x v="3"/>
  </r>
  <r>
    <s v="Japan"/>
    <n v="2020"/>
    <n v="126476.46090000001"/>
    <n v="91.781997680000003"/>
    <n v="99.078912450000004"/>
    <n v="0"/>
    <n v="0.92108754670000004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3"/>
  </r>
  <r>
    <s v="Jordan"/>
    <n v="2015"/>
    <n v="9266.5732420000004"/>
    <n v="90.256004329999996"/>
    <n v="99.006784909999993"/>
    <n v="0.15240298360000001"/>
    <n v="0.78123116479999999"/>
    <n v="5.958093834E-2"/>
    <n v="97.362315390000006"/>
    <n v="0.62427255179999996"/>
    <n v="1.973552059"/>
    <n v="3.986E-2"/>
    <n v="99.184316820000006"/>
    <n v="0.10146013550000001"/>
    <n v="0.65251304369999996"/>
    <n v="6.1710000000000001E-2"/>
    <n v="5"/>
    <n v="-1.3296389999999292E-2"/>
    <n v="-1.0167340000000991E-2"/>
    <n v="-1.8220846000002667E-2"/>
    <n v="99"/>
    <n v="97"/>
    <n v="99"/>
    <s v=""/>
    <s v=""/>
    <s v=""/>
    <n v="8.0535060000016759E-3"/>
    <x v="2"/>
  </r>
  <r>
    <s v="Jordan"/>
    <n v="2020"/>
    <n v="10203.139649999999"/>
    <n v="91.417999269999996"/>
    <n v="98.940302959999997"/>
    <n v="0.1462147369"/>
    <n v="0.8536474704"/>
    <n v="5.9834831790000001E-2"/>
    <n v="97.311478690000001"/>
    <n v="0.62394659450000001"/>
    <n v="2.0247147160000001"/>
    <n v="3.986E-2"/>
    <n v="99.093212589999993"/>
    <n v="0.1013669408"/>
    <n v="0.74371047069999996"/>
    <n v="6.1710000000000001E-2"/>
    <s v=""/>
    <s v=""/>
    <s v=""/>
    <s v=""/>
    <n v="99"/>
    <n v="97"/>
    <n v="99"/>
    <s v=""/>
    <s v=""/>
    <s v=""/>
    <s v=""/>
    <x v="2"/>
  </r>
  <r>
    <s v="Kazakhstan"/>
    <n v="2015"/>
    <n v="17572.009770000001"/>
    <n v="57.191001890000003"/>
    <n v="95.025334409999999"/>
    <n v="1.812908425"/>
    <n v="2.9043926519999999"/>
    <n v="0.25736451110000003"/>
    <n v="90.747497839999994"/>
    <n v="1.8667718499999999"/>
    <n v="6.7845377490000001"/>
    <n v="0.60119255559999996"/>
    <n v="98.227409789999996"/>
    <n v="1.7725902060000001"/>
    <n v="0"/>
    <n v="0"/>
    <n v="5"/>
    <n v="8.1927182000001153E-2"/>
    <n v="0.23835090000000037"/>
    <n v="-4.5335692000000448E-2"/>
    <n v="95"/>
    <n v="91"/>
    <n v="98"/>
    <s v=""/>
    <s v=""/>
    <s v=""/>
    <n v="0.28368659200000079"/>
    <x v="1"/>
  </r>
  <r>
    <s v="Kazakhstan"/>
    <n v="2020"/>
    <n v="18776.707030000001"/>
    <n v="57.671001429999997"/>
    <n v="95.434970320000005"/>
    <n v="1.9414250390000001"/>
    <n v="2.5459569339999999"/>
    <n v="7.7647704710000001E-2"/>
    <n v="91.939252339999996"/>
    <n v="1.862616064"/>
    <n v="6.0146930489999999"/>
    <n v="0.18343854379999999"/>
    <n v="98.000731329999994"/>
    <n v="1.999268673"/>
    <n v="0"/>
    <n v="0"/>
    <s v=""/>
    <s v=""/>
    <s v=""/>
    <s v=""/>
    <n v="95"/>
    <n v="92"/>
    <n v="98"/>
    <s v=""/>
    <s v=""/>
    <s v=""/>
    <s v=""/>
    <x v="1"/>
  </r>
  <r>
    <s v="Kenya"/>
    <n v="2015"/>
    <n v="47878.339840000001"/>
    <n v="25.65799904"/>
    <n v="58.196927979999998"/>
    <n v="8.7967539769999998"/>
    <n v="11.522918349999999"/>
    <n v="21.483399689999999"/>
    <n v="48.272161910000001"/>
    <n v="10.37313934"/>
    <n v="14.21683468"/>
    <n v="27.13786408"/>
    <n v="86.953147920000006"/>
    <n v="4.2293042700000001"/>
    <n v="3.7175043830000001"/>
    <n v="5.1000434290000003"/>
    <n v="5"/>
    <n v="0.6871927200000002"/>
    <n v="0.7015634039999995"/>
    <n v="4.4167059999978163E-3"/>
    <n v="58"/>
    <n v="48"/>
    <n v="87"/>
    <s v=""/>
    <s v=""/>
    <s v=""/>
    <n v="0.69714669800000173"/>
    <x v="4"/>
  </r>
  <r>
    <s v="Kenya"/>
    <n v="2020"/>
    <n v="53771.300779999998"/>
    <n v="27.994998930000001"/>
    <n v="61.632891579999999"/>
    <n v="9.54187005"/>
    <n v="9.7800875240000007"/>
    <n v="19.045150840000002"/>
    <n v="51.779978929999999"/>
    <n v="11.569004189999999"/>
    <n v="12.519113219999999"/>
    <n v="24.131903659999999"/>
    <n v="86.975231449999995"/>
    <n v="4.327944725"/>
    <n v="2.7351426299999999"/>
    <n v="5.9616811930000004"/>
    <s v=""/>
    <s v=""/>
    <s v=""/>
    <s v=""/>
    <n v="62"/>
    <n v="52"/>
    <n v="87"/>
    <s v=""/>
    <s v=""/>
    <s v=""/>
    <s v=""/>
    <x v="4"/>
  </r>
  <r>
    <s v="Kiribati"/>
    <n v="2015"/>
    <n v="110.927002"/>
    <n v="51.618999479999999"/>
    <n v="73.848096589999997"/>
    <n v="2.3408915690000001"/>
    <n v="23.811011839999999"/>
    <n v="0"/>
    <n v="57.922252589999999"/>
    <n v="1.6395879280000001"/>
    <n v="40.438159480000003"/>
    <n v="0"/>
    <n v="88.774932000000007"/>
    <n v="2.9982032959999998"/>
    <n v="8.2268647060000006"/>
    <n v="0"/>
    <n v="5"/>
    <n v="0.82456485200000029"/>
    <n v="0.61438646000000008"/>
    <n v="0.55124856999999849"/>
    <n v="74"/>
    <n v="58"/>
    <n v="89"/>
    <s v=""/>
    <s v=""/>
    <s v=""/>
    <n v="6.3137890000001584E-2"/>
    <x v="3"/>
  </r>
  <r>
    <s v="Kiribati"/>
    <n v="2020"/>
    <n v="119.44599909999999"/>
    <n v="55.593997960000003"/>
    <n v="77.970920849999999"/>
    <n v="4.0768996250000002"/>
    <n v="17.952179529999999"/>
    <n v="0"/>
    <n v="60.99418489"/>
    <n v="2.0966097989999999"/>
    <n v="36.909205319999998"/>
    <n v="0"/>
    <n v="91.531174849999999"/>
    <n v="5.6586664610000001"/>
    <n v="2.8101586909999998"/>
    <n v="0"/>
    <s v=""/>
    <s v=""/>
    <s v=""/>
    <s v=""/>
    <n v="78"/>
    <n v="61"/>
    <n v="92"/>
    <s v=""/>
    <s v=""/>
    <s v=""/>
    <s v=""/>
    <x v="3"/>
  </r>
  <r>
    <s v="Kuwait"/>
    <n v="2015"/>
    <n v="3835.5878910000001"/>
    <n v="100"/>
    <n v="100"/>
    <n v="0"/>
    <n v="0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2"/>
  </r>
  <r>
    <s v="Kuwait"/>
    <n v="2020"/>
    <n v="4270.5629879999997"/>
    <n v="100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2"/>
  </r>
  <r>
    <s v="Kyrgyzstan"/>
    <n v="2015"/>
    <n v="5959.1259769999997"/>
    <n v="35.777000430000001"/>
    <n v="88.441761249999999"/>
    <n v="1.7899358359999999"/>
    <n v="2.2480629049999998"/>
    <n v="7.5202400129999996"/>
    <n v="83.105217640000006"/>
    <n v="2.4159736540000001"/>
    <n v="3.3531687830000001"/>
    <n v="11.12563993"/>
    <n v="98.021346449999996"/>
    <n v="0.66614053719999999"/>
    <n v="0.26429650360000001"/>
    <n v="1.04821651"/>
    <n v="5"/>
    <n v="0.65150879400000006"/>
    <n v="0.83064227200000007"/>
    <n v="0.25726917199999944"/>
    <n v="88"/>
    <n v="83"/>
    <n v="98"/>
    <s v=""/>
    <s v=""/>
    <s v=""/>
    <n v="0.57337310000000064"/>
    <x v="1"/>
  </r>
  <r>
    <s v="Kyrgyzstan"/>
    <n v="2020"/>
    <n v="6524.1909180000002"/>
    <n v="36.855998990000003"/>
    <n v="91.699305219999999"/>
    <n v="1.900734111"/>
    <n v="1.8656486999999999"/>
    <n v="4.5343119649999997"/>
    <n v="87.258429000000007"/>
    <n v="2.606070485"/>
    <n v="2.9545936840000002"/>
    <n v="7.1809068319999998"/>
    <n v="99.307692309999993"/>
    <n v="0.6923076923"/>
    <n v="0"/>
    <n v="0"/>
    <s v=""/>
    <s v=""/>
    <s v=""/>
    <s v=""/>
    <n v="92"/>
    <n v="87"/>
    <n v="99"/>
    <s v=""/>
    <s v=""/>
    <s v=""/>
    <s v=""/>
    <x v="1"/>
  </r>
  <r>
    <s v="Lao People's Democratic Republic"/>
    <n v="2015"/>
    <n v="6741.1601559999999"/>
    <n v="33.10799789"/>
    <n v="77.460572209999995"/>
    <n v="3.0523403340000002"/>
    <n v="14.22792235"/>
    <n v="5.2591651080000004"/>
    <n v="70.239686550000002"/>
    <n v="4.1702933629999999"/>
    <n v="18.202221389999998"/>
    <n v="7.3877986939999998"/>
    <n v="92.049779979999997"/>
    <n v="0.79360784900000003"/>
    <n v="6.1981767950000002"/>
    <n v="0.95843537109999999"/>
    <n v="5"/>
    <n v="1.551834194"/>
    <n v="1.6466545739999987"/>
    <n v="1.0028964480000013"/>
    <n v="77"/>
    <n v="70"/>
    <n v="92"/>
    <s v=""/>
    <s v=""/>
    <s v=""/>
    <n v="0.64375812599999738"/>
    <x v="3"/>
  </r>
  <r>
    <s v="Lao People's Democratic Republic"/>
    <n v="2020"/>
    <n v="7275.5561520000001"/>
    <n v="36.290000919999997"/>
    <n v="85.219743179999995"/>
    <n v="3.566857739"/>
    <n v="10.62886799"/>
    <n v="0.58453109380000001"/>
    <n v="78.472959419999995"/>
    <n v="5.5985837859999998"/>
    <n v="15.010969599999999"/>
    <n v="0.91748719570000004"/>
    <n v="97.064262220000003"/>
    <n v="0"/>
    <n v="2.935737778"/>
    <n v="0"/>
    <s v=""/>
    <s v=""/>
    <s v=""/>
    <s v=""/>
    <n v="85"/>
    <n v="78"/>
    <n v="97"/>
    <s v=""/>
    <s v=""/>
    <s v=""/>
    <s v=""/>
    <x v="3"/>
  </r>
  <r>
    <s v="Latvia"/>
    <n v="2015"/>
    <n v="1997.6750489999999"/>
    <n v="67.979995729999999"/>
    <n v="98.525117280000003"/>
    <n v="0.67870742309999998"/>
    <n v="0.79617529310000001"/>
    <n v="0"/>
    <n v="97.854719009999997"/>
    <n v="0"/>
    <n v="2.145280992"/>
    <n v="0"/>
    <n v="98.840893339999994"/>
    <n v="0.99839286199999999"/>
    <n v="0.1607138001"/>
    <n v="0"/>
    <n v="5"/>
    <n v="5.14967740000003E-2"/>
    <n v="0.14490082599999993"/>
    <n v="7.206270000000359E-3"/>
    <n v="99"/>
    <n v="98"/>
    <n v="99"/>
    <s v=""/>
    <s v=""/>
    <s v=""/>
    <n v="0.13769455599999958"/>
    <x v="1"/>
  </r>
  <r>
    <s v="Latvia"/>
    <n v="2020"/>
    <n v="1886.2020259999999"/>
    <n v="68.315002440000001"/>
    <n v="98.782601150000005"/>
    <n v="0.68230074240000005"/>
    <n v="0.53509810369999999"/>
    <n v="0"/>
    <n v="98.579223139999996"/>
    <n v="0"/>
    <n v="1.4207768599999999"/>
    <n v="0"/>
    <n v="98.876924689999996"/>
    <n v="0.99875681510000003"/>
    <n v="0.1243184908"/>
    <n v="0"/>
    <s v=""/>
    <s v=""/>
    <s v=""/>
    <s v=""/>
    <n v="99"/>
    <n v="99"/>
    <n v="99"/>
    <s v=""/>
    <s v=""/>
    <s v=""/>
    <s v=""/>
    <x v="1"/>
  </r>
  <r>
    <s v="Lebanon"/>
    <n v="2015"/>
    <n v="6532.6811520000001"/>
    <n v="88.106002810000007"/>
    <n v="91.224322509999993"/>
    <n v="7.2900646499999997"/>
    <n v="1.3401928400000001"/>
    <n v="0.14541999999999999"/>
    <s v="null"/>
    <s v="null"/>
    <s v="null"/>
    <s v="null"/>
    <s v="null"/>
    <s v="null"/>
    <s v="null"/>
    <s v="null"/>
    <n v="5"/>
    <n v="0.2751354980000002"/>
    <s v="null"/>
    <s v="null"/>
    <n v="91"/>
    <s v="null"/>
    <s v="null"/>
    <s v=""/>
    <s v=""/>
    <s v=""/>
    <s v="null"/>
    <x v="2"/>
  </r>
  <r>
    <s v="Lebanon"/>
    <n v="2020"/>
    <n v="6825.4418949999999"/>
    <n v="88.924995420000002"/>
    <n v="92.6"/>
    <n v="7.4"/>
    <n v="0"/>
    <n v="0"/>
    <s v="null"/>
    <s v="null"/>
    <s v="null"/>
    <s v="null"/>
    <s v="null"/>
    <s v="null"/>
    <s v="null"/>
    <s v="null"/>
    <s v=""/>
    <s v=""/>
    <s v=""/>
    <s v=""/>
    <n v="93"/>
    <s v="null"/>
    <s v="null"/>
    <s v=""/>
    <s v=""/>
    <s v=""/>
    <s v=""/>
    <x v="2"/>
  </r>
  <r>
    <s v="Lesotho"/>
    <n v="2015"/>
    <n v="2059.0109859999998"/>
    <n v="26.908000950000002"/>
    <n v="70.545689400000001"/>
    <n v="10.86331049"/>
    <n v="14.534382900000001"/>
    <n v="4.0566172079999996"/>
    <n v="63.420883150000002"/>
    <n v="13.04933941"/>
    <n v="18.164904929999999"/>
    <n v="5.3648725109999997"/>
    <n v="89.899276139999998"/>
    <n v="4.9252542349999997"/>
    <n v="4.6725536160000001"/>
    <n v="0.50291600700000005"/>
    <n v="5"/>
    <n v="0.32606997400000071"/>
    <n v="4.5894333999999051E-2"/>
    <n v="0.62432648200000074"/>
    <n v="71"/>
    <n v="63"/>
    <n v="90"/>
    <s v=""/>
    <s v=""/>
    <s v=""/>
    <n v="-0.57843214800000164"/>
    <x v="4"/>
  </r>
  <r>
    <s v="Lesotho"/>
    <n v="2020"/>
    <n v="2142.251953"/>
    <n v="29.027999879999999"/>
    <n v="72.176039270000004"/>
    <n v="10.40592597"/>
    <n v="12.21725464"/>
    <n v="5.2007801159999998"/>
    <n v="63.650354819999997"/>
    <n v="13.55843013"/>
    <n v="15.73132479"/>
    <n v="7.0598902539999999"/>
    <n v="93.020908550000001"/>
    <n v="2.698211997"/>
    <n v="3.625530038"/>
    <n v="0.65534941999999996"/>
    <s v=""/>
    <s v=""/>
    <s v=""/>
    <s v=""/>
    <n v="72"/>
    <n v="64"/>
    <n v="93"/>
    <s v=""/>
    <s v=""/>
    <s v=""/>
    <s v=""/>
    <x v="4"/>
  </r>
  <r>
    <s v="Liberia"/>
    <n v="2015"/>
    <n v="4472.2290039999998"/>
    <n v="49.819999690000003"/>
    <n v="72.569791940000002"/>
    <n v="7.3644226789999996"/>
    <n v="6.5372338440000002"/>
    <n v="13.52855154"/>
    <n v="61.263181959999997"/>
    <n v="5.1260422940000003"/>
    <n v="7.5241487850000004"/>
    <n v="26.08662696"/>
    <n v="83.95810401"/>
    <n v="9.6189777050000007"/>
    <n v="5.5431874099999998"/>
    <n v="0.87973087640000003"/>
    <n v="5"/>
    <n v="0.53839992999999997"/>
    <n v="0.56740698600000028"/>
    <n v="0.31400112400000069"/>
    <n v="73"/>
    <n v="61"/>
    <n v="84"/>
    <s v=""/>
    <s v=""/>
    <s v=""/>
    <n v="0.25340586199999959"/>
    <x v="4"/>
  </r>
  <r>
    <s v="Liberia"/>
    <n v="2020"/>
    <n v="5057.6767579999996"/>
    <n v="52.088996889999997"/>
    <n v="75.261791590000001"/>
    <n v="8.7006574749999999"/>
    <n v="3.488080869"/>
    <n v="12.549470060000001"/>
    <n v="64.100216889999999"/>
    <n v="6.5377757970000001"/>
    <n v="3.3837098750000001"/>
    <n v="25.978297439999999"/>
    <n v="85.528109630000003"/>
    <n v="10.69005698"/>
    <n v="3.58408039"/>
    <n v="0.19775300060000001"/>
    <s v=""/>
    <s v=""/>
    <s v=""/>
    <s v=""/>
    <n v="75"/>
    <n v="64"/>
    <n v="86"/>
    <s v=""/>
    <s v=""/>
    <s v=""/>
    <s v=""/>
    <x v="4"/>
  </r>
  <r>
    <s v="Libya"/>
    <n v="2015"/>
    <n v="6418.3149409999996"/>
    <n v="79.270004270000001"/>
    <n v="97.281615160000001"/>
    <n v="0"/>
    <n v="2.7183848410000002"/>
    <n v="0"/>
    <s v="null"/>
    <s v="null"/>
    <s v="null"/>
    <s v="null"/>
    <s v="null"/>
    <s v="null"/>
    <s v="null"/>
    <s v="null"/>
    <n v="5"/>
    <n v="0.52198172800000009"/>
    <s v="null"/>
    <s v="null"/>
    <n v="97"/>
    <s v="null"/>
    <s v="null"/>
    <s v=""/>
    <s v=""/>
    <s v=""/>
    <s v="null"/>
    <x v="4"/>
  </r>
  <r>
    <s v="Libya"/>
    <n v="2020"/>
    <n v="6871.2871089999999"/>
    <n v="80.691001889999995"/>
    <n v="99.891523800000002"/>
    <n v="0"/>
    <n v="0.1084762012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4"/>
  </r>
  <r>
    <s v="Liechtenstein"/>
    <n v="2015"/>
    <n v="37.465000150000002"/>
    <n v="14.303000450000001"/>
    <n v="100"/>
    <n v="0"/>
    <n v="0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1"/>
  </r>
  <r>
    <s v="Liechtenstein"/>
    <n v="2020"/>
    <n v="38.137001040000001"/>
    <n v="14.416000370000001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Lithuania"/>
    <n v="2015"/>
    <n v="2931.8720699999999"/>
    <n v="67.229995729999999"/>
    <n v="96.604138579999997"/>
    <n v="0"/>
    <n v="3.3958614219999999"/>
    <n v="0"/>
    <n v="90.718484410000002"/>
    <n v="0"/>
    <n v="9.2815155889999996"/>
    <n v="0"/>
    <n v="99.472990350000003"/>
    <n v="0"/>
    <n v="0.5270096501"/>
    <n v="0"/>
    <n v="5"/>
    <n v="0.2818417320000009"/>
    <n v="0.61285916399999962"/>
    <n v="0.10540192999999931"/>
    <n v="97"/>
    <n v="91"/>
    <n v="99"/>
    <s v=""/>
    <s v=""/>
    <s v=""/>
    <n v="0.50745723400000031"/>
    <x v="1"/>
  </r>
  <r>
    <s v="Lithuania"/>
    <n v="2020"/>
    <n v="2722.2910160000001"/>
    <n v="68.045997619999994"/>
    <n v="98.013347240000002"/>
    <n v="0"/>
    <n v="1.9866527599999999"/>
    <n v="0"/>
    <n v="93.78278023"/>
    <n v="0"/>
    <n v="6.2172197709999999"/>
    <n v="0"/>
    <n v="100"/>
    <n v="0"/>
    <n v="0"/>
    <n v="0"/>
    <s v=""/>
    <s v=""/>
    <s v=""/>
    <s v=""/>
    <n v="98"/>
    <n v="94"/>
    <n v="100"/>
    <s v=""/>
    <s v=""/>
    <s v=""/>
    <s v=""/>
    <x v="1"/>
  </r>
  <r>
    <s v="Luxembourg"/>
    <n v="2015"/>
    <n v="566.74102779999998"/>
    <n v="90.179000849999994"/>
    <n v="99.925170660000006"/>
    <n v="0"/>
    <n v="7.4829340019999996E-2"/>
    <n v="0"/>
    <n v="99.238095240000007"/>
    <n v="0"/>
    <n v="0.7619047619"/>
    <n v="0"/>
    <n v="100"/>
    <n v="0"/>
    <n v="0"/>
    <n v="0"/>
    <n v="5"/>
    <n v="-9.0476240000015203E-3"/>
    <n v="-0.12857142800000076"/>
    <n v="0"/>
    <n v="100"/>
    <n v="99"/>
    <n v="100"/>
    <s v="fullaccesss"/>
    <s v=""/>
    <s v="fullaccesss"/>
    <n v="-0.12857142800000076"/>
    <x v="1"/>
  </r>
  <r>
    <s v="Luxembourg"/>
    <n v="2020"/>
    <n v="625.97601320000001"/>
    <n v="91.452995299999998"/>
    <n v="99.879932539999999"/>
    <n v="0"/>
    <n v="0.1200674649"/>
    <n v="0"/>
    <n v="98.595238100000003"/>
    <n v="0"/>
    <n v="1.404761905"/>
    <n v="0"/>
    <n v="100"/>
    <n v="0"/>
    <n v="0"/>
    <n v="0"/>
    <s v=""/>
    <s v=""/>
    <s v=""/>
    <s v=""/>
    <n v="100"/>
    <n v="99"/>
    <n v="100"/>
    <s v=""/>
    <s v=""/>
    <s v=""/>
    <s v=""/>
    <x v="1"/>
  </r>
  <r>
    <s v="Madagascar"/>
    <n v="2015"/>
    <n v="24234.08008"/>
    <n v="35.192996979999997"/>
    <n v="48.891773540000003"/>
    <n v="2.6771603800000001"/>
    <n v="30.406736510000002"/>
    <n v="18.024329569999999"/>
    <n v="33.144577730000002"/>
    <n v="1.743479446"/>
    <n v="39.697999690000003"/>
    <n v="25.41394313"/>
    <n v="77.889830720000006"/>
    <n v="4.3965098730000003"/>
    <n v="13.29711369"/>
    <n v="4.4165457190000001"/>
    <n v="5"/>
    <n v="0.89882227399999981"/>
    <n v="0.6523685099999994"/>
    <n v="0.51603524399999967"/>
    <n v="49"/>
    <n v="33"/>
    <n v="78"/>
    <s v=""/>
    <s v=""/>
    <s v=""/>
    <n v="0.13633326599999973"/>
    <x v="4"/>
  </r>
  <r>
    <s v="Madagascar"/>
    <n v="2020"/>
    <n v="27691.019530000001"/>
    <n v="38.534000399999996"/>
    <n v="53.385884910000001"/>
    <n v="2.7179729799999999"/>
    <n v="32.311459669999998"/>
    <n v="11.58468244"/>
    <n v="36.406420279999999"/>
    <n v="1.601776163"/>
    <n v="43.953893450000002"/>
    <n v="18.037910109999999"/>
    <n v="80.470006940000005"/>
    <n v="4.4984302979999997"/>
    <n v="13.74049434"/>
    <n v="1.291068417"/>
    <s v=""/>
    <s v=""/>
    <s v=""/>
    <s v=""/>
    <n v="53"/>
    <n v="36"/>
    <n v="80"/>
    <s v=""/>
    <s v=""/>
    <s v=""/>
    <s v=""/>
    <x v="4"/>
  </r>
  <r>
    <s v="Malawi"/>
    <n v="2015"/>
    <n v="16745.304690000001"/>
    <n v="16.312999730000001"/>
    <n v="66.154959140000003"/>
    <n v="19.716038309999998"/>
    <n v="10.55451427"/>
    <n v="3.5744882769999999"/>
    <n v="62.240608639999998"/>
    <n v="21.69810966"/>
    <n v="11.875220280000001"/>
    <n v="4.186061413"/>
    <n v="86.235879850000003"/>
    <n v="9.5478494880000007"/>
    <n v="3.7792023349999999"/>
    <n v="0.43706832449999999"/>
    <n v="5"/>
    <n v="0.77855387399999931"/>
    <n v="0.8688870240000014"/>
    <n v="4.3763672000000045E-2"/>
    <n v="66"/>
    <n v="62"/>
    <n v="86"/>
    <s v=""/>
    <s v=""/>
    <s v=""/>
    <n v="0.82512335200000131"/>
    <x v="4"/>
  </r>
  <r>
    <s v="Malawi"/>
    <n v="2020"/>
    <n v="19129.95508"/>
    <n v="17.42700005"/>
    <n v="70.047728509999999"/>
    <n v="21.95081497"/>
    <n v="5.7763044069999996"/>
    <n v="2.2251521099999998"/>
    <n v="66.585043760000005"/>
    <n v="24.414158029999999"/>
    <n v="6.3838741460000001"/>
    <n v="2.6169240660000002"/>
    <n v="86.454698210000004"/>
    <n v="10.278948249999999"/>
    <n v="2.8975039960000002"/>
    <n v="0.36884954460000002"/>
    <s v=""/>
    <s v=""/>
    <s v=""/>
    <s v=""/>
    <n v="70"/>
    <n v="67"/>
    <n v="86"/>
    <s v=""/>
    <s v=""/>
    <s v=""/>
    <s v=""/>
    <x v="4"/>
  </r>
  <r>
    <s v="Malaysia"/>
    <n v="2015"/>
    <n v="30270.964840000001"/>
    <n v="74.212997439999995"/>
    <n v="97.052202559999998"/>
    <n v="0.36300550040000001"/>
    <n v="2.584791939"/>
    <s v="null"/>
    <n v="90.918309219999998"/>
    <n v="0.54880267140000005"/>
    <n v="8.5328881049999996"/>
    <s v="null"/>
    <n v="99.183566049999996"/>
    <n v="0.29844603629999999"/>
    <n v="0.427987911"/>
    <n v="0.09"/>
    <n v="5"/>
    <n v="9.5409020000005278E-3"/>
    <n v="-0.14417221999999869"/>
    <n v="-8.0940279999992988E-3"/>
    <n v="97"/>
    <n v="91"/>
    <n v="99"/>
    <s v=""/>
    <s v=""/>
    <s v=""/>
    <n v="-0.13607819199999938"/>
    <x v="6"/>
  </r>
  <r>
    <s v="Malaysia"/>
    <n v="2020"/>
    <n v="32365.998049999998"/>
    <n v="77.159996030000002"/>
    <n v="97.09990707"/>
    <n v="0.35453968650000001"/>
    <n v="2.5455532409999999"/>
    <s v="null"/>
    <n v="90.197448120000004"/>
    <n v="0.54445139710000001"/>
    <n v="9.2581004779999994"/>
    <s v="null"/>
    <n v="99.14309591"/>
    <n v="0.29832426049999999"/>
    <n v="0.46857983190000002"/>
    <n v="0.09"/>
    <s v=""/>
    <s v=""/>
    <s v=""/>
    <s v=""/>
    <n v="97"/>
    <n v="90"/>
    <n v="99"/>
    <s v=""/>
    <s v=""/>
    <s v=""/>
    <s v=""/>
    <x v="6"/>
  </r>
  <r>
    <s v="Maldives"/>
    <n v="2015"/>
    <n v="454.91400149999998"/>
    <n v="38.528999329999998"/>
    <n v="98.814244290000005"/>
    <n v="0.11215787989999999"/>
    <n v="1.0735978349999999"/>
    <n v="0"/>
    <n v="98.879699270000003"/>
    <n v="0.16698528160000001"/>
    <n v="0.95331545299999998"/>
    <n v="0"/>
    <n v="98.709805689999996"/>
    <n v="2.4683622329999998E-2"/>
    <n v="1.265510688"/>
    <n v="0"/>
    <n v="5"/>
    <n v="0.14603886200000032"/>
    <n v="0.2078626459999981"/>
    <n v="5.7636648000001858E-2"/>
    <n v="99"/>
    <n v="99"/>
    <n v="99"/>
    <s v=""/>
    <s v=""/>
    <s v=""/>
    <n v="0.15022599799999625"/>
    <x v="6"/>
  </r>
  <r>
    <s v="Maldives"/>
    <n v="2020"/>
    <n v="540.54199219999998"/>
    <n v="40.668998719999998"/>
    <n v="99.544438600000007"/>
    <n v="4.8050691299999997E-2"/>
    <n v="0.40751070499999997"/>
    <n v="0"/>
    <n v="99.919012499999994"/>
    <n v="8.0987500000000004E-2"/>
    <n v="0"/>
    <n v="0"/>
    <n v="98.997988930000005"/>
    <n v="0"/>
    <n v="1.0020110689999999"/>
    <n v="0"/>
    <s v=""/>
    <s v=""/>
    <s v=""/>
    <s v=""/>
    <n v="100"/>
    <n v="100"/>
    <n v="99"/>
    <s v=""/>
    <s v=""/>
    <s v=""/>
    <s v=""/>
    <x v="6"/>
  </r>
  <r>
    <s v="Mali"/>
    <n v="2015"/>
    <n v="17438.771479999999"/>
    <n v="39.990997309999997"/>
    <n v="74.399512220000005"/>
    <n v="4.1718464529999997"/>
    <n v="19.37992934"/>
    <n v="2.0487119809999998"/>
    <n v="63.395714030000001"/>
    <n v="4.4493824149999996"/>
    <n v="28.94484164"/>
    <n v="3.2100619199999998"/>
    <n v="90.911405529999996"/>
    <n v="3.7553866569999999"/>
    <n v="5.0271739789999996"/>
    <n v="0.306033834"/>
    <n v="5"/>
    <n v="1.6295557619999983"/>
    <n v="1.7370362359999987"/>
    <n v="1.0012098440000017"/>
    <n v="74"/>
    <n v="63"/>
    <n v="91"/>
    <s v=""/>
    <s v=""/>
    <s v=""/>
    <n v="0.735826391999997"/>
    <x v="4"/>
  </r>
  <r>
    <s v="Mali"/>
    <n v="2020"/>
    <n v="20250.833979999999"/>
    <n v="43.909004209999999"/>
    <n v="82.547291029999997"/>
    <n v="3.8547345270000002"/>
    <n v="12.246971350000001"/>
    <n v="1.3510030900000001"/>
    <n v="72.080895209999994"/>
    <n v="3.7824122299999998"/>
    <n v="21.72810084"/>
    <n v="2.4085917170000002"/>
    <n v="95.917454750000005"/>
    <n v="3.947121723"/>
    <n v="0.13542353139999999"/>
    <n v="0"/>
    <s v=""/>
    <s v=""/>
    <s v=""/>
    <s v=""/>
    <n v="83"/>
    <n v="72"/>
    <n v="96"/>
    <s v=""/>
    <s v=""/>
    <s v=""/>
    <s v=""/>
    <x v="4"/>
  </r>
  <r>
    <s v="Malta"/>
    <n v="2015"/>
    <n v="433.55899049999999"/>
    <n v="94.414001459999994"/>
    <n v="100"/>
    <n v="0"/>
    <n v="0"/>
    <n v="0"/>
    <n v="100"/>
    <n v="0"/>
    <n v="0"/>
    <n v="0"/>
    <n v="100"/>
    <n v="0"/>
    <n v="0"/>
    <n v="0"/>
    <n v="5"/>
    <n v="8.0000000934887789E-8"/>
    <n v="0"/>
    <n v="0"/>
    <n v="100"/>
    <n v="100"/>
    <n v="100"/>
    <s v="fullaccesss"/>
    <s v="fullaccesss"/>
    <s v="fullaccesss"/>
    <n v="0"/>
    <x v="1"/>
  </r>
  <r>
    <s v="Malta"/>
    <n v="2020"/>
    <n v="441.53900149999998"/>
    <n v="94.744003300000003"/>
    <n v="100.0000004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Marshall Islands"/>
    <n v="2015"/>
    <n v="57.444000240000001"/>
    <n v="75.810997009999994"/>
    <n v="88.342523619999994"/>
    <n v="11.18141559"/>
    <n v="0.47606079179999999"/>
    <n v="0"/>
    <n v="94.278360000000006"/>
    <n v="5.38164"/>
    <n v="0.34"/>
    <n v="0"/>
    <n v="86.448577369999995"/>
    <n v="13.03194895"/>
    <n v="0.51947368419999995"/>
    <n v="0"/>
    <n v="5"/>
    <n v="4.5904672000000347E-2"/>
    <n v="3.0271999999999365E-2"/>
    <n v="9.0284526000002072E-2"/>
    <n v="88"/>
    <n v="94"/>
    <n v="86"/>
    <s v=""/>
    <s v=""/>
    <s v=""/>
    <n v="-6.0012526000002703E-2"/>
    <x v="3"/>
  </r>
  <r>
    <s v="Marshall Islands"/>
    <n v="2020"/>
    <n v="59.194000240000001"/>
    <n v="77.793991090000006"/>
    <n v="88.572046979999996"/>
    <n v="11.387979"/>
    <n v="3.9974025849999997E-2"/>
    <n v="0"/>
    <n v="94.429720000000003"/>
    <n v="5.3902799999999997"/>
    <n v="0.18"/>
    <n v="0"/>
    <n v="86.9"/>
    <n v="13.1"/>
    <n v="0"/>
    <n v="0"/>
    <s v=""/>
    <s v=""/>
    <s v=""/>
    <s v=""/>
    <n v="89"/>
    <n v="94"/>
    <n v="87"/>
    <s v=""/>
    <s v=""/>
    <s v=""/>
    <s v=""/>
    <x v="3"/>
  </r>
  <r>
    <s v="Martinique"/>
    <n v="2015"/>
    <n v="378.48300169999999"/>
    <n v="88.981002810000007"/>
    <n v="99.796030000000002"/>
    <n v="0"/>
    <n v="0.20396999539999999"/>
    <n v="0"/>
    <s v="null"/>
    <s v="null"/>
    <s v="null"/>
    <s v="null"/>
    <s v="null"/>
    <s v="null"/>
    <s v="null"/>
    <s v="null"/>
    <n v="5"/>
    <n v="9.1881559999990262E-3"/>
    <s v="null"/>
    <s v="null"/>
    <n v="100"/>
    <s v="null"/>
    <s v="null"/>
    <s v="fullaccesss"/>
    <s v=""/>
    <s v=""/>
    <s v="null"/>
    <x v="5"/>
  </r>
  <r>
    <s v="Martinique"/>
    <n v="2020"/>
    <n v="375.26501459999997"/>
    <n v="89.13999939"/>
    <n v="99.841970779999997"/>
    <n v="0"/>
    <n v="0.15802921580000001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5"/>
  </r>
  <r>
    <s v="Mauritania"/>
    <n v="2015"/>
    <n v="4046.3039549999999"/>
    <n v="51.0890007"/>
    <n v="66.973309400000005"/>
    <n v="14.811653570000001"/>
    <n v="17.637023750000001"/>
    <n v="0.57801328240000005"/>
    <n v="46.69284218"/>
    <n v="18.20063085"/>
    <n v="33.924761500000002"/>
    <n v="1.1817654639999999"/>
    <n v="86.389188590000003"/>
    <n v="11.56715369"/>
    <n v="2.043657719"/>
    <n v="0"/>
    <n v="5"/>
    <n v="0.94154796599999879"/>
    <n v="0.64369934399999951"/>
    <n v="0.57390121199999844"/>
    <n v="67"/>
    <n v="47"/>
    <n v="86"/>
    <s v=""/>
    <s v=""/>
    <s v=""/>
    <n v="6.9798132000001067E-2"/>
    <x v="4"/>
  </r>
  <r>
    <s v="Mauritania"/>
    <n v="2020"/>
    <n v="4649.6601559999999"/>
    <n v="55.326995850000003"/>
    <n v="71.681049229999999"/>
    <n v="13.476891930000001"/>
    <n v="14.820326809999999"/>
    <n v="2.173203433E-2"/>
    <n v="49.911338899999997"/>
    <n v="18.49039689"/>
    <n v="31.549617300000001"/>
    <n v="4.8646907220000001E-2"/>
    <n v="89.258694649999995"/>
    <n v="9.4288080829999998"/>
    <n v="1.3124972699999999"/>
    <n v="0"/>
    <s v=""/>
    <s v=""/>
    <s v=""/>
    <s v=""/>
    <n v="72"/>
    <n v="50"/>
    <n v="89"/>
    <s v=""/>
    <s v=""/>
    <s v=""/>
    <s v=""/>
    <x v="4"/>
  </r>
  <r>
    <s v="Mauritius"/>
    <n v="2015"/>
    <n v="1259.4570309999999"/>
    <n v="41"/>
    <n v="99.866481820000004"/>
    <n v="0"/>
    <n v="0.13351818090000001"/>
    <n v="0"/>
    <n v="99.827682339999996"/>
    <n v="0"/>
    <n v="0.17231766179999999"/>
    <n v="0"/>
    <n v="99.922315220000002"/>
    <n v="0"/>
    <n v="7.7684781189999996E-2"/>
    <n v="0"/>
    <n v="5"/>
    <n v="-4.5424000001048624E-5"/>
    <n v="0"/>
    <n v="0"/>
    <n v="100"/>
    <n v="100"/>
    <n v="100"/>
    <s v="fullaccesss"/>
    <s v="fullaccesss"/>
    <s v="fullaccesss"/>
    <n v="0"/>
    <x v="4"/>
  </r>
  <r>
    <s v="Mauritius"/>
    <n v="2020"/>
    <n v="1271.7669679999999"/>
    <n v="40.759998320000001"/>
    <n v="99.866254699999999"/>
    <n v="0"/>
    <n v="0.13374530139999999"/>
    <n v="0"/>
    <n v="99.827682339999996"/>
    <n v="0"/>
    <n v="0.17231766179999999"/>
    <n v="0"/>
    <n v="99.922315220000002"/>
    <n v="0"/>
    <n v="7.7684781189999996E-2"/>
    <n v="0"/>
    <s v=""/>
    <s v=""/>
    <s v=""/>
    <s v=""/>
    <n v="100"/>
    <n v="100"/>
    <n v="100"/>
    <s v=""/>
    <s v=""/>
    <s v=""/>
    <s v=""/>
    <x v="4"/>
  </r>
  <r>
    <s v="Mayotte"/>
    <n v="2015"/>
    <n v="240.01100159999999"/>
    <n v="46.989002229999997"/>
    <n v="96.837811279999997"/>
    <n v="0"/>
    <n v="0.28201846689999999"/>
    <n v="2.880170256"/>
    <s v="null"/>
    <s v="null"/>
    <s v="null"/>
    <s v="null"/>
    <s v="null"/>
    <s v="null"/>
    <s v="null"/>
    <s v="null"/>
    <n v="5"/>
    <n v="-9.3326313999997981E-2"/>
    <s v="null"/>
    <s v="null"/>
    <n v="97"/>
    <s v="null"/>
    <s v="null"/>
    <s v=""/>
    <s v=""/>
    <s v=""/>
    <s v="null"/>
    <x v="4"/>
  </r>
  <r>
    <s v="Mayotte"/>
    <n v="2020"/>
    <n v="272.81298829999997"/>
    <n v="45.750999450000002"/>
    <n v="96.371179710000007"/>
    <n v="0"/>
    <n v="3.6288202950000001"/>
    <s v="null"/>
    <s v="null"/>
    <s v="null"/>
    <s v="null"/>
    <s v="null"/>
    <s v="null"/>
    <s v="null"/>
    <s v="null"/>
    <s v="null"/>
    <s v=""/>
    <s v=""/>
    <s v=""/>
    <s v=""/>
    <n v="96"/>
    <s v="null"/>
    <s v="null"/>
    <s v=""/>
    <s v=""/>
    <s v=""/>
    <s v=""/>
    <x v="4"/>
  </r>
  <r>
    <s v="Mexico"/>
    <n v="2015"/>
    <n v="121858.25"/>
    <n v="79.284996030000002"/>
    <n v="98.025443539999998"/>
    <n v="0"/>
    <n v="1.4123609640000001"/>
    <n v="0.56219549209999997"/>
    <n v="93.286694030000007"/>
    <n v="0"/>
    <n v="4.3109388519999996"/>
    <n v="2.4023671210000002"/>
    <n v="99.263552899999993"/>
    <n v="0"/>
    <n v="0.65503800599999995"/>
    <n v="8.140909465E-2"/>
    <n v="5"/>
    <n v="0.33082494800000006"/>
    <n v="1.0100749799999988"/>
    <n v="0.14728942000000131"/>
    <n v="98"/>
    <n v="93"/>
    <n v="99"/>
    <s v=""/>
    <s v=""/>
    <s v=""/>
    <n v="0.86278555999999751"/>
    <x v="5"/>
  </r>
  <r>
    <s v="Mexico"/>
    <n v="2020"/>
    <n v="128932.75"/>
    <n v="80.730995179999994"/>
    <n v="99.679568279999998"/>
    <n v="0"/>
    <n v="0.3204317169"/>
    <n v="0"/>
    <n v="98.337068930000001"/>
    <n v="0"/>
    <n v="1.6629310669999999"/>
    <n v="0"/>
    <n v="100"/>
    <n v="0"/>
    <n v="0"/>
    <n v="0"/>
    <s v=""/>
    <s v=""/>
    <s v=""/>
    <s v=""/>
    <n v="100"/>
    <n v="98"/>
    <n v="100"/>
    <s v=""/>
    <s v=""/>
    <s v=""/>
    <s v=""/>
    <x v="5"/>
  </r>
  <r>
    <s v="Micronesia (Federated States of)"/>
    <n v="2015"/>
    <n v="108.8860016"/>
    <n v="22.455999370000001"/>
    <n v="88.308156679999996"/>
    <n v="0"/>
    <n v="11.69184332"/>
    <s v="null"/>
    <s v="null"/>
    <s v="null"/>
    <s v="null"/>
    <s v="null"/>
    <s v="null"/>
    <s v="null"/>
    <s v="null"/>
    <s v="null"/>
    <n v="4"/>
    <n v="0"/>
    <s v="null"/>
    <s v="null"/>
    <n v="88"/>
    <s v="null"/>
    <s v="null"/>
    <s v=""/>
    <s v=""/>
    <s v=""/>
    <s v="null"/>
    <x v="3"/>
  </r>
  <r>
    <s v="Micronesia (Federated States of)"/>
    <n v="2019"/>
    <n v="113.810997"/>
    <n v="22.812000269999999"/>
    <n v="88.308156679999996"/>
    <n v="0"/>
    <n v="11.69184332"/>
    <s v="null"/>
    <s v="null"/>
    <s v="null"/>
    <s v="null"/>
    <s v="null"/>
    <s v="null"/>
    <s v="null"/>
    <s v="null"/>
    <s v="null"/>
    <s v=""/>
    <s v=""/>
    <s v=""/>
    <s v=""/>
    <n v="88"/>
    <s v="null"/>
    <s v="null"/>
    <s v=""/>
    <s v=""/>
    <s v=""/>
    <s v=""/>
    <x v="3"/>
  </r>
  <r>
    <s v="Monaco"/>
    <n v="2015"/>
    <n v="37.722999569999999"/>
    <n v="100"/>
    <n v="100"/>
    <n v="0"/>
    <n v="0"/>
    <n v="0"/>
    <s v="null"/>
    <s v="null"/>
    <s v="null"/>
    <s v="null"/>
    <n v="100"/>
    <n v="0"/>
    <n v="0"/>
    <n v="0"/>
    <n v="5"/>
    <n v="0"/>
    <s v="null"/>
    <n v="0"/>
    <n v="100"/>
    <s v="null"/>
    <n v="100"/>
    <s v="fullaccesss"/>
    <s v=""/>
    <s v="fullaccesss"/>
    <s v="null"/>
    <x v="1"/>
  </r>
  <r>
    <s v="Monaco"/>
    <n v="2020"/>
    <n v="39.243999479999999"/>
    <n v="100"/>
    <n v="100"/>
    <n v="0"/>
    <n v="0"/>
    <n v="0"/>
    <s v="null"/>
    <s v="null"/>
    <s v="null"/>
    <s v="null"/>
    <n v="100"/>
    <n v="0"/>
    <n v="0"/>
    <n v="0"/>
    <s v=""/>
    <s v=""/>
    <s v=""/>
    <s v=""/>
    <n v="100"/>
    <s v="null"/>
    <n v="100"/>
    <s v=""/>
    <s v=""/>
    <s v=""/>
    <s v=""/>
    <x v="1"/>
  </r>
  <r>
    <s v="Mongolia"/>
    <n v="2015"/>
    <n v="2998.4331050000001"/>
    <n v="68.229995729999999"/>
    <n v="80.813012090000001"/>
    <n v="3.905181378"/>
    <n v="7.5786445809999998"/>
    <n v="7.7031619500000001"/>
    <n v="52.093888010000001"/>
    <n v="5.3335891499999999"/>
    <n v="18.718643360000002"/>
    <n v="23.85387948"/>
    <n v="94.185527239999999"/>
    <n v="3.240070405"/>
    <n v="2.3915155440000002"/>
    <n v="0.1828868106"/>
    <n v="5"/>
    <n v="0.93652263600000085"/>
    <n v="1.7953726259999996"/>
    <n v="0.4920876679999992"/>
    <n v="81"/>
    <n v="52"/>
    <n v="94"/>
    <s v=""/>
    <s v=""/>
    <s v=""/>
    <n v="1.3032849580000003"/>
    <x v="3"/>
  </r>
  <r>
    <s v="Mongolia"/>
    <n v="2020"/>
    <n v="3278.2919919999999"/>
    <n v="68.656997680000003"/>
    <n v="85.495625270000005"/>
    <n v="2.1464289299999999"/>
    <n v="6.6333667140000001"/>
    <n v="5.7245790809999999"/>
    <n v="61.070751139999999"/>
    <n v="3.0841705720000001"/>
    <n v="17.580781160000001"/>
    <n v="18.264297129999999"/>
    <n v="96.645965579999995"/>
    <n v="1.718335079"/>
    <n v="1.635699341"/>
    <n v="0"/>
    <s v=""/>
    <s v=""/>
    <s v=""/>
    <s v=""/>
    <n v="85"/>
    <n v="61"/>
    <n v="97"/>
    <s v=""/>
    <s v=""/>
    <s v=""/>
    <s v=""/>
    <x v="3"/>
  </r>
  <r>
    <s v="Montenegro"/>
    <n v="2015"/>
    <n v="626.9569702"/>
    <n v="65.805999760000006"/>
    <n v="97.391295369999995"/>
    <n v="1.68690191"/>
    <n v="0.88144584619999999"/>
    <n v="4.035686954E-2"/>
    <n v="95.96066218"/>
    <n v="1.539303155"/>
    <n v="2.3820114100000001"/>
    <n v="0.1180232558"/>
    <n v="98.134678449999996"/>
    <n v="1.763596913"/>
    <n v="0.10172463599999999"/>
    <n v="0"/>
    <n v="5"/>
    <n v="0.29312423000000082"/>
    <n v="0.44024507199999902"/>
    <n v="0.21141222800000037"/>
    <n v="97"/>
    <n v="96"/>
    <n v="98"/>
    <s v=""/>
    <s v=""/>
    <s v=""/>
    <n v="0.22883284399999865"/>
    <x v="1"/>
  </r>
  <r>
    <s v="Montenegro"/>
    <n v="2020"/>
    <n v="628.06201169999997"/>
    <n v="67.488006589999998"/>
    <n v="98.856916519999999"/>
    <n v="0.54547882039999995"/>
    <n v="0.59231201099999997"/>
    <n v="5.2926508940000002E-3"/>
    <n v="98.161887539999995"/>
    <n v="0"/>
    <n v="1.821833386"/>
    <n v="1.6279069770000001E-2"/>
    <n v="99.191739589999997"/>
    <n v="0.80826041280000005"/>
    <n v="0"/>
    <n v="0"/>
    <s v=""/>
    <s v=""/>
    <s v=""/>
    <s v=""/>
    <n v="99"/>
    <n v="98"/>
    <n v="99"/>
    <s v=""/>
    <s v=""/>
    <s v=""/>
    <s v=""/>
    <x v="1"/>
  </r>
  <r>
    <s v="Montserrat"/>
    <n v="2015"/>
    <n v="4.9660000799999997"/>
    <n v="9.0410003660000005"/>
    <n v="98.070820560000001"/>
    <n v="0"/>
    <n v="1.9291794390000001"/>
    <n v="0"/>
    <s v="null"/>
    <s v="null"/>
    <s v="null"/>
    <s v="null"/>
    <s v="null"/>
    <s v="null"/>
    <s v="null"/>
    <s v="null"/>
    <n v="5"/>
    <n v="1.3324119999992945E-3"/>
    <s v="null"/>
    <s v="null"/>
    <n v="98"/>
    <s v="null"/>
    <s v="null"/>
    <s v=""/>
    <s v=""/>
    <s v=""/>
    <s v="null"/>
    <x v="5"/>
  </r>
  <r>
    <s v="Montserrat"/>
    <n v="2020"/>
    <n v="4.9990000720000003"/>
    <n v="9.1149997710000008"/>
    <n v="98.077482619999998"/>
    <n v="0"/>
    <n v="1.922517378"/>
    <n v="0"/>
    <s v="null"/>
    <s v="null"/>
    <s v="null"/>
    <s v="null"/>
    <s v="null"/>
    <s v="null"/>
    <s v="null"/>
    <s v="null"/>
    <s v=""/>
    <s v=""/>
    <s v=""/>
    <s v=""/>
    <n v="98"/>
    <s v="null"/>
    <s v="null"/>
    <s v=""/>
    <s v=""/>
    <s v=""/>
    <s v=""/>
    <x v="5"/>
  </r>
  <r>
    <s v="Morocco"/>
    <n v="2015"/>
    <n v="34663.609380000002"/>
    <n v="60.808998109999997"/>
    <n v="83.75113288"/>
    <n v="5.9371884149999996"/>
    <n v="8.5178818580000009"/>
    <n v="1.793796851"/>
    <n v="64.172528740000004"/>
    <n v="12.25581871"/>
    <n v="19.029579640000001"/>
    <n v="4.5420729140000002"/>
    <n v="96.369415020000005"/>
    <n v="1.864872571"/>
    <n v="1.743161481"/>
    <n v="2.255092798E-2"/>
    <n v="5"/>
    <n v="1.3302423599999997"/>
    <n v="2.6347200439999994"/>
    <n v="0.30546619799999919"/>
    <n v="84"/>
    <n v="64"/>
    <n v="96"/>
    <s v=""/>
    <s v=""/>
    <s v=""/>
    <n v="2.3292538460000003"/>
    <x v="2"/>
  </r>
  <r>
    <s v="Morocco"/>
    <n v="2020"/>
    <n v="36910.558590000001"/>
    <n v="63.531997680000003"/>
    <n v="90.402344679999999"/>
    <n v="5.2635496010000002"/>
    <n v="2.8776725000000001"/>
    <n v="1.456433219"/>
    <n v="77.346128960000001"/>
    <n v="12.03707816"/>
    <n v="6.6230633729999999"/>
    <n v="3.9937295019999999"/>
    <n v="97.896746010000001"/>
    <n v="1.375477117"/>
    <n v="0.72777687589999995"/>
    <n v="0"/>
    <s v=""/>
    <s v=""/>
    <s v=""/>
    <s v=""/>
    <n v="90"/>
    <n v="77"/>
    <n v="98"/>
    <s v=""/>
    <s v=""/>
    <s v=""/>
    <s v=""/>
    <x v="2"/>
  </r>
  <r>
    <s v="Mozambique"/>
    <n v="2015"/>
    <n v="27042.001950000002"/>
    <n v="34.400001529999997"/>
    <n v="51.176175209999997"/>
    <n v="10.3714084"/>
    <n v="26.513493149999999"/>
    <n v="11.938923239999999"/>
    <n v="35.97137876"/>
    <n v="12.36707992"/>
    <n v="34.814873949999999"/>
    <n v="16.846667360000001"/>
    <n v="80.171365829999999"/>
    <n v="6.5657095710000002"/>
    <n v="10.68295442"/>
    <n v="2.5799701810000002"/>
    <n v="5"/>
    <n v="2.4386500840000012"/>
    <n v="2.5790615479999999"/>
    <n v="1.5627364180000001"/>
    <n v="51"/>
    <n v="36"/>
    <n v="80"/>
    <s v=""/>
    <s v=""/>
    <s v=""/>
    <n v="1.0163251299999998"/>
    <x v="4"/>
  </r>
  <r>
    <s v="Mozambique"/>
    <n v="2020"/>
    <n v="31255.435549999998"/>
    <n v="37.073997499999997"/>
    <n v="63.369425630000002"/>
    <n v="9.9757845070000002"/>
    <n v="16.726145110000001"/>
    <n v="9.9286447590000009"/>
    <n v="48.8666865"/>
    <n v="12.64088359"/>
    <n v="23.686256400000001"/>
    <n v="14.80617352"/>
    <n v="87.98504792"/>
    <n v="5.4522910270000002"/>
    <n v="4.9126846439999996"/>
    <n v="1.649976404"/>
    <s v=""/>
    <s v=""/>
    <s v=""/>
    <s v=""/>
    <n v="63"/>
    <n v="49"/>
    <n v="88"/>
    <s v=""/>
    <s v=""/>
    <s v=""/>
    <s v=""/>
    <x v="4"/>
  </r>
  <r>
    <s v="Myanmar"/>
    <n v="2015"/>
    <n v="52680.722659999999"/>
    <n v="29.857999800000002"/>
    <n v="73.587470499999995"/>
    <n v="6.8355322689999998"/>
    <n v="8.269037119"/>
    <n v="11.30796011"/>
    <n v="67.249613539999999"/>
    <n v="8.0422803540000007"/>
    <n v="10.1459869"/>
    <n v="14.562119210000001"/>
    <n v="88.476276290000001"/>
    <n v="4.0006563789999996"/>
    <n v="3.859732696"/>
    <n v="3.6633346320000002"/>
    <n v="5"/>
    <n v="2.0261442820000015"/>
    <n v="2.2345902300000007"/>
    <n v="1.3903219540000009"/>
    <n v="74"/>
    <n v="67"/>
    <n v="88"/>
    <s v=""/>
    <s v=""/>
    <s v=""/>
    <n v="0.84426827599999976"/>
    <x v="3"/>
  </r>
  <r>
    <s v="Myanmar"/>
    <n v="2020"/>
    <n v="54409.792970000002"/>
    <n v="31.14100075"/>
    <n v="83.718191910000002"/>
    <n v="1.595436949"/>
    <n v="5.1094247800000003"/>
    <n v="9.5769463619999993"/>
    <n v="78.422564690000002"/>
    <n v="2.3169621419999999"/>
    <n v="6.5923936940000001"/>
    <n v="12.66807947"/>
    <n v="95.427886060000006"/>
    <n v="0"/>
    <n v="1.8302830059999999"/>
    <n v="2.741830931"/>
    <s v=""/>
    <s v=""/>
    <s v=""/>
    <s v=""/>
    <n v="84"/>
    <n v="78"/>
    <n v="95"/>
    <s v=""/>
    <s v=""/>
    <s v=""/>
    <s v=""/>
    <x v="3"/>
  </r>
  <r>
    <s v="Namibia"/>
    <n v="2015"/>
    <n v="2314.9008789999998"/>
    <n v="46.90000534"/>
    <n v="82.524135150000006"/>
    <n v="7.2754761539999997"/>
    <n v="4.4164614110000002"/>
    <n v="5.7839272810000004"/>
    <n v="70.141031380000001"/>
    <n v="11.72007222"/>
    <n v="7.6143896370000004"/>
    <n v="10.52450676"/>
    <n v="96.544235619999995"/>
    <n v="2.2433222979999998"/>
    <n v="0.79577988889999995"/>
    <n v="0.41666219110000002"/>
    <n v="5"/>
    <n v="0.34918022599999859"/>
    <n v="0.22302721000000075"/>
    <n v="-5.5454053999997657E-2"/>
    <n v="83"/>
    <n v="70"/>
    <n v="97"/>
    <s v=""/>
    <s v=""/>
    <s v=""/>
    <n v="0.2784812639999984"/>
    <x v="4"/>
  </r>
  <r>
    <s v="Namibia"/>
    <n v="2020"/>
    <n v="2540.9160160000001"/>
    <n v="52.033000950000002"/>
    <n v="84.270036279999999"/>
    <n v="7.0876275099999999"/>
    <n v="3.740143722"/>
    <n v="4.9021924849999996"/>
    <n v="71.256167430000005"/>
    <n v="11.97218925"/>
    <n v="7.0818037589999996"/>
    <n v="9.6898395629999996"/>
    <n v="96.266965350000007"/>
    <n v="2.5847589649999998"/>
    <n v="0.65961026379999999"/>
    <n v="0.4886654211"/>
    <s v=""/>
    <s v=""/>
    <s v=""/>
    <s v=""/>
    <n v="84"/>
    <n v="71"/>
    <n v="96"/>
    <s v=""/>
    <s v=""/>
    <s v=""/>
    <s v=""/>
    <x v="4"/>
  </r>
  <r>
    <s v="Nauru"/>
    <n v="2015"/>
    <n v="10.373999599999999"/>
    <n v="100"/>
    <n v="100"/>
    <n v="0"/>
    <n v="0"/>
    <n v="0"/>
    <s v="null"/>
    <s v="null"/>
    <s v="null"/>
    <s v="null"/>
    <n v="100"/>
    <n v="0"/>
    <n v="0"/>
    <n v="0"/>
    <n v="5"/>
    <n v="0"/>
    <s v="null"/>
    <n v="0"/>
    <n v="100"/>
    <s v="null"/>
    <n v="100"/>
    <s v="fullaccesss"/>
    <s v=""/>
    <s v="fullaccesss"/>
    <s v="null"/>
    <x v="3"/>
  </r>
  <r>
    <s v="Nauru"/>
    <n v="2020"/>
    <n v="10.833999629999999"/>
    <n v="100"/>
    <n v="100"/>
    <n v="0"/>
    <n v="0"/>
    <n v="0"/>
    <s v="null"/>
    <s v="null"/>
    <s v="null"/>
    <s v="null"/>
    <n v="100"/>
    <n v="0"/>
    <n v="0"/>
    <n v="0"/>
    <s v=""/>
    <s v=""/>
    <s v=""/>
    <s v=""/>
    <n v="100"/>
    <s v="null"/>
    <n v="100"/>
    <s v=""/>
    <s v=""/>
    <s v=""/>
    <s v=""/>
    <x v="3"/>
  </r>
  <r>
    <s v="Nepal"/>
    <n v="2015"/>
    <n v="27015.033200000002"/>
    <n v="18.556999210000001"/>
    <n v="87.808467590000006"/>
    <n v="3.1679044589999998"/>
    <n v="7.2642085280000002"/>
    <n v="1.759419423"/>
    <n v="87.241979639999997"/>
    <n v="3.3102712580000002"/>
    <n v="7.5313174839999997"/>
    <n v="1.9164316180000001"/>
    <n v="90.294671100000002"/>
    <n v="2.5430847519999999"/>
    <n v="6.091920182"/>
    <n v="1.07032397"/>
    <n v="5"/>
    <n v="0.45321483999999829"/>
    <n v="0.59225840200000168"/>
    <n v="-0.14340758799999948"/>
    <n v="88"/>
    <n v="87"/>
    <n v="90"/>
    <s v=""/>
    <s v=""/>
    <s v=""/>
    <n v="0.7356659900000011"/>
    <x v="6"/>
  </r>
  <r>
    <s v="Nepal"/>
    <n v="2020"/>
    <n v="29136.808590000001"/>
    <n v="20.57600021"/>
    <n v="90.074541789999998"/>
    <n v="3.979825725"/>
    <n v="4.699081176"/>
    <n v="1.246551314"/>
    <n v="90.203271650000005"/>
    <n v="4.2073482459999996"/>
    <n v="4.2690239510000003"/>
    <n v="1.320356149"/>
    <n v="89.577633160000005"/>
    <n v="3.1015814110000002"/>
    <n v="6.359123168"/>
    <n v="0.96166225849999998"/>
    <s v=""/>
    <s v=""/>
    <s v=""/>
    <s v=""/>
    <n v="90"/>
    <n v="90"/>
    <n v="90"/>
    <s v=""/>
    <s v=""/>
    <s v=""/>
    <s v=""/>
    <x v="6"/>
  </r>
  <r>
    <s v="Netherlands"/>
    <n v="2015"/>
    <n v="16938.492190000001"/>
    <n v="90.172996519999998"/>
    <n v="99.999998559999995"/>
    <n v="0"/>
    <n v="1.441336238E-6"/>
    <n v="0"/>
    <n v="100"/>
    <n v="0"/>
    <n v="0"/>
    <n v="0"/>
    <n v="100"/>
    <n v="0"/>
    <n v="0"/>
    <n v="0"/>
    <n v="5"/>
    <n v="1.4600000213249588E-7"/>
    <n v="0"/>
    <n v="0"/>
    <n v="100"/>
    <n v="100"/>
    <n v="100"/>
    <s v="fullaccesss"/>
    <s v="fullaccesss"/>
    <s v="fullaccesss"/>
    <n v="0"/>
    <x v="1"/>
  </r>
  <r>
    <s v="Netherlands"/>
    <n v="2020"/>
    <n v="17134.873049999998"/>
    <n v="92.236000059999995"/>
    <n v="99.999999290000005"/>
    <n v="0"/>
    <n v="7.1240862099999999E-7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New Caledonia"/>
    <n v="2015"/>
    <n v="271.06201170000003"/>
    <n v="69.379005430000007"/>
    <n v="98.138558489999994"/>
    <n v="0"/>
    <n v="1.861441508"/>
    <n v="0"/>
    <s v="null"/>
    <s v="null"/>
    <s v="null"/>
    <s v="null"/>
    <s v="null"/>
    <s v="null"/>
    <s v="null"/>
    <s v="null"/>
    <n v="5"/>
    <n v="0.23335241600000245"/>
    <s v="null"/>
    <s v="null"/>
    <n v="98"/>
    <s v="null"/>
    <s v="null"/>
    <s v=""/>
    <s v=""/>
    <s v=""/>
    <s v="null"/>
    <x v="3"/>
  </r>
  <r>
    <s v="New Caledonia"/>
    <n v="2020"/>
    <n v="285.4909973"/>
    <n v="71.517997739999998"/>
    <n v="99.305320570000006"/>
    <n v="0"/>
    <n v="0.69467942780000003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3"/>
  </r>
  <r>
    <s v="New Zealand"/>
    <n v="2015"/>
    <n v="4614.5268550000001"/>
    <n v="86.340995789999994"/>
    <n v="99.999997350000001"/>
    <n v="0"/>
    <n v="2.6453484029999998E-6"/>
    <n v="0"/>
    <n v="100"/>
    <n v="0"/>
    <n v="0"/>
    <n v="0"/>
    <n v="100"/>
    <n v="0"/>
    <n v="0"/>
    <n v="0"/>
    <n v="5"/>
    <n v="7.8999999857387589E-7"/>
    <n v="0"/>
    <n v="0"/>
    <n v="100"/>
    <n v="100"/>
    <n v="100"/>
    <s v="fullaccesss"/>
    <s v="fullaccesss"/>
    <s v="fullaccesss"/>
    <n v="0"/>
    <x v="3"/>
  </r>
  <r>
    <s v="New Zealand"/>
    <n v="2020"/>
    <n v="4822.2329099999997"/>
    <n v="86.698997500000004"/>
    <n v="100.00000129999999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3"/>
  </r>
  <r>
    <s v="Nicaragua"/>
    <n v="2015"/>
    <n v="6223.2338870000003"/>
    <n v="57.894996640000002"/>
    <n v="81.35312854"/>
    <n v="1.4259273880000001"/>
    <n v="13.835758999999999"/>
    <n v="3.3851850699999999"/>
    <n v="59.50465784"/>
    <n v="3.2389618649999998"/>
    <n v="29.55960602"/>
    <n v="7.6967742709999998"/>
    <n v="97.242754880000007"/>
    <n v="0.1073710103"/>
    <n v="2.4003566219999999"/>
    <n v="0.24951748460000001"/>
    <n v="5"/>
    <n v="7.11250519999993E-2"/>
    <n v="-7.9442242000000357E-2"/>
    <n v="3.2840345999997564E-2"/>
    <n v="81"/>
    <n v="60"/>
    <n v="97"/>
    <s v=""/>
    <s v=""/>
    <s v=""/>
    <n v="-0.11228258799999792"/>
    <x v="5"/>
  </r>
  <r>
    <s v="Nicaragua"/>
    <n v="2020"/>
    <n v="6624.5541990000002"/>
    <n v="59.012001040000001"/>
    <n v="81.708753799999997"/>
    <n v="1.506645682"/>
    <n v="13.530531140000001"/>
    <n v="3.2540693780000001"/>
    <n v="59.107446629999998"/>
    <n v="3.5209742849999999"/>
    <n v="29.780173680000001"/>
    <n v="7.5914054000000002"/>
    <n v="97.406956609999995"/>
    <n v="0.10755231429999999"/>
    <n v="2.244007656"/>
    <n v="0.24148342289999999"/>
    <s v=""/>
    <s v=""/>
    <s v=""/>
    <s v=""/>
    <n v="82"/>
    <n v="59"/>
    <n v="97"/>
    <s v=""/>
    <s v=""/>
    <s v=""/>
    <s v=""/>
    <x v="5"/>
  </r>
  <r>
    <s v="Niger"/>
    <n v="2015"/>
    <n v="20001.662110000001"/>
    <n v="16.24699974"/>
    <n v="45.482458059999999"/>
    <n v="16.128836960000001"/>
    <n v="34.719560010000002"/>
    <n v="3.6691449719999998"/>
    <n v="37.329941650000002"/>
    <n v="17.64359486"/>
    <n v="40.888487750000003"/>
    <n v="4.1379757509999999"/>
    <n v="87.508539040000002"/>
    <n v="8.3202861959999996"/>
    <n v="2.918844344"/>
    <n v="1.252330425"/>
    <n v="5"/>
    <n v="0.28586788200000085"/>
    <n v="0.36484353399999919"/>
    <n v="-0.33893985600000176"/>
    <n v="45"/>
    <n v="37"/>
    <n v="88"/>
    <s v=""/>
    <s v=""/>
    <s v=""/>
    <n v="0.70378339000000101"/>
    <x v="4"/>
  </r>
  <r>
    <s v="Niger"/>
    <n v="2020"/>
    <n v="24206.636719999999"/>
    <n v="16.625999449999998"/>
    <n v="46.911797470000003"/>
    <n v="21.653898699999999"/>
    <n v="27.027512439999999"/>
    <n v="4.4067913919999997"/>
    <n v="39.154159319999998"/>
    <n v="23.987740389999999"/>
    <n v="31.991506480000002"/>
    <n v="4.8665938129999997"/>
    <n v="85.813839759999993"/>
    <n v="9.9504408289999997"/>
    <n v="2.1346877800000001"/>
    <n v="2.1010316339999999"/>
    <s v=""/>
    <s v=""/>
    <s v=""/>
    <s v=""/>
    <n v="47"/>
    <n v="39"/>
    <n v="86"/>
    <s v=""/>
    <s v=""/>
    <s v=""/>
    <s v=""/>
    <x v="4"/>
  </r>
  <r>
    <s v="Nigeria"/>
    <n v="2015"/>
    <n v="181137.45310000001"/>
    <n v="47.837997440000002"/>
    <n v="68.779755460000004"/>
    <n v="6.7135509960000004"/>
    <n v="14.733762459999999"/>
    <n v="9.7729310859999998"/>
    <n v="53.492449000000001"/>
    <n v="7.1064402710000003"/>
    <n v="23.107160100000002"/>
    <n v="16.29395062"/>
    <n v="85.448858319999999"/>
    <n v="6.2851490559999998"/>
    <n v="5.6035061180000003"/>
    <n v="2.6624865010000001"/>
    <n v="5"/>
    <n v="1.7658595840000004"/>
    <n v="1.6331522059999997"/>
    <n v="1.381769374000001"/>
    <n v="69"/>
    <n v="53"/>
    <n v="85"/>
    <s v=""/>
    <s v=""/>
    <s v=""/>
    <n v="0.25138283199999867"/>
    <x v="4"/>
  </r>
  <r>
    <s v="Nigeria"/>
    <n v="2020"/>
    <n v="206139.5938"/>
    <n v="51.958000179999999"/>
    <n v="77.609053380000006"/>
    <n v="4.9793993429999999"/>
    <n v="11.79691148"/>
    <n v="5.6146357939999998"/>
    <n v="61.658210029999999"/>
    <n v="7.1289245829999999"/>
    <n v="20.924875350000001"/>
    <n v="10.28799004"/>
    <n v="92.357705190000004"/>
    <n v="2.9918806500000001"/>
    <n v="3.356908786"/>
    <n v="1.2935053700000001"/>
    <s v=""/>
    <s v=""/>
    <s v=""/>
    <s v=""/>
    <n v="78"/>
    <n v="62"/>
    <n v="92"/>
    <s v=""/>
    <s v=""/>
    <s v=""/>
    <s v=""/>
    <x v="4"/>
  </r>
  <r>
    <s v="Niue"/>
    <n v="2015"/>
    <n v="1.6100000139999999"/>
    <n v="42.568000789999999"/>
    <n v="97.606139409999997"/>
    <n v="0"/>
    <n v="2.393860594"/>
    <n v="0"/>
    <s v="null"/>
    <s v="null"/>
    <s v="null"/>
    <s v="null"/>
    <s v="null"/>
    <s v="null"/>
    <s v="null"/>
    <s v="null"/>
    <n v="5"/>
    <n v="-0.1190526460000001"/>
    <s v="null"/>
    <s v="null"/>
    <n v="98"/>
    <s v="null"/>
    <s v="null"/>
    <s v=""/>
    <s v=""/>
    <s v=""/>
    <s v="null"/>
    <x v="3"/>
  </r>
  <r>
    <s v="Niue"/>
    <n v="2020"/>
    <n v="1.618000031"/>
    <n v="46.202003480000002"/>
    <n v="97.010876179999997"/>
    <n v="0"/>
    <n v="2.9891238219999998"/>
    <n v="0"/>
    <s v="null"/>
    <s v="null"/>
    <s v="null"/>
    <s v="null"/>
    <s v="null"/>
    <s v="null"/>
    <s v="null"/>
    <s v="null"/>
    <s v=""/>
    <s v=""/>
    <s v=""/>
    <s v=""/>
    <n v="97"/>
    <s v="null"/>
    <s v="null"/>
    <s v=""/>
    <s v=""/>
    <s v=""/>
    <s v=""/>
    <x v="3"/>
  </r>
  <r>
    <s v="North Macedonia"/>
    <n v="2015"/>
    <n v="2079.334961"/>
    <n v="57.407997129999998"/>
    <n v="97.472332829999999"/>
    <n v="1.8859917129999999"/>
    <n v="0.59247317450000003"/>
    <n v="4.9202279760000002E-2"/>
    <n v="97.633233129999994"/>
    <n v="1.2224645000000001"/>
    <n v="1.0287823730000001"/>
    <n v="0.11552"/>
    <n v="97.352958079999993"/>
    <n v="2.37827419"/>
    <n v="0.2687677275"/>
    <n v="0"/>
    <n v="5"/>
    <n v="5.4096591999999076E-2"/>
    <n v="-3.2903711999998107E-2"/>
    <n v="0.11688898200000039"/>
    <n v="97"/>
    <n v="98"/>
    <n v="97"/>
    <s v=""/>
    <s v=""/>
    <s v=""/>
    <n v="-0.14979269399999851"/>
    <x v="1"/>
  </r>
  <r>
    <s v="North Macedonia"/>
    <n v="2020"/>
    <n v="2083.3798830000001"/>
    <n v="58.481998439999998"/>
    <n v="97.742815789999995"/>
    <n v="1.6349941400000001"/>
    <n v="0.57422847619999995"/>
    <n v="4.796159706E-2"/>
    <n v="97.468714570000003"/>
    <n v="1.505202232"/>
    <n v="0.91056319819999998"/>
    <n v="0.11552"/>
    <n v="97.937402989999995"/>
    <n v="1.7271369539999999"/>
    <n v="0.33546005629999998"/>
    <n v="0"/>
    <s v=""/>
    <s v=""/>
    <s v=""/>
    <s v=""/>
    <n v="98"/>
    <n v="97"/>
    <n v="98"/>
    <s v=""/>
    <s v=""/>
    <s v=""/>
    <s v=""/>
    <x v="1"/>
  </r>
  <r>
    <s v="Northern Mariana Islands"/>
    <n v="2015"/>
    <n v="55.778999329999998"/>
    <n v="91.356994630000003"/>
    <n v="99.980183389999993"/>
    <n v="0"/>
    <n v="1.9816611519999999E-2"/>
    <n v="0"/>
    <s v="null"/>
    <s v="null"/>
    <s v="null"/>
    <s v="null"/>
    <s v="null"/>
    <s v="null"/>
    <s v="null"/>
    <s v="null"/>
    <n v="5"/>
    <n v="3.9633220000013123E-3"/>
    <s v="null"/>
    <s v="null"/>
    <n v="100"/>
    <s v="null"/>
    <s v="null"/>
    <s v="fullaccesss"/>
    <s v=""/>
    <s v=""/>
    <s v="null"/>
    <x v="3"/>
  </r>
  <r>
    <s v="Northern Mariana Islands"/>
    <n v="2020"/>
    <n v="57.556999210000001"/>
    <n v="91.797996519999998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3"/>
  </r>
  <r>
    <s v="Norway"/>
    <n v="2015"/>
    <n v="5199.8271480000003"/>
    <n v="81.090995789999994"/>
    <n v="100.0000012"/>
    <n v="0"/>
    <n v="0"/>
    <n v="0"/>
    <n v="100"/>
    <n v="0"/>
    <n v="0"/>
    <n v="0"/>
    <n v="100"/>
    <n v="0"/>
    <n v="0"/>
    <n v="0"/>
    <n v="5"/>
    <n v="-1.1400000005323819E-6"/>
    <n v="0"/>
    <n v="0"/>
    <n v="100"/>
    <n v="100"/>
    <n v="100"/>
    <s v="fullaccesss"/>
    <s v="fullaccesss"/>
    <s v="fullaccesss"/>
    <n v="0"/>
    <x v="1"/>
  </r>
  <r>
    <s v="Norway"/>
    <n v="2020"/>
    <n v="5421.2421880000002"/>
    <n v="82.973991389999995"/>
    <n v="99.999995499999997"/>
    <n v="0"/>
    <n v="4.5034074529999998E-6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Oman"/>
    <n v="2015"/>
    <n v="4267.3408200000003"/>
    <n v="81.349998470000003"/>
    <n v="90.238485639999993"/>
    <n v="8.2088027879999999"/>
    <n v="1.473142599"/>
    <n v="7.9568975099999995E-2"/>
    <n v="74.366908460000005"/>
    <n v="21.097672360000001"/>
    <n v="4.3867318319999997"/>
    <n v="0.14868735080000001"/>
    <n v="93.877145080000005"/>
    <n v="5.2539479289999997"/>
    <n v="0.80518384210000005"/>
    <n v="6.3723150359999994E-2"/>
    <n v="5"/>
    <n v="0.38590781000000052"/>
    <n v="0.37677429000000018"/>
    <n v="0.1645709839999995"/>
    <n v="90"/>
    <n v="74"/>
    <n v="94"/>
    <s v=""/>
    <s v=""/>
    <s v=""/>
    <n v="0.21220330600000067"/>
    <x v="2"/>
  </r>
  <r>
    <s v="Oman"/>
    <n v="2020"/>
    <n v="5106.6220700000003"/>
    <n v="86.275993349999993"/>
    <n v="92.168024689999996"/>
    <n v="7.5414198929999996"/>
    <n v="0.26040520360000002"/>
    <n v="3.0150217449999999E-2"/>
    <n v="76.250779910000006"/>
    <n v="21.632121130000002"/>
    <n v="1.897409218"/>
    <n v="0.21968973750000001"/>
    <n v="94.7"/>
    <n v="5.3"/>
    <n v="0"/>
    <n v="0"/>
    <s v=""/>
    <s v=""/>
    <s v=""/>
    <s v=""/>
    <n v="92"/>
    <n v="76"/>
    <n v="95"/>
    <s v=""/>
    <s v=""/>
    <s v=""/>
    <s v=""/>
    <x v="2"/>
  </r>
  <r>
    <s v="Pakistan"/>
    <n v="2015"/>
    <n v="199426.95310000001"/>
    <n v="36.026000979999999"/>
    <n v="89.454982340000001"/>
    <n v="3.6559530200000001"/>
    <n v="4.4216911899999998"/>
    <n v="2.4673734469999999"/>
    <n v="87.15095676"/>
    <n v="3.9565638390000002"/>
    <n v="5.2364128790000004"/>
    <n v="3.6560665229999998"/>
    <n v="93.546408839999998"/>
    <n v="3.1221364330000001"/>
    <n v="2.9749303889999998"/>
    <n v="0.35652434"/>
    <n v="5"/>
    <n v="0.13879654799999913"/>
    <n v="0.28978079999999978"/>
    <n v="-0.15567179800000019"/>
    <n v="89"/>
    <n v="87"/>
    <n v="94"/>
    <s v=""/>
    <s v=""/>
    <s v=""/>
    <n v="0.44545259799999998"/>
    <x v="6"/>
  </r>
  <r>
    <s v="Pakistan"/>
    <n v="2020"/>
    <n v="220892.32810000001"/>
    <n v="37.165000919999997"/>
    <n v="90.148965079999996"/>
    <n v="3.8222795249999999"/>
    <n v="4.4133075740000001"/>
    <n v="1.61544782"/>
    <n v="88.599860759999999"/>
    <n v="3.852278117"/>
    <n v="5.1745965089999997"/>
    <n v="2.3732646169999998"/>
    <n v="92.768049849999997"/>
    <n v="3.7715611619999998"/>
    <n v="3.126184571"/>
    <n v="0.33420442230000003"/>
    <s v=""/>
    <s v=""/>
    <s v=""/>
    <s v=""/>
    <n v="90"/>
    <n v="89"/>
    <n v="93"/>
    <s v=""/>
    <s v=""/>
    <s v=""/>
    <s v=""/>
    <x v="6"/>
  </r>
  <r>
    <s v="Palau"/>
    <n v="2015"/>
    <n v="17.665000920000001"/>
    <n v="78.158996579999993"/>
    <n v="99.630150850000007"/>
    <n v="0"/>
    <n v="0.36984914990000001"/>
    <n v="0"/>
    <n v="99.61387148"/>
    <n v="0"/>
    <n v="0.38612851729999997"/>
    <n v="0"/>
    <n v="99.634701730000003"/>
    <n v="0"/>
    <n v="0.36529827059999997"/>
    <n v="0"/>
    <n v="5"/>
    <n v="5.4789299999981724E-3"/>
    <n v="2.8622709999999073E-2"/>
    <n v="-9.9948000001859325E-5"/>
    <n v="100"/>
    <n v="100"/>
    <n v="100"/>
    <s v="fullaccesss"/>
    <s v="fullaccesss"/>
    <s v="fullaccesss"/>
    <n v="2.8722658000000931E-2"/>
    <x v="3"/>
  </r>
  <r>
    <s v="Palau"/>
    <n v="2020"/>
    <n v="18.091999049999998"/>
    <n v="80.987998959999999"/>
    <n v="99.657545499999998"/>
    <n v="0"/>
    <n v="0.34245449839999997"/>
    <n v="0"/>
    <n v="99.756985029999996"/>
    <n v="0"/>
    <n v="0.2430149677"/>
    <n v="0"/>
    <n v="99.634201989999994"/>
    <n v="0"/>
    <n v="0.36579800779999999"/>
    <n v="0"/>
    <s v=""/>
    <s v=""/>
    <s v=""/>
    <s v=""/>
    <n v="100"/>
    <n v="100"/>
    <n v="100"/>
    <s v=""/>
    <s v=""/>
    <s v=""/>
    <s v=""/>
    <x v="3"/>
  </r>
  <r>
    <s v="Panama"/>
    <n v="2015"/>
    <n v="3968.48999"/>
    <n v="66.695999150000006"/>
    <n v="92.904365609999999"/>
    <n v="1.845644171"/>
    <n v="3.160016841"/>
    <n v="2.08997338"/>
    <n v="83.679579529999998"/>
    <n v="1.737106037"/>
    <n v="8.379298168"/>
    <n v="6.2040162600000004"/>
    <n v="97.510677389999998"/>
    <n v="1.899841721"/>
    <n v="0.55381483909999996"/>
    <n v="3.5666046159999999E-2"/>
    <n v="5"/>
    <n v="0.29363575000000142"/>
    <n v="0.52870074600000128"/>
    <n v="0.11564305600000183"/>
    <n v="93"/>
    <n v="84"/>
    <n v="98"/>
    <s v=""/>
    <s v=""/>
    <s v=""/>
    <n v="0.41305768999999948"/>
    <x v="5"/>
  </r>
  <r>
    <s v="Panama"/>
    <n v="2020"/>
    <n v="4314.7680659999996"/>
    <n v="68.414001459999994"/>
    <n v="94.372544360000006"/>
    <n v="1.8734805919999999"/>
    <n v="2.2623042469999999"/>
    <n v="1.491670799"/>
    <n v="86.323083260000004"/>
    <n v="1.791982583"/>
    <n v="7.1623643420000001"/>
    <n v="4.7225698109999996"/>
    <n v="98.088892670000007"/>
    <n v="1.9111073329999999"/>
    <n v="0"/>
    <n v="0"/>
    <s v=""/>
    <s v=""/>
    <s v=""/>
    <s v=""/>
    <n v="94"/>
    <n v="86"/>
    <n v="98"/>
    <s v=""/>
    <s v=""/>
    <s v=""/>
    <s v=""/>
    <x v="5"/>
  </r>
  <r>
    <s v="Papua New Guinea"/>
    <n v="2015"/>
    <n v="8107.7719729999999"/>
    <n v="13.01200008"/>
    <n v="41.485508439999997"/>
    <n v="1.8099530800000001"/>
    <n v="21.261051999999999"/>
    <n v="35.443486479999997"/>
    <n v="34.990633000000003"/>
    <n v="1.8047244330000001"/>
    <n v="23.25354875"/>
    <n v="39.951093819999997"/>
    <n v="84.90514306"/>
    <n v="1.844907912"/>
    <n v="7.9407764350000001"/>
    <n v="5.309172598"/>
    <n v="5"/>
    <n v="0.77170181600000087"/>
    <n v="0.81614213399999902"/>
    <n v="0.2340257159999993"/>
    <n v="41"/>
    <n v="35"/>
    <n v="85"/>
    <s v=""/>
    <s v=""/>
    <s v=""/>
    <n v="0.58211641799999969"/>
    <x v="3"/>
  </r>
  <r>
    <s v="Papua New Guinea"/>
    <n v="2020"/>
    <n v="8947.0273440000001"/>
    <n v="13.34500027"/>
    <n v="45.344017520000001"/>
    <n v="2.128564452"/>
    <n v="22.157624949999999"/>
    <n v="30.369793080000001"/>
    <n v="39.071343669999997"/>
    <n v="2.4298502929999999"/>
    <n v="24.431800859999999"/>
    <n v="34.067005170000002"/>
    <n v="86.075271639999997"/>
    <n v="0.17218226079999999"/>
    <n v="7.3903855639999998"/>
    <n v="6.3621605319999999"/>
    <s v=""/>
    <s v=""/>
    <s v=""/>
    <s v=""/>
    <n v="45"/>
    <n v="39"/>
    <n v="86"/>
    <s v=""/>
    <s v=""/>
    <s v=""/>
    <s v=""/>
    <x v="3"/>
  </r>
  <r>
    <s v="Paraguay"/>
    <n v="2015"/>
    <n v="6688.7460940000001"/>
    <n v="60.75"/>
    <n v="96.836214530000007"/>
    <n v="0.32842400300000002"/>
    <n v="2.7567681990000001"/>
    <n v="7.8593266980000007E-2"/>
    <n v="93.344700290000006"/>
    <n v="0.69766643969999997"/>
    <n v="5.757395646"/>
    <n v="0.20023762880000001"/>
    <n v="99.092048730000002"/>
    <n v="8.9859971169999997E-2"/>
    <n v="0.81809130100000005"/>
    <n v="0"/>
    <n v="5"/>
    <n v="0.55145035999999836"/>
    <n v="1.1533054479999976"/>
    <n v="0.15893996199999946"/>
    <n v="97"/>
    <n v="93"/>
    <n v="99"/>
    <s v=""/>
    <s v=""/>
    <s v=""/>
    <n v="0.99436548599999808"/>
    <x v="5"/>
  </r>
  <r>
    <s v="Paraguay"/>
    <n v="2020"/>
    <n v="7132.5297849999997"/>
    <n v="62.182994839999999"/>
    <n v="99.593466329999998"/>
    <n v="0.40653024389999998"/>
    <n v="3.4229177000000001E-6"/>
    <n v="0"/>
    <n v="99.111227529999994"/>
    <n v="0.88877246840000002"/>
    <n v="0"/>
    <n v="0"/>
    <n v="99.886748539999999"/>
    <n v="0.11325146429999999"/>
    <n v="0"/>
    <n v="0"/>
    <s v=""/>
    <s v=""/>
    <s v=""/>
    <s v=""/>
    <n v="100"/>
    <n v="99"/>
    <n v="100"/>
    <s v=""/>
    <s v=""/>
    <s v=""/>
    <s v=""/>
    <x v="5"/>
  </r>
  <r>
    <s v="Peru"/>
    <n v="2015"/>
    <n v="30470.738280000001"/>
    <n v="77.357002260000002"/>
    <n v="90.282003040000006"/>
    <n v="0.93258347190000002"/>
    <n v="5.7636260549999996"/>
    <n v="3.0217874390000001"/>
    <n v="73.287623839999995"/>
    <n v="1.5230403370000001"/>
    <n v="12.99206766"/>
    <n v="12.197268169999999"/>
    <n v="95.256387020000005"/>
    <n v="0.75975208999999999"/>
    <n v="3.6478085579999999"/>
    <n v="0.33605232909999999"/>
    <n v="5"/>
    <n v="0.57147263399999981"/>
    <n v="1.502362930000001"/>
    <n v="0.2606914119999999"/>
    <n v="90"/>
    <n v="73"/>
    <n v="95"/>
    <s v=""/>
    <s v=""/>
    <s v=""/>
    <n v="1.2416715180000011"/>
    <x v="5"/>
  </r>
  <r>
    <s v="Peru"/>
    <n v="2020"/>
    <n v="32971.847659999999"/>
    <n v="78.297004700000002"/>
    <n v="93.139366210000006"/>
    <n v="0.84955935110000003"/>
    <n v="4.1504683489999996"/>
    <n v="1.8606060870000001"/>
    <n v="80.79943849"/>
    <n v="1.5969437710000001"/>
    <n v="9.6126911629999992"/>
    <n v="7.9909265779999998"/>
    <n v="96.559844080000005"/>
    <n v="0.64239323559999995"/>
    <n v="2.6364086929999999"/>
    <n v="0.1613539953"/>
    <s v=""/>
    <s v=""/>
    <s v=""/>
    <s v=""/>
    <n v="93"/>
    <n v="81"/>
    <n v="97"/>
    <s v=""/>
    <s v=""/>
    <s v=""/>
    <s v=""/>
    <x v="5"/>
  </r>
  <r>
    <s v="Philippines"/>
    <n v="2015"/>
    <n v="102113.2031"/>
    <n v="46.284000399999996"/>
    <n v="92.017701020000004"/>
    <n v="2.9204293190000001"/>
    <n v="4.5321384619999998"/>
    <n v="0.52973119440000005"/>
    <n v="88.208162329999993"/>
    <n v="3.8258925420000001"/>
    <n v="7.1112130369999997"/>
    <n v="0.85473209370000003"/>
    <n v="96.438952139999998"/>
    <n v="1.8695723529999999"/>
    <n v="1.5389318729999999"/>
    <n v="0.15254363930000001"/>
    <n v="5"/>
    <n v="0.41826670799999877"/>
    <n v="0.57075417800000139"/>
    <n v="0.21007607200000109"/>
    <n v="92"/>
    <n v="88"/>
    <n v="96"/>
    <s v=""/>
    <s v=""/>
    <s v=""/>
    <n v="0.36067810600000028"/>
    <x v="6"/>
  </r>
  <r>
    <s v="Philippines"/>
    <n v="2020"/>
    <n v="109581.08590000001"/>
    <n v="47.407997129999998"/>
    <n v="94.109034559999998"/>
    <n v="2.8564861370000001"/>
    <n v="3.0344793069999998"/>
    <n v="0"/>
    <n v="91.06193322"/>
    <n v="3.9595204279999998"/>
    <n v="4.978546347"/>
    <n v="0"/>
    <n v="97.489332500000003"/>
    <n v="1.632836465"/>
    <n v="0.87783103600000001"/>
    <n v="0"/>
    <s v=""/>
    <s v=""/>
    <s v=""/>
    <s v=""/>
    <n v="94"/>
    <n v="91"/>
    <n v="97"/>
    <s v=""/>
    <s v=""/>
    <s v=""/>
    <s v=""/>
    <x v="6"/>
  </r>
  <r>
    <s v="Poland"/>
    <n v="2015"/>
    <n v="38034.074220000002"/>
    <n v="60.27799606"/>
    <n v="99.232069879999997"/>
    <n v="0"/>
    <n v="0.76793012459999999"/>
    <n v="0"/>
    <n v="98.537903229999998"/>
    <n v="0"/>
    <n v="1.4620967739999999"/>
    <n v="0"/>
    <n v="99.689516130000001"/>
    <n v="0"/>
    <n v="0.31048387100000002"/>
    <n v="0"/>
    <n v="5"/>
    <n v="0.1469043340000013"/>
    <n v="0.29241935400000046"/>
    <n v="5.0967742000000274E-2"/>
    <n v="99"/>
    <n v="99"/>
    <n v="100"/>
    <s v=""/>
    <s v=""/>
    <s v="fullaccesss"/>
    <n v="0.2414516120000002"/>
    <x v="1"/>
  </r>
  <r>
    <s v="Poland"/>
    <n v="2020"/>
    <n v="37846.605470000002"/>
    <n v="60.043003079999998"/>
    <n v="99.966591550000004"/>
    <n v="0"/>
    <n v="3.3408445289999998E-2"/>
    <n v="0"/>
    <n v="100"/>
    <n v="0"/>
    <n v="0"/>
    <n v="0"/>
    <n v="99.944354840000003"/>
    <n v="0"/>
    <n v="5.5645161290000002E-2"/>
    <n v="0"/>
    <s v=""/>
    <s v=""/>
    <s v=""/>
    <s v=""/>
    <n v="100"/>
    <n v="100"/>
    <n v="100"/>
    <s v=""/>
    <s v=""/>
    <s v=""/>
    <s v=""/>
    <x v="1"/>
  </r>
  <r>
    <s v="Portugal"/>
    <n v="2015"/>
    <n v="10368.3457"/>
    <n v="63.513999939999998"/>
    <n v="99.904689840000003"/>
    <n v="0"/>
    <n v="9.5310157000000006E-2"/>
    <n v="0"/>
    <n v="99.738776090000002"/>
    <n v="0"/>
    <n v="0.26122391220000002"/>
    <n v="0"/>
    <n v="100"/>
    <n v="0"/>
    <n v="0"/>
    <n v="0"/>
    <n v="5"/>
    <n v="1.4607659999995803E-3"/>
    <n v="0"/>
    <n v="0"/>
    <n v="100"/>
    <n v="100"/>
    <n v="100"/>
    <s v="fullaccesss"/>
    <s v="fullaccesss"/>
    <s v="fullaccesss"/>
    <n v="0"/>
    <x v="1"/>
  </r>
  <r>
    <s v="Portugal"/>
    <n v="2020"/>
    <n v="10196.70703"/>
    <n v="66.309997559999999"/>
    <n v="99.911993670000001"/>
    <n v="0"/>
    <n v="8.8006333689999994E-2"/>
    <n v="0"/>
    <n v="99.738776090000002"/>
    <n v="0"/>
    <n v="0.26122391220000002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Puerto Rico"/>
    <n v="2015"/>
    <n v="3381.5119629999999"/>
    <n v="93.624000550000005"/>
    <n v="99.425449760000006"/>
    <n v="0"/>
    <n v="0.57455024300000002"/>
    <n v="0"/>
    <s v="null"/>
    <s v="null"/>
    <s v="null"/>
    <s v="null"/>
    <s v="null"/>
    <s v="null"/>
    <s v="null"/>
    <s v="null"/>
    <n v="5"/>
    <n v="0.11491004799999871"/>
    <s v="null"/>
    <s v="null"/>
    <n v="99"/>
    <s v="null"/>
    <s v="null"/>
    <s v=""/>
    <s v=""/>
    <s v=""/>
    <s v="null"/>
    <x v="5"/>
  </r>
  <r>
    <s v="Puerto Rico"/>
    <n v="2020"/>
    <n v="2860.8400879999999"/>
    <n v="93.581001279999995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5"/>
  </r>
  <r>
    <s v="Qatar"/>
    <n v="2015"/>
    <n v="2565.7080080000001"/>
    <n v="98.944992069999998"/>
    <n v="99.691501380000005"/>
    <n v="0"/>
    <n v="0.30849861699999997"/>
    <n v="0"/>
    <s v="null"/>
    <s v="null"/>
    <s v="null"/>
    <s v="null"/>
    <s v="null"/>
    <s v="null"/>
    <s v="null"/>
    <s v="null"/>
    <n v="5"/>
    <n v="-2.4679888000000004E-2"/>
    <s v="null"/>
    <s v="null"/>
    <n v="100"/>
    <s v="null"/>
    <s v="null"/>
    <s v="fullaccesss"/>
    <s v=""/>
    <s v=""/>
    <s v="null"/>
    <x v="1"/>
  </r>
  <r>
    <s v="Qatar"/>
    <n v="2020"/>
    <n v="2881.0600589999999"/>
    <n v="99.23500061"/>
    <n v="99.568101940000005"/>
    <n v="0"/>
    <n v="0.4318980637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Republic of Korea"/>
    <n v="2015"/>
    <n v="50823.085939999997"/>
    <n v="81.634002690000003"/>
    <n v="99.472746409999999"/>
    <n v="0"/>
    <n v="0.5272535907"/>
    <n v="0"/>
    <s v="null"/>
    <s v="null"/>
    <s v="null"/>
    <s v="null"/>
    <s v="null"/>
    <s v="null"/>
    <s v="null"/>
    <s v="null"/>
    <n v="5"/>
    <n v="9.1730047999999439E-2"/>
    <s v="null"/>
    <s v="null"/>
    <n v="99"/>
    <s v="null"/>
    <s v="null"/>
    <s v=""/>
    <s v=""/>
    <s v=""/>
    <s v="null"/>
    <x v="3"/>
  </r>
  <r>
    <s v="Republic of Korea"/>
    <n v="2020"/>
    <n v="51269.183590000001"/>
    <n v="81.414001459999994"/>
    <n v="99.931396649999996"/>
    <n v="0"/>
    <n v="6.8603352960000002E-2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3"/>
  </r>
  <r>
    <s v="Republic of Moldova"/>
    <n v="2015"/>
    <n v="4070.705078"/>
    <n v="42.489997860000003"/>
    <n v="88.576031900000004"/>
    <n v="1.485629517"/>
    <n v="9.9383385820000001"/>
    <n v="0"/>
    <n v="82.542490749999999"/>
    <n v="1.4702224820000001"/>
    <n v="15.987286770000001"/>
    <n v="0"/>
    <n v="96.742399399999996"/>
    <n v="1.5064828610000001"/>
    <n v="1.7511177389999999"/>
    <n v="0"/>
    <n v="5"/>
    <n v="0.39878606799999827"/>
    <n v="0.58770947399999895"/>
    <n v="0.12300901600000032"/>
    <n v="89"/>
    <n v="83"/>
    <n v="97"/>
    <s v=""/>
    <s v=""/>
    <s v=""/>
    <n v="0.46470045799999865"/>
    <x v="1"/>
  </r>
  <r>
    <s v="Republic of Moldova"/>
    <n v="2020"/>
    <n v="4033.9628910000001"/>
    <n v="42.849002839999997"/>
    <n v="90.569962239999995"/>
    <n v="1.519776762"/>
    <n v="7.910260997"/>
    <n v="0"/>
    <n v="85.481038119999994"/>
    <n v="1.52256302"/>
    <n v="12.996398859999999"/>
    <n v="0"/>
    <n v="97.357444479999998"/>
    <n v="1.516060408"/>
    <n v="1.1264951110000001"/>
    <n v="0"/>
    <s v=""/>
    <s v=""/>
    <s v=""/>
    <s v=""/>
    <n v="91"/>
    <n v="85"/>
    <n v="97"/>
    <s v=""/>
    <s v=""/>
    <s v=""/>
    <s v=""/>
    <x v="1"/>
  </r>
  <r>
    <s v="Réunion"/>
    <n v="2015"/>
    <n v="863.35900879999997"/>
    <n v="99.339004520000003"/>
    <n v="99.911530189999993"/>
    <n v="0"/>
    <n v="8.8469814100000002E-2"/>
    <n v="0"/>
    <s v="null"/>
    <s v="null"/>
    <s v="null"/>
    <s v="null"/>
    <s v="null"/>
    <s v="null"/>
    <s v="null"/>
    <s v="null"/>
    <n v="5"/>
    <n v="1.7693962000001305E-2"/>
    <s v="null"/>
    <s v="null"/>
    <n v="100"/>
    <s v="null"/>
    <s v="null"/>
    <s v="fullaccesss"/>
    <s v=""/>
    <s v=""/>
    <s v="null"/>
    <x v="4"/>
  </r>
  <r>
    <s v="Réunion"/>
    <n v="2020"/>
    <n v="895.30798340000001"/>
    <n v="99.659004210000006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4"/>
  </r>
  <r>
    <s v="Romania"/>
    <n v="2015"/>
    <n v="19925.181639999999"/>
    <n v="53.886997219999998"/>
    <n v="100"/>
    <n v="0"/>
    <n v="0"/>
    <n v="0"/>
    <n v="100"/>
    <n v="0"/>
    <n v="0"/>
    <n v="0"/>
    <n v="100"/>
    <n v="0"/>
    <n v="0"/>
    <n v="0"/>
    <n v="5"/>
    <n v="0"/>
    <n v="0"/>
    <n v="0"/>
    <n v="100"/>
    <n v="100"/>
    <n v="100"/>
    <s v="fullaccesss"/>
    <s v="fullaccesss"/>
    <s v="fullaccesss"/>
    <n v="0"/>
    <x v="1"/>
  </r>
  <r>
    <s v="Romania"/>
    <n v="2020"/>
    <n v="19237.681639999999"/>
    <n v="54.194000240000001"/>
    <n v="100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Russian Federation"/>
    <n v="2015"/>
    <n v="144985.0625"/>
    <n v="74.049995420000002"/>
    <n v="96.527155429999993"/>
    <n v="0.62448653440000002"/>
    <n v="2.848358036"/>
    <s v="null"/>
    <n v="90.110109010000002"/>
    <n v="1.558364042"/>
    <n v="8.3315269460000003"/>
    <s v="null"/>
    <n v="98.775934890000002"/>
    <n v="0.29721946310000003"/>
    <n v="0.72684564200000001"/>
    <n v="0.2"/>
    <n v="5"/>
    <n v="9.307852800000091E-2"/>
    <n v="0.2867985900000008"/>
    <n v="1.1332944000000112E-2"/>
    <n v="97"/>
    <n v="90"/>
    <n v="99"/>
    <s v=""/>
    <s v=""/>
    <s v=""/>
    <n v="0.27546564600000067"/>
    <x v="1"/>
  </r>
  <r>
    <s v="Russian Federation"/>
    <n v="2020"/>
    <n v="145934.45310000001"/>
    <n v="74.754005430000007"/>
    <n v="96.992548069999998"/>
    <n v="0.62199637659999996"/>
    <n v="2.3854555500000001"/>
    <s v="null"/>
    <n v="91.544101960000006"/>
    <n v="1.5831635129999999"/>
    <n v="6.8727345309999999"/>
    <s v="null"/>
    <n v="98.832599610000003"/>
    <n v="0.29738996870000001"/>
    <n v="0.67001042359999996"/>
    <n v="0.2"/>
    <s v=""/>
    <s v=""/>
    <s v=""/>
    <s v=""/>
    <n v="97"/>
    <n v="92"/>
    <n v="99"/>
    <s v=""/>
    <s v=""/>
    <s v=""/>
    <s v=""/>
    <x v="1"/>
  </r>
  <r>
    <s v="Rwanda"/>
    <n v="2015"/>
    <n v="11369.066409999999"/>
    <n v="17.003999709999999"/>
    <n v="57.121774019999997"/>
    <n v="22.154046149999999"/>
    <n v="13.45013172"/>
    <n v="7.2740481099999998"/>
    <n v="52.352709560000001"/>
    <n v="24.60883866"/>
    <n v="14.980603540000001"/>
    <n v="8.0578482410000003"/>
    <n v="80.399437379999995"/>
    <n v="10.172282620000001"/>
    <n v="5.9799351659999997"/>
    <n v="3.4483448280000002"/>
    <n v="5"/>
    <n v="0.65854542600000054"/>
    <n v="0.65795173399999951"/>
    <n v="0.52363238400000112"/>
    <n v="57"/>
    <n v="52"/>
    <n v="80"/>
    <s v=""/>
    <s v=""/>
    <s v=""/>
    <n v="0.13431934999999839"/>
    <x v="4"/>
  </r>
  <r>
    <s v="Rwanda"/>
    <n v="2020"/>
    <n v="12952.208979999999"/>
    <n v="17.432001110000002"/>
    <n v="60.41450115"/>
    <n v="22.3207193"/>
    <n v="13.15480415"/>
    <n v="4.1099754009999998"/>
    <n v="55.642468229999999"/>
    <n v="25.08014133"/>
    <n v="14.778867719999999"/>
    <n v="4.4985227139999999"/>
    <n v="83.017599300000001"/>
    <n v="9.2505062509999991"/>
    <n v="5.4623030569999997"/>
    <n v="2.2695913939999999"/>
    <s v=""/>
    <s v=""/>
    <s v=""/>
    <s v=""/>
    <n v="60"/>
    <n v="56"/>
    <n v="83"/>
    <s v=""/>
    <s v=""/>
    <s v=""/>
    <s v=""/>
    <x v="4"/>
  </r>
  <r>
    <s v="Saint Barthelemy"/>
    <n v="2015"/>
    <n v="9.6959999999999997"/>
    <n v="100"/>
    <n v="99.964919269999996"/>
    <n v="0"/>
    <n v="3.5080726299999997E-2"/>
    <n v="0"/>
    <s v="null"/>
    <s v="null"/>
    <s v="null"/>
    <s v="null"/>
    <n v="99.964919269999996"/>
    <n v="0"/>
    <n v="3.5080726299999997E-2"/>
    <n v="0"/>
    <n v="5"/>
    <n v="7.0161460000008448E-3"/>
    <s v="null"/>
    <n v="7.0161460000008448E-3"/>
    <n v="100"/>
    <s v="null"/>
    <n v="100"/>
    <s v="fullaccesss"/>
    <s v=""/>
    <s v="fullaccesss"/>
    <s v="null"/>
    <x v="5"/>
  </r>
  <r>
    <s v="Saint Barthelemy"/>
    <n v="2020"/>
    <n v="9.8849999999999998"/>
    <n v="100"/>
    <n v="100"/>
    <n v="0"/>
    <n v="0"/>
    <n v="0"/>
    <s v="null"/>
    <s v="null"/>
    <s v="null"/>
    <s v="null"/>
    <n v="100"/>
    <n v="0"/>
    <n v="0"/>
    <n v="0"/>
    <s v=""/>
    <s v=""/>
    <s v=""/>
    <s v=""/>
    <n v="100"/>
    <s v="null"/>
    <n v="100"/>
    <s v=""/>
    <s v=""/>
    <s v=""/>
    <s v=""/>
    <x v="5"/>
  </r>
  <r>
    <s v="Saint Helena"/>
    <n v="2015"/>
    <n v="5.8689999579999999"/>
    <n v="39.539997100000001"/>
    <n v="98.95"/>
    <n v="0"/>
    <n v="1.05"/>
    <n v="0"/>
    <s v="null"/>
    <s v="null"/>
    <s v="null"/>
    <s v="null"/>
    <s v="null"/>
    <s v="null"/>
    <s v="null"/>
    <s v="null"/>
    <n v="5"/>
    <n v="2.9999999999998295E-2"/>
    <s v="null"/>
    <s v="null"/>
    <n v="99"/>
    <s v="null"/>
    <s v="null"/>
    <s v=""/>
    <s v=""/>
    <s v=""/>
    <s v="null"/>
    <x v="4"/>
  </r>
  <r>
    <s v="Saint Helena"/>
    <n v="2020"/>
    <n v="6.0710000989999999"/>
    <n v="40.082000729999997"/>
    <n v="99.1"/>
    <n v="0"/>
    <n v="0.9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4"/>
  </r>
  <r>
    <s v="Saint Kitts and Nevis"/>
    <n v="2015"/>
    <n v="51.203998570000003"/>
    <n v="30.82700157"/>
    <n v="98.611854129999998"/>
    <n v="0"/>
    <n v="1.3881458680000001"/>
    <n v="0"/>
    <s v="null"/>
    <s v="null"/>
    <s v="null"/>
    <s v="null"/>
    <s v="null"/>
    <s v="null"/>
    <s v="null"/>
    <s v="null"/>
    <n v="2"/>
    <n v="0"/>
    <s v="null"/>
    <s v="null"/>
    <n v="99"/>
    <s v="null"/>
    <s v="null"/>
    <s v=""/>
    <s v=""/>
    <s v=""/>
    <s v="null"/>
    <x v="5"/>
  </r>
  <r>
    <s v="Saint Kitts and Nevis"/>
    <n v="2017"/>
    <n v="52.0359993"/>
    <n v="30.772996899999999"/>
    <n v="98.611854129999998"/>
    <n v="0"/>
    <n v="1.3881458680000001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5"/>
  </r>
  <r>
    <s v="Saint Lucia"/>
    <n v="2015"/>
    <n v="179.1309967"/>
    <n v="18.51499939"/>
    <n v="95.568094279999997"/>
    <n v="1.790210415"/>
    <n v="2.6416953030000001"/>
    <n v="0"/>
    <n v="95.312261239999998"/>
    <n v="1.707252381"/>
    <n v="2.9804863780000002"/>
    <n v="0"/>
    <n v="96.694033180000005"/>
    <n v="2.1553111029999998"/>
    <n v="1.1506557129999999"/>
    <n v="0"/>
    <n v="5"/>
    <n v="0.26395005800000038"/>
    <n v="0.30035251799999968"/>
    <n v="0.10235780200000022"/>
    <n v="96"/>
    <n v="95"/>
    <n v="97"/>
    <s v=""/>
    <s v=""/>
    <s v=""/>
    <n v="0.19799471599999946"/>
    <x v="5"/>
  </r>
  <r>
    <s v="Saint Lucia"/>
    <n v="2020"/>
    <n v="183.62899780000001"/>
    <n v="18.8409996"/>
    <n v="96.887844569999999"/>
    <n v="1.815652166"/>
    <n v="1.296503269"/>
    <n v="0"/>
    <n v="96.814023829999996"/>
    <n v="1.7341522549999999"/>
    <n v="1.4518239180000001"/>
    <n v="0"/>
    <n v="97.205822190000006"/>
    <n v="2.166718886"/>
    <n v="0.6274589237"/>
    <n v="0"/>
    <s v=""/>
    <s v=""/>
    <s v=""/>
    <s v=""/>
    <n v="97"/>
    <n v="97"/>
    <n v="97"/>
    <s v=""/>
    <s v=""/>
    <s v=""/>
    <s v=""/>
    <x v="5"/>
  </r>
  <r>
    <s v="Saint Martin (French part)"/>
    <n v="2015"/>
    <n v="35.865000000000002"/>
    <n v="100"/>
    <n v="99.999774200000004"/>
    <n v="0"/>
    <n v="2.2580388819999999E-4"/>
    <n v="0"/>
    <s v="null"/>
    <s v="null"/>
    <s v="null"/>
    <s v="null"/>
    <n v="99.999774200000004"/>
    <n v="0"/>
    <n v="2.2580388819999999E-4"/>
    <n v="0"/>
    <n v="5"/>
    <n v="-1.0056200000008175E-4"/>
    <s v="null"/>
    <n v="-1.0056200000008175E-4"/>
    <n v="100"/>
    <s v="null"/>
    <n v="100"/>
    <s v="fullaccesss"/>
    <s v=""/>
    <s v="fullaccesss"/>
    <s v="null"/>
    <x v="5"/>
  </r>
  <r>
    <s v="Saint Martin (French part)"/>
    <n v="2020"/>
    <n v="38.658999999999999"/>
    <n v="100"/>
    <n v="99.999271390000004"/>
    <n v="0"/>
    <n v="7.2861055070000001E-4"/>
    <n v="0"/>
    <s v="null"/>
    <s v="null"/>
    <s v="null"/>
    <s v="null"/>
    <n v="99.999271390000004"/>
    <n v="0"/>
    <n v="7.2861055070000001E-4"/>
    <n v="0"/>
    <s v=""/>
    <s v=""/>
    <s v=""/>
    <s v=""/>
    <n v="100"/>
    <s v="null"/>
    <n v="100"/>
    <s v=""/>
    <s v=""/>
    <s v=""/>
    <s v=""/>
    <x v="5"/>
  </r>
  <r>
    <s v="Saint Pierre and Miquelon"/>
    <n v="2015"/>
    <n v="5.9920001029999996"/>
    <n v="89.888999940000005"/>
    <n v="91.4"/>
    <n v="0"/>
    <n v="8.6"/>
    <n v="0"/>
    <s v="null"/>
    <s v="null"/>
    <s v="null"/>
    <s v="null"/>
    <s v="null"/>
    <s v="null"/>
    <s v="null"/>
    <s v="null"/>
    <n v="5"/>
    <n v="0"/>
    <s v="null"/>
    <s v="null"/>
    <n v="91"/>
    <s v="null"/>
    <s v="null"/>
    <s v=""/>
    <s v=""/>
    <s v=""/>
    <s v="null"/>
    <x v="7"/>
  </r>
  <r>
    <s v="Saint Pierre and Miquelon"/>
    <n v="2020"/>
    <n v="5.795000076"/>
    <n v="89.96199799"/>
    <n v="91.4"/>
    <n v="0"/>
    <n v="8.6"/>
    <n v="0"/>
    <s v="null"/>
    <s v="null"/>
    <s v="null"/>
    <s v="null"/>
    <s v="null"/>
    <s v="null"/>
    <s v="null"/>
    <s v="null"/>
    <s v=""/>
    <s v=""/>
    <s v=""/>
    <s v=""/>
    <n v="91"/>
    <s v="null"/>
    <s v="null"/>
    <s v=""/>
    <s v=""/>
    <s v=""/>
    <s v=""/>
    <x v="7"/>
  </r>
  <r>
    <s v="Saint Vincent and the Grenadines"/>
    <n v="2015"/>
    <n v="109.13500209999999"/>
    <n v="50.963996889999997"/>
    <n v="95.145219900000001"/>
    <n v="0"/>
    <n v="4.0700937030000004"/>
    <n v="0.78468639699999998"/>
    <s v="null"/>
    <s v="null"/>
    <s v="null"/>
    <s v="null"/>
    <s v="null"/>
    <s v="null"/>
    <s v="null"/>
    <s v="null"/>
    <n v="3"/>
    <n v="0"/>
    <s v="null"/>
    <s v="null"/>
    <n v="95"/>
    <s v="null"/>
    <s v="null"/>
    <s v=""/>
    <s v=""/>
    <s v=""/>
    <s v="null"/>
    <x v="5"/>
  </r>
  <r>
    <s v="Saint Vincent and the Grenadines"/>
    <n v="2018"/>
    <n v="110.2099991"/>
    <n v="52.197998050000002"/>
    <n v="95.145219900000001"/>
    <n v="0"/>
    <n v="4.8547801000000002"/>
    <s v="null"/>
    <s v="null"/>
    <s v="null"/>
    <s v="null"/>
    <s v="null"/>
    <s v="null"/>
    <s v="null"/>
    <s v="null"/>
    <s v="null"/>
    <s v=""/>
    <s v=""/>
    <s v=""/>
    <s v=""/>
    <n v="95"/>
    <s v="null"/>
    <s v="null"/>
    <s v=""/>
    <s v=""/>
    <s v=""/>
    <s v=""/>
    <x v="5"/>
  </r>
  <r>
    <s v="Samoa"/>
    <n v="2015"/>
    <n v="193.5099945"/>
    <n v="18.914001460000001"/>
    <n v="91.321397360000006"/>
    <n v="6.4992812960000004"/>
    <n v="1.929815904"/>
    <n v="0.24950544129999999"/>
    <n v="91.386415650000004"/>
    <n v="6.194005024"/>
    <n v="2.1485295340000001"/>
    <n v="0.2710497959"/>
    <n v="91.042648679999999"/>
    <n v="7.8080270609999998"/>
    <n v="0.9921814015"/>
    <n v="0.15714285710000001"/>
    <n v="5"/>
    <n v="0.10326543799999968"/>
    <n v="7.8781444000000533E-2"/>
    <n v="0.21170826400000067"/>
    <n v="91"/>
    <n v="91"/>
    <n v="91"/>
    <s v=""/>
    <s v=""/>
    <s v=""/>
    <n v="-0.13292682000000014"/>
    <x v="3"/>
  </r>
  <r>
    <s v="Samoa"/>
    <n v="2020"/>
    <n v="198.4100037"/>
    <n v="17.888999940000001"/>
    <n v="91.837724550000004"/>
    <n v="6.5208999519999997"/>
    <n v="1.4186234280000001"/>
    <n v="0.22275206789999999"/>
    <n v="91.780322870000006"/>
    <n v="6.2207033389999999"/>
    <n v="1.7276921599999999"/>
    <n v="0.2712816327"/>
    <n v="92.101190000000003"/>
    <n v="7.8988100000000001"/>
    <n v="0"/>
    <n v="0"/>
    <s v=""/>
    <s v=""/>
    <s v=""/>
    <s v=""/>
    <n v="92"/>
    <n v="92"/>
    <n v="92"/>
    <s v=""/>
    <s v=""/>
    <s v=""/>
    <s v=""/>
    <x v="3"/>
  </r>
  <r>
    <s v="San Marino"/>
    <n v="2015"/>
    <n v="33.270000459999999"/>
    <n v="96.738998409999994"/>
    <n v="100"/>
    <n v="0"/>
    <n v="0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1"/>
  </r>
  <r>
    <s v="San Marino"/>
    <n v="2020"/>
    <n v="33.937999730000001"/>
    <n v="97.499000550000005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Sao Tome and Principe"/>
    <n v="2015"/>
    <n v="199.43899540000001"/>
    <n v="70.174003600000006"/>
    <n v="77.124229790000001"/>
    <n v="18.34430682"/>
    <n v="1.8595771210000001"/>
    <n v="2.6718862689999998"/>
    <n v="71.282716640000004"/>
    <n v="17.07304495"/>
    <n v="4.1184792559999996"/>
    <n v="7.5257591550000003"/>
    <n v="79.607040999999995"/>
    <n v="18.884629660000002"/>
    <n v="0.89948056340000004"/>
    <n v="0.60884877739999999"/>
    <n v="5"/>
    <n v="0.22044507399999985"/>
    <n v="0.6035795699999994"/>
    <n v="-5.2996199999995495E-3"/>
    <n v="77"/>
    <n v="71"/>
    <n v="80"/>
    <s v=""/>
    <s v=""/>
    <s v=""/>
    <n v="0.6088791899999989"/>
    <x v="4"/>
  </r>
  <r>
    <s v="Sao Tome and Principe"/>
    <n v="2020"/>
    <n v="219.16099550000001"/>
    <n v="74.354003910000003"/>
    <n v="78.22645516"/>
    <n v="20.237982980000002"/>
    <n v="0.44351992839999999"/>
    <n v="1.0920419299999999"/>
    <n v="74.300614490000001"/>
    <n v="19.711842579999999"/>
    <n v="1.7294057039999999"/>
    <n v="4.2581372279999998"/>
    <n v="79.580542899999998"/>
    <n v="20.419457099999999"/>
    <n v="0"/>
    <n v="0"/>
    <s v=""/>
    <s v=""/>
    <s v=""/>
    <s v=""/>
    <n v="78"/>
    <n v="74"/>
    <n v="80"/>
    <s v=""/>
    <s v=""/>
    <s v=""/>
    <s v=""/>
    <x v="4"/>
  </r>
  <r>
    <s v="Saudi Arabia"/>
    <n v="2015"/>
    <n v="31717.675780000001"/>
    <n v="83.180000309999997"/>
    <n v="99.548026379999996"/>
    <n v="0"/>
    <n v="0.45197361660000002"/>
    <n v="0"/>
    <s v="null"/>
    <s v="null"/>
    <s v="null"/>
    <s v="null"/>
    <s v="null"/>
    <s v="null"/>
    <s v="null"/>
    <s v="null"/>
    <n v="5"/>
    <n v="9.0394724000000787E-2"/>
    <s v="null"/>
    <s v="null"/>
    <n v="100"/>
    <s v="null"/>
    <s v="null"/>
    <s v="fullaccesss"/>
    <s v=""/>
    <s v=""/>
    <s v="null"/>
    <x v="1"/>
  </r>
  <r>
    <s v="Saudi Arabia"/>
    <n v="2020"/>
    <n v="34813.867189999997"/>
    <n v="84.287002560000005"/>
    <n v="100"/>
    <n v="0"/>
    <n v="0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Senegal"/>
    <n v="2015"/>
    <n v="14578.450199999999"/>
    <n v="45.86200333"/>
    <n v="78.602093620000005"/>
    <n v="3.3921456349999999"/>
    <n v="17.594913179999999"/>
    <n v="0.41084756459999999"/>
    <n v="65.941201559999996"/>
    <n v="5.2534118540000003"/>
    <n v="28.079192549999998"/>
    <n v="0.72619403689999995"/>
    <n v="93.547697760000005"/>
    <n v="1.195005973"/>
    <n v="5.2187007940000001"/>
    <n v="3.8595473790000001E-2"/>
    <n v="5"/>
    <n v="1.2606288339999991"/>
    <n v="1.8603453279999997"/>
    <n v="0.35480063599999878"/>
    <n v="79"/>
    <n v="66"/>
    <n v="94"/>
    <s v=""/>
    <s v=""/>
    <s v=""/>
    <n v="1.5055446920000009"/>
    <x v="4"/>
  </r>
  <r>
    <s v="Senegal"/>
    <n v="2020"/>
    <n v="16743.929690000001"/>
    <n v="48.122001650000001"/>
    <n v="84.905237790000001"/>
    <n v="2.3872175090000001"/>
    <n v="12.60781566"/>
    <n v="9.9729040419999998E-2"/>
    <n v="75.242928199999994"/>
    <n v="4.052382433"/>
    <n v="20.512451739999999"/>
    <n v="0.1922376314"/>
    <n v="95.321700939999999"/>
    <n v="0.59208365669999996"/>
    <n v="4.0862154019999997"/>
    <n v="0"/>
    <s v=""/>
    <s v=""/>
    <s v=""/>
    <s v=""/>
    <n v="85"/>
    <n v="75"/>
    <n v="95"/>
    <s v=""/>
    <s v=""/>
    <s v=""/>
    <s v=""/>
    <x v="4"/>
  </r>
  <r>
    <s v="Serbia"/>
    <n v="2015"/>
    <n v="8876.7773440000001"/>
    <n v="55.695999149999999"/>
    <n v="93.386457300000004"/>
    <n v="6.1120960520000001"/>
    <n v="0.48354363439999998"/>
    <n v="1.7903015790000001E-2"/>
    <n v="94.723529049999996"/>
    <n v="4.6004382010000002"/>
    <n v="0.63562326859999996"/>
    <n v="4.0409477999999999E-2"/>
    <n v="92.322868690000007"/>
    <n v="7.3145611089999996"/>
    <n v="0.36257019709999999"/>
    <n v="0"/>
    <n v="5"/>
    <n v="0.38181440399999927"/>
    <n v="0.22428914000000191"/>
    <n v="0.50974023999999929"/>
    <n v="93"/>
    <n v="95"/>
    <n v="92"/>
    <s v=""/>
    <s v=""/>
    <s v=""/>
    <n v="-0.2854510999999974"/>
    <x v="1"/>
  </r>
  <r>
    <s v="Serbia"/>
    <n v="2020"/>
    <n v="8737.3701170000004"/>
    <n v="56.445999149999999"/>
    <n v="95.29552932"/>
    <n v="4.244199279"/>
    <n v="0.44372047780000001"/>
    <n v="1.6550926470000001E-2"/>
    <n v="95.844974750000006"/>
    <n v="3.545864028"/>
    <n v="0.57116028659999996"/>
    <n v="3.8000931410000001E-2"/>
    <n v="94.871569890000004"/>
    <n v="4.7830378649999998"/>
    <n v="0.3453922445"/>
    <n v="0"/>
    <s v=""/>
    <s v=""/>
    <s v=""/>
    <s v=""/>
    <n v="95"/>
    <n v="96"/>
    <n v="95"/>
    <s v=""/>
    <s v=""/>
    <s v=""/>
    <s v=""/>
    <x v="1"/>
  </r>
  <r>
    <s v="Seychelles"/>
    <n v="2015"/>
    <n v="94.981002810000007"/>
    <n v="55.400001529999997"/>
    <n v="96.250891499999994"/>
    <n v="0"/>
    <n v="0"/>
    <n v="3.7491085019999999"/>
    <s v="null"/>
    <s v="null"/>
    <s v="null"/>
    <s v="null"/>
    <s v="null"/>
    <s v="null"/>
    <s v="null"/>
    <s v="null"/>
    <n v="4"/>
    <n v="0.15021384750000166"/>
    <s v="null"/>
    <s v="null"/>
    <n v="96"/>
    <s v="null"/>
    <s v="null"/>
    <s v=""/>
    <s v=""/>
    <s v=""/>
    <s v="null"/>
    <x v="3"/>
  </r>
  <r>
    <s v="Seychelles"/>
    <n v="2019"/>
    <n v="97.740997309999997"/>
    <n v="57.119003300000003"/>
    <n v="96.851746890000001"/>
    <n v="0"/>
    <n v="3.1482531090000001"/>
    <s v="null"/>
    <s v="null"/>
    <s v="null"/>
    <s v="null"/>
    <s v="null"/>
    <s v="null"/>
    <s v="null"/>
    <s v="null"/>
    <s v="null"/>
    <s v=""/>
    <s v=""/>
    <s v=""/>
    <s v=""/>
    <n v="97"/>
    <s v="null"/>
    <s v="null"/>
    <s v=""/>
    <s v=""/>
    <s v=""/>
    <s v=""/>
    <x v="3"/>
  </r>
  <r>
    <s v="Sierra Leone"/>
    <n v="2015"/>
    <n v="7171.9091799999997"/>
    <n v="40.828998570000003"/>
    <n v="57.847465159999999"/>
    <n v="8.1969579570000004"/>
    <n v="15.91095456"/>
    <n v="18.044622319999998"/>
    <n v="45.529713839999999"/>
    <n v="4.8404944719999996"/>
    <n v="21.716961430000001"/>
    <n v="27.912830270000001"/>
    <n v="75.698837580000003"/>
    <n v="13.06127759"/>
    <n v="7.4966597610000001"/>
    <n v="3.7432250680000001"/>
    <n v="5"/>
    <n v="1.1837640919999999"/>
    <n v="1.4445977659999998"/>
    <n v="0.54256001599999881"/>
    <n v="58"/>
    <n v="46"/>
    <n v="76"/>
    <s v=""/>
    <s v=""/>
    <s v=""/>
    <n v="0.90203775000000097"/>
    <x v="4"/>
  </r>
  <r>
    <s v="Sierra Leone"/>
    <n v="2020"/>
    <n v="7976.9848629999997"/>
    <n v="42.923000340000002"/>
    <n v="63.766285619999998"/>
    <n v="9.0233163570000006"/>
    <n v="15.5639457"/>
    <n v="11.646452330000001"/>
    <n v="52.752702669999998"/>
    <n v="5.2211368890000003"/>
    <n v="23.142949089999998"/>
    <n v="18.88321135"/>
    <n v="78.411637659999997"/>
    <n v="14.079277429999999"/>
    <n v="5.4857354369999998"/>
    <n v="2.0233494749999998"/>
    <s v=""/>
    <s v=""/>
    <s v=""/>
    <s v=""/>
    <n v="64"/>
    <n v="53"/>
    <n v="78"/>
    <s v=""/>
    <s v=""/>
    <s v=""/>
    <s v=""/>
    <x v="4"/>
  </r>
  <r>
    <s v="Singapore"/>
    <n v="2015"/>
    <n v="5592.1430659999996"/>
    <n v="100"/>
    <n v="100"/>
    <n v="0"/>
    <n v="0"/>
    <n v="0"/>
    <s v="null"/>
    <s v="null"/>
    <s v="null"/>
    <s v="null"/>
    <n v="100"/>
    <n v="0"/>
    <n v="0"/>
    <n v="0"/>
    <n v="5"/>
    <n v="0"/>
    <s v="null"/>
    <n v="0"/>
    <n v="100"/>
    <s v="null"/>
    <n v="100"/>
    <s v="fullaccesss"/>
    <s v=""/>
    <s v="fullaccesss"/>
    <s v="null"/>
    <x v="3"/>
  </r>
  <r>
    <s v="Singapore"/>
    <n v="2020"/>
    <n v="5850.3427730000003"/>
    <n v="100"/>
    <n v="100"/>
    <n v="0"/>
    <n v="0"/>
    <n v="0"/>
    <s v="null"/>
    <s v="null"/>
    <s v="null"/>
    <s v="null"/>
    <n v="100"/>
    <n v="0"/>
    <n v="0"/>
    <n v="0"/>
    <s v=""/>
    <s v=""/>
    <s v=""/>
    <s v=""/>
    <n v="100"/>
    <s v="null"/>
    <n v="100"/>
    <s v=""/>
    <s v=""/>
    <s v=""/>
    <s v=""/>
    <x v="3"/>
  </r>
  <r>
    <s v="Sint Maarten (Dutch part)"/>
    <n v="2015"/>
    <n v="39.966999049999998"/>
    <n v="100"/>
    <n v="95.311179330000002"/>
    <n v="0"/>
    <n v="4.6888206700000001"/>
    <n v="0"/>
    <s v="null"/>
    <s v="null"/>
    <s v="null"/>
    <s v="null"/>
    <n v="95.311179330000002"/>
    <n v="0"/>
    <n v="4.6888206700000001"/>
    <n v="0"/>
    <n v="2"/>
    <n v="0"/>
    <s v="null"/>
    <n v="0"/>
    <n v="95"/>
    <s v="null"/>
    <n v="95"/>
    <s v=""/>
    <s v=""/>
    <s v=""/>
    <s v="null"/>
    <x v="5"/>
  </r>
  <r>
    <s v="Sint Maarten (Dutch part)"/>
    <n v="2017"/>
    <n v="41.444000240000001"/>
    <n v="100"/>
    <n v="95.311179330000002"/>
    <n v="0"/>
    <n v="4.6888206700000001"/>
    <n v="0"/>
    <s v="null"/>
    <s v="null"/>
    <s v="null"/>
    <s v="null"/>
    <n v="95.311179330000002"/>
    <n v="0"/>
    <n v="4.6888206700000001"/>
    <n v="0"/>
    <s v=""/>
    <s v=""/>
    <s v=""/>
    <s v=""/>
    <n v="95"/>
    <s v="null"/>
    <n v="95"/>
    <s v=""/>
    <s v=""/>
    <s v=""/>
    <s v=""/>
    <x v="5"/>
  </r>
  <r>
    <s v="Slovakia"/>
    <n v="2015"/>
    <n v="5435.6137699999999"/>
    <n v="53.888999939999998"/>
    <n v="99.787189130000002"/>
    <n v="0.21281086739999999"/>
    <n v="0"/>
    <n v="0"/>
    <n v="100"/>
    <n v="0"/>
    <n v="0"/>
    <n v="0"/>
    <n v="99.605094059999999"/>
    <n v="0.39490593740000002"/>
    <n v="0"/>
    <n v="0"/>
    <n v="5"/>
    <n v="1.018899999991163E-4"/>
    <n v="0"/>
    <n v="0"/>
    <n v="100"/>
    <n v="100"/>
    <n v="100"/>
    <s v="fullaccesss"/>
    <s v="fullaccesss"/>
    <s v="fullaccesss"/>
    <n v="0"/>
    <x v="1"/>
  </r>
  <r>
    <s v="Slovakia"/>
    <n v="2020"/>
    <n v="5459.6430659999996"/>
    <n v="53.759998320000001"/>
    <n v="99.787698579999997"/>
    <n v="0.2123014241"/>
    <n v="0"/>
    <n v="0"/>
    <n v="100"/>
    <n v="0"/>
    <n v="0"/>
    <n v="0"/>
    <n v="99.605094059999999"/>
    <n v="0.39490593740000002"/>
    <n v="0"/>
    <n v="0"/>
    <s v=""/>
    <s v=""/>
    <s v=""/>
    <s v=""/>
    <n v="100"/>
    <n v="100"/>
    <n v="100"/>
    <s v=""/>
    <s v=""/>
    <s v=""/>
    <s v=""/>
    <x v="1"/>
  </r>
  <r>
    <s v="Slovenia"/>
    <n v="2015"/>
    <n v="2071.1989749999998"/>
    <n v="53.78100586"/>
    <n v="99.5"/>
    <n v="0"/>
    <n v="0.5"/>
    <n v="0"/>
    <s v="null"/>
    <s v="null"/>
    <s v="null"/>
    <s v="null"/>
    <s v="null"/>
    <s v="null"/>
    <s v="null"/>
    <s v="null"/>
    <n v="5"/>
    <n v="0"/>
    <s v="null"/>
    <s v="null"/>
    <n v="100"/>
    <s v="null"/>
    <s v="null"/>
    <s v="fullaccesss"/>
    <s v=""/>
    <s v=""/>
    <s v="null"/>
    <x v="1"/>
  </r>
  <r>
    <s v="Slovenia"/>
    <n v="2020"/>
    <n v="2078.931885"/>
    <n v="55.118003850000001"/>
    <n v="99.5"/>
    <n v="0"/>
    <n v="0.5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Solomon Islands"/>
    <n v="2015"/>
    <n v="603.13299559999996"/>
    <n v="22.359998699999998"/>
    <n v="69.329918890000002"/>
    <n v="5.7052676340000001"/>
    <n v="18.988981249999998"/>
    <n v="5.9758322210000001"/>
    <n v="63.012138190000002"/>
    <n v="6.3384682029999997"/>
    <n v="23.284595639999999"/>
    <n v="7.3647979660000003"/>
    <n v="91.266972050000007"/>
    <n v="3.5066230169999999"/>
    <n v="4.0734396070000001"/>
    <n v="1.1529653280000001"/>
    <n v="5"/>
    <n v="-0.40577867000000084"/>
    <n v="-0.72137414000000033"/>
    <n v="2.8760967999997434E-2"/>
    <n v="69"/>
    <n v="63"/>
    <n v="91"/>
    <s v=""/>
    <s v=""/>
    <s v=""/>
    <n v="-0.75013510799999772"/>
    <x v="3"/>
  </r>
  <r>
    <s v="Solomon Islands"/>
    <n v="2020"/>
    <n v="686.87799070000005"/>
    <n v="24.670000080000001"/>
    <n v="67.301025539999998"/>
    <n v="5.79547831"/>
    <n v="21.267843129999999"/>
    <n v="5.6356530249999999"/>
    <n v="59.40526749"/>
    <n v="6.5285236490000003"/>
    <n v="26.955911"/>
    <n v="7.1102978569999999"/>
    <n v="91.410776889999994"/>
    <n v="3.5571204249999999"/>
    <n v="3.8992861369999998"/>
    <n v="1.1328165530000001"/>
    <s v=""/>
    <s v=""/>
    <s v=""/>
    <s v=""/>
    <n v="67"/>
    <n v="59"/>
    <n v="91"/>
    <s v=""/>
    <s v=""/>
    <s v=""/>
    <s v=""/>
    <x v="3"/>
  </r>
  <r>
    <s v="Somalia"/>
    <n v="2015"/>
    <n v="13797.204100000001"/>
    <n v="43.245002749999998"/>
    <n v="48.711153680000002"/>
    <n v="23.406187760000002"/>
    <n v="20.154106760000001"/>
    <n v="7.7285517889999999"/>
    <n v="29.2281926"/>
    <n v="28.887148530000001"/>
    <n v="28.975788860000002"/>
    <n v="12.908870009999999"/>
    <n v="74.28070864"/>
    <n v="16.212941990000001"/>
    <n v="8.5764782830000001"/>
    <n v="0.92987109219999997"/>
    <n v="5"/>
    <n v="1.553163941999999"/>
    <n v="1.5695340439999996"/>
    <n v="0.96851942000000124"/>
    <n v="49"/>
    <n v="29"/>
    <n v="74"/>
    <s v=""/>
    <s v=""/>
    <s v=""/>
    <n v="0.60101462399999839"/>
    <x v="4"/>
  </r>
  <r>
    <s v="Somalia"/>
    <n v="2020"/>
    <n v="15893.21875"/>
    <n v="46.140998840000002"/>
    <n v="56.476973389999998"/>
    <n v="27.704199559999999"/>
    <n v="13.41704303"/>
    <n v="2.4017840210000001"/>
    <n v="37.075862819999998"/>
    <n v="36.643249580000003"/>
    <n v="21.821495460000001"/>
    <n v="4.4593921429999996"/>
    <n v="79.123305740000006"/>
    <n v="17.269915560000001"/>
    <n v="3.6067787029999998"/>
    <n v="0"/>
    <s v=""/>
    <s v=""/>
    <s v=""/>
    <s v=""/>
    <n v="56"/>
    <n v="37"/>
    <n v="79"/>
    <s v=""/>
    <s v=""/>
    <s v=""/>
    <s v=""/>
    <x v="4"/>
  </r>
  <r>
    <s v="South Africa"/>
    <n v="2015"/>
    <n v="55386.367189999997"/>
    <n v="64.828002929999997"/>
    <n v="91.876343869999999"/>
    <n v="2.8031559650000002"/>
    <n v="2.0788208039999998"/>
    <n v="3.2416793589999999"/>
    <n v="79.033738529999994"/>
    <n v="6.6176674499999999"/>
    <n v="5.1319458180000002"/>
    <n v="9.216648202"/>
    <n v="98.844013450000006"/>
    <n v="0.73361828630000003"/>
    <n v="0.42236825970000003"/>
    <n v="0"/>
    <n v="5"/>
    <n v="0.4017427139999995"/>
    <n v="0.85914853000000169"/>
    <n v="3.1450277999999797E-2"/>
    <n v="92"/>
    <n v="79"/>
    <n v="99"/>
    <s v=""/>
    <s v=""/>
    <s v=""/>
    <n v="0.82769825200000191"/>
    <x v="4"/>
  </r>
  <r>
    <s v="South Africa"/>
    <n v="2020"/>
    <n v="59308.691409999999"/>
    <n v="67.354003910000003"/>
    <n v="93.885057439999997"/>
    <n v="2.7727361859999999"/>
    <n v="1.410816657"/>
    <n v="1.9313897120000001"/>
    <n v="83.329481180000002"/>
    <n v="6.9773593590000003"/>
    <n v="3.7769992870000002"/>
    <n v="5.9161601729999997"/>
    <n v="99.001264840000005"/>
    <n v="0.73478540299999995"/>
    <n v="0.26394975469999998"/>
    <n v="0"/>
    <s v=""/>
    <s v=""/>
    <s v=""/>
    <s v=""/>
    <n v="94"/>
    <n v="83"/>
    <n v="99"/>
    <s v=""/>
    <s v=""/>
    <s v=""/>
    <s v=""/>
    <x v="4"/>
  </r>
  <r>
    <s v="South Sudan"/>
    <n v="2015"/>
    <n v="10715.657230000001"/>
    <n v="18.851999280000001"/>
    <n v="41.247509460000003"/>
    <n v="30.695737130000001"/>
    <n v="13.55439295"/>
    <n v="14.502360449999999"/>
    <n v="36.726779729999997"/>
    <n v="32.662799669999998"/>
    <n v="14.310065379999999"/>
    <n v="16.30035522"/>
    <n v="60.70687736"/>
    <n v="22.228553949999998"/>
    <n v="10.301639140000001"/>
    <n v="6.7629295520000001"/>
    <n v="5"/>
    <n v="-5.9316458000000696E-2"/>
    <n v="-0.6266301839999997"/>
    <n v="1.8621654179999994"/>
    <n v="41"/>
    <n v="37"/>
    <n v="61"/>
    <s v=""/>
    <s v=""/>
    <s v=""/>
    <n v="-2.4887956019999988"/>
    <x v="4"/>
  </r>
  <r>
    <s v="South Sudan"/>
    <n v="2020"/>
    <n v="11193.728520000001"/>
    <n v="20.198999400000002"/>
    <n v="40.95092717"/>
    <n v="37.426962869999997"/>
    <n v="13.537555190000001"/>
    <n v="8.0845547619999998"/>
    <n v="33.593628809999998"/>
    <n v="42.164380680000001"/>
    <n v="14.111096160000001"/>
    <n v="10.13089435"/>
    <n v="70.017704449999997"/>
    <n v="18.710660919999999"/>
    <n v="11.27163464"/>
    <n v="0"/>
    <s v=""/>
    <s v=""/>
    <s v=""/>
    <s v=""/>
    <n v="41"/>
    <n v="34"/>
    <n v="70"/>
    <s v=""/>
    <s v=""/>
    <s v=""/>
    <s v=""/>
    <x v="4"/>
  </r>
  <r>
    <s v="Spain"/>
    <n v="2015"/>
    <n v="46671.917970000002"/>
    <n v="79.60199738"/>
    <n v="99.926720459999999"/>
    <n v="0"/>
    <n v="7.3279544409999994E-2"/>
    <n v="0"/>
    <n v="100"/>
    <n v="0"/>
    <n v="0"/>
    <n v="0"/>
    <n v="99.907945209999994"/>
    <n v="0"/>
    <n v="9.2054794519999997E-2"/>
    <n v="0"/>
    <n v="5"/>
    <n v="-2.2156999999936033E-4"/>
    <n v="0"/>
    <n v="0"/>
    <n v="100"/>
    <n v="100"/>
    <n v="100"/>
    <s v="fullaccesss"/>
    <s v="fullaccesss"/>
    <s v="fullaccesss"/>
    <n v="0"/>
    <x v="1"/>
  </r>
  <r>
    <s v="Spain"/>
    <n v="2020"/>
    <n v="46754.78125"/>
    <n v="80.809997559999999"/>
    <n v="99.925612610000002"/>
    <n v="0"/>
    <n v="7.4387391420000004E-2"/>
    <n v="0"/>
    <n v="100"/>
    <n v="0"/>
    <n v="0"/>
    <n v="0"/>
    <n v="99.907945209999994"/>
    <n v="0"/>
    <n v="9.2054794519999997E-2"/>
    <n v="0"/>
    <s v=""/>
    <s v=""/>
    <s v=""/>
    <s v=""/>
    <n v="100"/>
    <n v="100"/>
    <n v="100"/>
    <s v=""/>
    <s v=""/>
    <s v=""/>
    <s v=""/>
    <x v="1"/>
  </r>
  <r>
    <s v="Sri Lanka"/>
    <n v="2015"/>
    <n v="20908.023440000001"/>
    <n v="18.256000520000001"/>
    <n v="90.111028570000002"/>
    <n v="0.91280129350000005"/>
    <n v="6.7615228930000004"/>
    <n v="2.2146472469999998"/>
    <n v="88.257106140000005"/>
    <n v="1.0162902579999999"/>
    <n v="8.017356135"/>
    <n v="2.7092474630000001"/>
    <n v="98.412246519999997"/>
    <n v="0.44941380939999998"/>
    <n v="1.1383396720000001"/>
    <n v="0"/>
    <n v="5"/>
    <n v="0.42331015999999977"/>
    <n v="0.45606591199999968"/>
    <n v="0.23142673400000149"/>
    <n v="90"/>
    <n v="88"/>
    <n v="98"/>
    <s v=""/>
    <s v=""/>
    <s v=""/>
    <n v="0.22463917799999819"/>
    <x v="6"/>
  </r>
  <r>
    <s v="Sri Lanka"/>
    <n v="2020"/>
    <n v="21413.25"/>
    <n v="18.71299934"/>
    <n v="92.227579370000001"/>
    <n v="0.59545814949999998"/>
    <n v="5.3489270639999997"/>
    <n v="1.82803542"/>
    <n v="90.537435700000003"/>
    <n v="0.70320990380000004"/>
    <n v="6.5104886119999996"/>
    <n v="2.2488657820000002"/>
    <n v="99.569380190000004"/>
    <n v="0.12739779009999999"/>
    <n v="0.3032220202"/>
    <n v="0"/>
    <s v=""/>
    <s v=""/>
    <s v=""/>
    <s v=""/>
    <n v="92"/>
    <n v="91"/>
    <n v="100"/>
    <s v=""/>
    <s v=""/>
    <s v=""/>
    <s v=""/>
    <x v="6"/>
  </r>
  <r>
    <s v="Sudan"/>
    <n v="2015"/>
    <n v="38902.949220000002"/>
    <n v="33.894001009999997"/>
    <n v="58.950253320000002"/>
    <n v="26.111815979999999"/>
    <n v="5.635847128"/>
    <n v="9.3020835690000006"/>
    <n v="51.707437730000002"/>
    <n v="26.687789639999998"/>
    <n v="8.1225675119999998"/>
    <n v="13.482205130000001"/>
    <n v="73.076457570000002"/>
    <n v="24.98845154"/>
    <n v="0.78581062170000004"/>
    <n v="1.14928027"/>
    <n v="5"/>
    <n v="0.29968445599999993"/>
    <n v="0.29831786799999949"/>
    <n v="0.13744039799999824"/>
    <n v="59"/>
    <n v="52"/>
    <n v="73"/>
    <s v=""/>
    <s v=""/>
    <s v=""/>
    <n v="0.16087747000000124"/>
    <x v="2"/>
  </r>
  <r>
    <s v="Sudan"/>
    <n v="2020"/>
    <n v="43849.269529999998"/>
    <n v="35.252998349999999"/>
    <n v="60.448675600000001"/>
    <n v="26.670019750000002"/>
    <n v="3.6502178750000001"/>
    <n v="9.2310867739999996"/>
    <n v="53.19902707"/>
    <n v="27.457644510000002"/>
    <n v="5.6376600080000001"/>
    <n v="13.70566842"/>
    <n v="73.763659559999994"/>
    <n v="25.223439859999999"/>
    <n v="0"/>
    <n v="1.012900581"/>
    <s v=""/>
    <s v=""/>
    <s v=""/>
    <s v=""/>
    <n v="60"/>
    <n v="53"/>
    <n v="74"/>
    <s v=""/>
    <s v=""/>
    <s v=""/>
    <s v=""/>
    <x v="2"/>
  </r>
  <r>
    <s v="Suriname"/>
    <n v="2015"/>
    <n v="559.13598630000001"/>
    <n v="66.055999760000006"/>
    <n v="95.747692169999993"/>
    <n v="0.88280139830000004"/>
    <n v="1.0138349760000001"/>
    <n v="2.3556714599999999"/>
    <n v="90.57961632"/>
    <n v="1.2850321419999999"/>
    <n v="1.200506574"/>
    <n v="6.9348449649999999"/>
    <n v="98.403399699999994"/>
    <n v="0.67610833329999998"/>
    <n v="0.91790651420000002"/>
    <n v="2.585454545E-3"/>
    <n v="5"/>
    <n v="0.44838790000000017"/>
    <n v="1.1989592619999996"/>
    <n v="6.209083399999997E-2"/>
    <n v="96"/>
    <n v="91"/>
    <n v="98"/>
    <s v=""/>
    <s v=""/>
    <s v=""/>
    <n v="1.1368684279999997"/>
    <x v="5"/>
  </r>
  <r>
    <s v="Suriname"/>
    <n v="2020"/>
    <n v="586.63397220000002"/>
    <n v="66.149002080000002"/>
    <n v="97.989631669999994"/>
    <n v="1.0672469410000001"/>
    <n v="0.37933650730000001"/>
    <n v="0.56378488400000004"/>
    <n v="96.574412629999998"/>
    <n v="1.6002958599999999"/>
    <n v="0.1598017947"/>
    <n v="1.6654897200000001"/>
    <n v="98.713853869999994"/>
    <n v="0.79446523710000005"/>
    <n v="0.49168089250000002"/>
    <n v="0"/>
    <s v=""/>
    <s v=""/>
    <s v=""/>
    <s v=""/>
    <n v="98"/>
    <n v="97"/>
    <n v="99"/>
    <s v=""/>
    <s v=""/>
    <s v=""/>
    <s v=""/>
    <x v="5"/>
  </r>
  <r>
    <s v="Sweden"/>
    <n v="2015"/>
    <n v="9764.9492190000001"/>
    <n v="86.553001399999999"/>
    <n v="99.781231030000001"/>
    <n v="0"/>
    <n v="0.2187689729"/>
    <n v="0"/>
    <n v="99.549986529999998"/>
    <n v="0"/>
    <n v="0.4500134657"/>
    <n v="0"/>
    <n v="99.817160389999998"/>
    <n v="0"/>
    <n v="0.18283961479999999"/>
    <n v="0"/>
    <n v="5"/>
    <n v="9.1273199999989171E-3"/>
    <n v="3.387764200000163E-2"/>
    <n v="4.8794579999992035E-3"/>
    <n v="100"/>
    <n v="100"/>
    <n v="100"/>
    <s v="fullaccesss"/>
    <s v="fullaccesss"/>
    <s v="fullaccesss"/>
    <n v="2.8998184000002425E-2"/>
    <x v="1"/>
  </r>
  <r>
    <s v="Sweden"/>
    <n v="2020"/>
    <n v="10099.26953"/>
    <n v="87.97699738"/>
    <n v="99.826867629999995"/>
    <n v="0"/>
    <n v="0.17313237349999999"/>
    <n v="0"/>
    <n v="99.719374740000006"/>
    <n v="0"/>
    <n v="0.28062526259999998"/>
    <n v="0"/>
    <n v="99.841557679999994"/>
    <n v="0"/>
    <n v="0.1584423157"/>
    <n v="0"/>
    <s v=""/>
    <s v=""/>
    <s v=""/>
    <s v=""/>
    <n v="100"/>
    <n v="100"/>
    <n v="100"/>
    <s v=""/>
    <s v=""/>
    <s v=""/>
    <s v=""/>
    <x v="1"/>
  </r>
  <r>
    <s v="Switzerland"/>
    <n v="2015"/>
    <n v="8296.7753909999992"/>
    <n v="73.718002319999997"/>
    <n v="100"/>
    <n v="0"/>
    <n v="0"/>
    <n v="0"/>
    <n v="100"/>
    <n v="0"/>
    <n v="0"/>
    <n v="0"/>
    <n v="100"/>
    <n v="0"/>
    <n v="0"/>
    <n v="0"/>
    <n v="5"/>
    <n v="5.6000000085987263E-7"/>
    <n v="0"/>
    <n v="0"/>
    <n v="100"/>
    <n v="100"/>
    <n v="100"/>
    <s v="fullaccesss"/>
    <s v="fullaccesss"/>
    <s v="fullaccesss"/>
    <n v="0"/>
    <x v="1"/>
  </r>
  <r>
    <s v="Switzerland"/>
    <n v="2020"/>
    <n v="8654.6181639999995"/>
    <n v="73.915000919999997"/>
    <n v="100.0000028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Syrian Arab Republic"/>
    <n v="2015"/>
    <n v="17997.410159999999"/>
    <n v="52.167999270000003"/>
    <n v="93.509611480000004"/>
    <n v="5.9680836279999996"/>
    <n v="0.52230488829999999"/>
    <n v="0"/>
    <n v="91.385705099999996"/>
    <n v="7.8573236560000002"/>
    <n v="0.75697124390000003"/>
    <n v="0"/>
    <n v="95.456987190000007"/>
    <n v="4.2358697369999998"/>
    <n v="0.30714306949999998"/>
    <n v="0"/>
    <n v="5"/>
    <n v="8.3249139999998084E-2"/>
    <n v="0.13940798000000143"/>
    <n v="-1.0364566000001218E-2"/>
    <n v="94"/>
    <n v="91"/>
    <n v="95"/>
    <s v=""/>
    <s v=""/>
    <s v=""/>
    <n v="0.14977254600000264"/>
    <x v="2"/>
  </r>
  <r>
    <s v="Syrian Arab Republic"/>
    <n v="2020"/>
    <n v="17500.65625"/>
    <n v="55.475002289999999"/>
    <n v="93.925857179999994"/>
    <n v="5.8737307679999997"/>
    <n v="0.20041205419999999"/>
    <n v="0"/>
    <n v="92.082745000000003"/>
    <n v="7.9172549999999999"/>
    <n v="0"/>
    <n v="0"/>
    <n v="95.405164360000001"/>
    <n v="4.2335701170000002"/>
    <n v="0.36126552499999998"/>
    <n v="0"/>
    <s v=""/>
    <s v=""/>
    <s v=""/>
    <s v=""/>
    <n v="94"/>
    <n v="92"/>
    <n v="95"/>
    <s v=""/>
    <s v=""/>
    <s v=""/>
    <s v=""/>
    <x v="2"/>
  </r>
  <r>
    <s v="Tajikistan"/>
    <n v="2015"/>
    <n v="8454.0185550000006"/>
    <n v="26.742000579999999"/>
    <n v="76.239495509999998"/>
    <n v="3.050011091"/>
    <n v="3.944733748"/>
    <n v="16.76575965"/>
    <n v="69.552182060000007"/>
    <n v="3.681021887"/>
    <n v="4.8574855120000002"/>
    <n v="21.90931054"/>
    <n v="94.558955389999994"/>
    <n v="1.321396987"/>
    <n v="1.444318955"/>
    <n v="2.6753286630000002"/>
    <n v="5"/>
    <n v="1.1225839019999995"/>
    <n v="1.4182834279999981"/>
    <n v="0.20433369400000173"/>
    <n v="76"/>
    <n v="70"/>
    <n v="95"/>
    <s v=""/>
    <s v=""/>
    <s v=""/>
    <n v="1.2139497339999963"/>
    <x v="1"/>
  </r>
  <r>
    <s v="Tajikistan"/>
    <n v="2020"/>
    <n v="9537.6416019999997"/>
    <n v="27.505998609999999"/>
    <n v="81.852415019999995"/>
    <n v="2.5683639349999998"/>
    <n v="3.4218570050000001"/>
    <n v="12.157364039999999"/>
    <n v="76.643599199999997"/>
    <n v="3.2071439279999998"/>
    <n v="4.1407069480000001"/>
    <n v="16.00854992"/>
    <n v="95.580623860000003"/>
    <n v="0.88481447629999999"/>
    <n v="1.5272683229999999"/>
    <n v="2.0072933389999998"/>
    <s v=""/>
    <s v=""/>
    <s v=""/>
    <s v=""/>
    <n v="82"/>
    <n v="77"/>
    <n v="96"/>
    <s v=""/>
    <s v=""/>
    <s v=""/>
    <s v=""/>
    <x v="1"/>
  </r>
  <r>
    <s v="Thailand"/>
    <n v="2015"/>
    <n v="68714.515629999994"/>
    <n v="47.694004059999997"/>
    <n v="99.259170580000003"/>
    <n v="0.2176525852"/>
    <n v="0.1822513237"/>
    <n v="0.34092551430000001"/>
    <n v="98.879516710000004"/>
    <n v="0.2456716052"/>
    <n v="0.22302119049999999"/>
    <n v="0.65179049"/>
    <n v="99.675536840000007"/>
    <n v="0.1869241354"/>
    <n v="0.1375390245"/>
    <n v="0"/>
    <n v="5"/>
    <n v="0.14816588399999944"/>
    <n v="0.22409665799999914"/>
    <n v="6.4892631999998687E-2"/>
    <n v="99"/>
    <n v="99"/>
    <n v="100"/>
    <s v=""/>
    <s v=""/>
    <s v="fullaccesss"/>
    <n v="0.15920402600000044"/>
    <x v="3"/>
  </r>
  <r>
    <s v="Thailand"/>
    <n v="2020"/>
    <n v="69799.976559999996"/>
    <n v="51.430000309999997"/>
    <n v="100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3"/>
  </r>
  <r>
    <s v="Timor-Leste"/>
    <n v="2015"/>
    <n v="1196.2939449999999"/>
    <n v="29.489999770000001"/>
    <n v="75.250103710000005"/>
    <n v="3.486316247"/>
    <n v="16.460746719999999"/>
    <n v="4.8028333229999998"/>
    <n v="68.95938975"/>
    <n v="4.2085077100000001"/>
    <n v="20.19524109"/>
    <n v="6.6368614499999996"/>
    <n v="90.291081230000003"/>
    <n v="1.759571234"/>
    <n v="7.5316383"/>
    <n v="0.41770924009999999"/>
    <n v="5"/>
    <n v="2.0490994979999981"/>
    <n v="2.3056811740000001"/>
    <n v="1.2371753380000001"/>
    <n v="75"/>
    <n v="69"/>
    <n v="90"/>
    <s v=""/>
    <s v=""/>
    <s v=""/>
    <n v="1.0685058359999999"/>
    <x v="3"/>
  </r>
  <r>
    <s v="Timor-Leste"/>
    <n v="2020"/>
    <n v="1318.4420170000001"/>
    <n v="31.31999969"/>
    <n v="85.495601199999996"/>
    <n v="1.88586597"/>
    <n v="8.3600293969999999"/>
    <n v="4.2585034329999996"/>
    <n v="80.48779562"/>
    <n v="2.0493646750000001"/>
    <n v="11.26233968"/>
    <n v="6.2005000179999996"/>
    <n v="96.476957920000004"/>
    <n v="1.527338152"/>
    <n v="1.995703929"/>
    <n v="0"/>
    <s v=""/>
    <s v=""/>
    <s v=""/>
    <s v=""/>
    <n v="85"/>
    <n v="80"/>
    <n v="96"/>
    <s v=""/>
    <s v=""/>
    <s v=""/>
    <s v=""/>
    <x v="3"/>
  </r>
  <r>
    <s v="Togo"/>
    <n v="2015"/>
    <n v="7323.1621089999999"/>
    <n v="40.099998470000003"/>
    <n v="63.637126350000003"/>
    <n v="5.6657679649999997"/>
    <n v="17.17891539"/>
    <n v="13.51819029"/>
    <n v="47.242183279999999"/>
    <n v="7.3346522839999997"/>
    <n v="23.470036180000001"/>
    <n v="21.953128249999999"/>
    <n v="88.127329700000004"/>
    <n v="3.1728458380000002"/>
    <n v="7.7814550410000001"/>
    <n v="0.91836941770000002"/>
    <n v="5"/>
    <n v="0.98931874799999941"/>
    <n v="0.97507389400000055"/>
    <n v="0.49251606199999853"/>
    <n v="64"/>
    <n v="47"/>
    <n v="88"/>
    <s v=""/>
    <s v=""/>
    <s v=""/>
    <n v="0.48255783200000202"/>
    <x v="4"/>
  </r>
  <r>
    <s v="Togo"/>
    <n v="2020"/>
    <n v="8278.7373050000006"/>
    <n v="42.799999239999998"/>
    <n v="68.58372009"/>
    <n v="6.065434765"/>
    <n v="14.16432245"/>
    <n v="11.18652269"/>
    <n v="52.117552750000002"/>
    <n v="8.1875420190000003"/>
    <n v="20.7910842"/>
    <n v="18.90382103"/>
    <n v="90.589910009999997"/>
    <n v="3.2293480560000001"/>
    <n v="5.3079905280000004"/>
    <n v="0.87275140490000003"/>
    <s v=""/>
    <s v=""/>
    <s v=""/>
    <s v=""/>
    <n v="69"/>
    <n v="52"/>
    <n v="91"/>
    <s v=""/>
    <s v=""/>
    <s v=""/>
    <s v=""/>
    <x v="4"/>
  </r>
  <r>
    <s v="Tokelau"/>
    <n v="2015"/>
    <n v="1.2469999789999999"/>
    <n v="0"/>
    <n v="99.457396000000003"/>
    <n v="0"/>
    <n v="0.54260399999999998"/>
    <n v="0"/>
    <n v="99.457396000000003"/>
    <n v="0"/>
    <n v="0.54260399999999998"/>
    <n v="0"/>
    <s v="null"/>
    <s v="null"/>
    <s v="null"/>
    <s v="null"/>
    <n v="5"/>
    <n v="5.0056129999998686E-2"/>
    <n v="5.0056129999998686E-2"/>
    <s v="null"/>
    <n v="99"/>
    <n v="99"/>
    <s v="null"/>
    <s v=""/>
    <s v=""/>
    <s v=""/>
    <s v="null"/>
    <x v="3"/>
  </r>
  <r>
    <s v="Tokelau"/>
    <n v="2020"/>
    <n v="1.3500000240000001"/>
    <n v="0"/>
    <n v="99.707676649999996"/>
    <n v="0"/>
    <n v="0.29232334589999998"/>
    <n v="0"/>
    <n v="99.707676649999996"/>
    <n v="0"/>
    <n v="0.29232334589999998"/>
    <n v="0"/>
    <s v="null"/>
    <s v="null"/>
    <s v="null"/>
    <s v="null"/>
    <s v=""/>
    <s v=""/>
    <s v=""/>
    <s v=""/>
    <n v="100"/>
    <n v="100"/>
    <s v="null"/>
    <s v=""/>
    <s v=""/>
    <s v=""/>
    <s v=""/>
    <x v="3"/>
  </r>
  <r>
    <s v="Tonga"/>
    <n v="2015"/>
    <n v="100.7799988"/>
    <n v="23.274999619999999"/>
    <n v="98.549705349999996"/>
    <n v="0.87898212229999995"/>
    <n v="0.57131252860000004"/>
    <n v="0"/>
    <n v="98.393048230000005"/>
    <n v="1.1023191240000001"/>
    <n v="0.50463264750000003"/>
    <n v="0"/>
    <n v="99.066110559999998"/>
    <n v="0.14276156700000001"/>
    <n v="0.79112787279999996"/>
    <n v="0"/>
    <n v="5"/>
    <n v="3.6275095999999965E-2"/>
    <n v="1.5006061999997655E-2"/>
    <n v="0.1081095260000012"/>
    <n v="99"/>
    <n v="98"/>
    <n v="99"/>
    <s v=""/>
    <s v=""/>
    <s v=""/>
    <n v="-9.310346400000355E-2"/>
    <x v="3"/>
  </r>
  <r>
    <s v="Tonga"/>
    <n v="2020"/>
    <n v="105.6969986"/>
    <n v="23.098999020000001"/>
    <n v="98.731080829999996"/>
    <n v="0.88149729619999995"/>
    <n v="0.38742187769999997"/>
    <n v="0"/>
    <n v="98.468078539999993"/>
    <n v="1.103159706"/>
    <n v="0.42876175509999997"/>
    <n v="0"/>
    <n v="99.606658190000005"/>
    <n v="0.143540536"/>
    <n v="0.2498012758"/>
    <n v="0"/>
    <s v=""/>
    <s v=""/>
    <s v=""/>
    <s v=""/>
    <n v="99"/>
    <n v="98"/>
    <n v="100"/>
    <s v=""/>
    <s v=""/>
    <s v=""/>
    <s v=""/>
    <x v="3"/>
  </r>
  <r>
    <s v="Trinidad and Tobago"/>
    <n v="2015"/>
    <n v="1370.3320309999999"/>
    <n v="53.319000240000001"/>
    <n v="98.136177649999993"/>
    <n v="1.1164222559999999"/>
    <n v="0.56928192339999995"/>
    <n v="0.17811817260000001"/>
    <s v="null"/>
    <s v="null"/>
    <s v="null"/>
    <s v="null"/>
    <s v="null"/>
    <s v="null"/>
    <s v="null"/>
    <s v="null"/>
    <n v="5"/>
    <n v="0.14779862400000071"/>
    <s v="null"/>
    <s v="null"/>
    <n v="98"/>
    <s v="null"/>
    <s v="null"/>
    <s v=""/>
    <s v=""/>
    <s v=""/>
    <s v="null"/>
    <x v="5"/>
  </r>
  <r>
    <s v="Trinidad and Tobago"/>
    <n v="2020"/>
    <n v="1399.490967"/>
    <n v="53.2140007"/>
    <n v="98.875170769999997"/>
    <n v="1.1248292310000001"/>
    <n v="0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5"/>
  </r>
  <r>
    <s v="Tunisia"/>
    <n v="2015"/>
    <n v="11179.95117"/>
    <n v="68.055999760000006"/>
    <n v="94.845455099999995"/>
    <n v="2.9001003930000002"/>
    <n v="2.1791030770000002"/>
    <n v="7.5341425109999999E-2"/>
    <n v="85.59067297"/>
    <n v="7.6364837000000003"/>
    <n v="6.5369886399999997"/>
    <n v="0.23585469070000001"/>
    <n v="99.189447939999994"/>
    <n v="0.67694539840000001"/>
    <n v="0.13360666639999999"/>
    <n v="0"/>
    <n v="5"/>
    <n v="0.53957077800000097"/>
    <n v="1.6691117920000011"/>
    <n v="-1.3650061999999252E-2"/>
    <n v="95"/>
    <n v="86"/>
    <n v="99"/>
    <s v=""/>
    <s v=""/>
    <s v=""/>
    <n v="1.6827618540000004"/>
    <x v="4"/>
  </r>
  <r>
    <s v="Tunisia"/>
    <n v="2020"/>
    <n v="11818.61816"/>
    <n v="69.568000789999999"/>
    <n v="97.54330899"/>
    <n v="1.63135067"/>
    <n v="0.82534033780000005"/>
    <n v="0"/>
    <n v="93.936231930000005"/>
    <n v="3.3516873569999999"/>
    <n v="2.71208071"/>
    <n v="0"/>
    <n v="99.121197629999998"/>
    <n v="0.87880236840000003"/>
    <n v="0"/>
    <n v="0"/>
    <s v=""/>
    <s v=""/>
    <s v=""/>
    <s v=""/>
    <n v="98"/>
    <n v="94"/>
    <n v="99"/>
    <s v=""/>
    <s v=""/>
    <s v=""/>
    <s v=""/>
    <x v="4"/>
  </r>
  <r>
    <s v="Turkey"/>
    <n v="2015"/>
    <n v="78529.414059999996"/>
    <n v="73.611000059999995"/>
    <n v="96.256159120000007"/>
    <n v="2.0267476019999999"/>
    <n v="1.5188707130000001"/>
    <n v="0.1982225671"/>
    <n v="94.203882989999997"/>
    <n v="2.6336569440000002"/>
    <n v="2.7404600640000001"/>
    <n v="0.42199999999999999"/>
    <n v="96.99188504"/>
    <n v="1.8091750579999999"/>
    <n v="1.080939898"/>
    <n v="0.11799999999999999"/>
    <n v="5"/>
    <n v="0.15162200799999823"/>
    <n v="0.36425735600000164"/>
    <n v="6.6586558000000198E-2"/>
    <n v="96"/>
    <n v="94"/>
    <n v="97"/>
    <s v=""/>
    <s v=""/>
    <s v=""/>
    <n v="0.29767079800000146"/>
    <x v="1"/>
  </r>
  <r>
    <s v="Turkey"/>
    <n v="2020"/>
    <n v="84339.070309999996"/>
    <n v="76.105003359999998"/>
    <n v="97.014269159999998"/>
    <n v="2.0230780749999999"/>
    <n v="0.73767495449999998"/>
    <n v="0.2249778093"/>
    <n v="96.025169770000005"/>
    <n v="2.684574639"/>
    <n v="0.78825559109999999"/>
    <n v="0.502"/>
    <n v="97.324817830000001"/>
    <n v="1.8153852029999999"/>
    <n v="0.72179696339999999"/>
    <n v="0.13800000000000001"/>
    <s v=""/>
    <s v=""/>
    <s v=""/>
    <s v=""/>
    <n v="97"/>
    <n v="96"/>
    <n v="97"/>
    <s v=""/>
    <s v=""/>
    <s v=""/>
    <s v=""/>
    <x v="1"/>
  </r>
  <r>
    <s v="Turkmenistan"/>
    <n v="2015"/>
    <n v="5565.283203"/>
    <n v="50.317001339999997"/>
    <n v="97.658944309999995"/>
    <n v="0.94791505470000004"/>
    <n v="0.24775003200000001"/>
    <n v="1.1453906060000001"/>
    <n v="96.219783160000006"/>
    <n v="1.0009544290000001"/>
    <n v="0.47386486500000002"/>
    <n v="2.305397551"/>
    <n v="99.079971720000003"/>
    <n v="0.89554398800000001"/>
    <n v="2.4484294899999998E-2"/>
    <n v="0"/>
    <n v="5"/>
    <n v="0.46821113800000091"/>
    <n v="0.75604336799999883"/>
    <n v="0.18400565599999935"/>
    <n v="98"/>
    <n v="96"/>
    <n v="99"/>
    <s v=""/>
    <s v=""/>
    <s v=""/>
    <n v="0.57203771199999953"/>
    <x v="1"/>
  </r>
  <r>
    <s v="Turkmenistan"/>
    <n v="2020"/>
    <n v="6031.1870120000003"/>
    <n v="52.516002659999998"/>
    <n v="100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Turks and Caicos Islands"/>
    <n v="2015"/>
    <n v="35.97900009"/>
    <n v="92.194992069999998"/>
    <n v="94.318181820000007"/>
    <n v="0"/>
    <n v="5.6818181819999998"/>
    <n v="0"/>
    <s v="null"/>
    <s v="null"/>
    <s v="null"/>
    <s v="null"/>
    <s v="null"/>
    <s v="null"/>
    <s v="null"/>
    <s v="null"/>
    <n v="3"/>
    <n v="0"/>
    <s v="null"/>
    <s v="null"/>
    <n v="94"/>
    <s v="null"/>
    <s v="null"/>
    <s v=""/>
    <s v=""/>
    <s v=""/>
    <s v="null"/>
    <x v="5"/>
  </r>
  <r>
    <s v="Turks and Caicos Islands"/>
    <n v="2018"/>
    <n v="37.666999820000001"/>
    <n v="93.097999569999999"/>
    <n v="94.318181820000007"/>
    <n v="0"/>
    <n v="5.6818181819999998"/>
    <n v="0"/>
    <s v="null"/>
    <s v="null"/>
    <s v="null"/>
    <s v="null"/>
    <s v="null"/>
    <s v="null"/>
    <s v="null"/>
    <s v="null"/>
    <s v=""/>
    <s v=""/>
    <s v=""/>
    <s v=""/>
    <n v="94"/>
    <s v="null"/>
    <s v="null"/>
    <s v=""/>
    <s v=""/>
    <s v=""/>
    <s v=""/>
    <x v="5"/>
  </r>
  <r>
    <s v="Tuvalu"/>
    <n v="2015"/>
    <n v="11.09899998"/>
    <n v="59.729999540000001"/>
    <n v="100"/>
    <n v="0"/>
    <n v="0"/>
    <n v="0"/>
    <n v="100"/>
    <n v="0"/>
    <n v="0"/>
    <n v="0"/>
    <n v="100"/>
    <n v="0"/>
    <n v="0"/>
    <n v="0"/>
    <n v="5"/>
    <n v="0"/>
    <n v="0"/>
    <n v="0"/>
    <n v="100"/>
    <n v="100"/>
    <n v="100"/>
    <s v="fullaccesss"/>
    <s v="fullaccesss"/>
    <s v="fullaccesss"/>
    <n v="0"/>
    <x v="3"/>
  </r>
  <r>
    <s v="Tuvalu"/>
    <n v="2020"/>
    <n v="11.791999819999999"/>
    <n v="64.013999940000005"/>
    <n v="100"/>
    <n v="0"/>
    <n v="0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3"/>
  </r>
  <r>
    <s v="Uganda"/>
    <n v="2015"/>
    <n v="38225.445310000003"/>
    <n v="22.059999470000001"/>
    <n v="47.841558360000001"/>
    <n v="30.095403770000001"/>
    <n v="15.106768450000001"/>
    <n v="6.9562694199999999"/>
    <n v="39.717003130000002"/>
    <n v="34.176563299999998"/>
    <n v="17.519117219999998"/>
    <n v="8.5873163479999999"/>
    <n v="76.546356090000003"/>
    <n v="15.67629339"/>
    <n v="6.5837192800000004"/>
    <n v="1.1936312419999999"/>
    <n v="5"/>
    <n v="1.6026981699999994"/>
    <n v="1.7028372899999993"/>
    <n v="0.44729914199999998"/>
    <n v="48"/>
    <n v="40"/>
    <n v="77"/>
    <s v=""/>
    <s v=""/>
    <s v=""/>
    <n v="1.2555381479999994"/>
    <x v="4"/>
  </r>
  <r>
    <s v="Uganda"/>
    <n v="2020"/>
    <n v="45741"/>
    <n v="24.95400047"/>
    <n v="55.855049209999997"/>
    <n v="27.282859999999999"/>
    <n v="12.16590654"/>
    <n v="4.6961842520000001"/>
    <n v="48.231189579999999"/>
    <n v="31.784694259999998"/>
    <n v="14.076160610000001"/>
    <n v="5.9079555460000002"/>
    <n v="78.782851800000003"/>
    <n v="13.74416783"/>
    <n v="6.4210441329999997"/>
    <n v="1.0519362379999999"/>
    <s v=""/>
    <s v=""/>
    <s v=""/>
    <s v=""/>
    <n v="56"/>
    <n v="48"/>
    <n v="79"/>
    <s v=""/>
    <s v=""/>
    <s v=""/>
    <s v=""/>
    <x v="4"/>
  </r>
  <r>
    <s v="Ukraine"/>
    <n v="2015"/>
    <n v="44921.636720000002"/>
    <n v="69.061004639999993"/>
    <n v="93.65690669"/>
    <n v="5.6308737229999997"/>
    <n v="0.4364563488"/>
    <n v="0.27576323949999998"/>
    <n v="98.843111609999994"/>
    <n v="0"/>
    <n v="0.944405312"/>
    <n v="0.21248308169999999"/>
    <n v="91.333508530000003"/>
    <n v="8.1534782769999996"/>
    <n v="0.20890075559999999"/>
    <n v="0.30411244139999999"/>
    <n v="5"/>
    <n v="5.4275051999999845E-2"/>
    <n v="0.2313776780000012"/>
    <n v="-1.1247683999999935E-2"/>
    <n v="94"/>
    <n v="99"/>
    <n v="91"/>
    <s v=""/>
    <s v=""/>
    <s v=""/>
    <n v="0.24262536200000112"/>
    <x v="1"/>
  </r>
  <r>
    <s v="Ukraine"/>
    <n v="2020"/>
    <n v="43733.757810000003"/>
    <n v="69.608001709999996"/>
    <n v="93.928281949999999"/>
    <n v="5.671978717"/>
    <n v="7.5904501289999995E-2"/>
    <n v="0.32383483600000001"/>
    <n v="100"/>
    <n v="0"/>
    <n v="0"/>
    <n v="0"/>
    <n v="91.277270110000003"/>
    <n v="8.1484577900000001"/>
    <n v="0.1090456533"/>
    <n v="0.46522644460000001"/>
    <s v=""/>
    <s v=""/>
    <s v=""/>
    <s v=""/>
    <n v="94"/>
    <n v="100"/>
    <n v="91"/>
    <s v=""/>
    <s v=""/>
    <s v=""/>
    <s v=""/>
    <x v="1"/>
  </r>
  <r>
    <s v="United Arab Emirates"/>
    <n v="2015"/>
    <n v="9262.8964840000008"/>
    <n v="85.674003600000006"/>
    <n v="99.971332469999993"/>
    <n v="0"/>
    <n v="2.8667534309999999E-2"/>
    <n v="0"/>
    <s v="null"/>
    <s v="null"/>
    <s v="null"/>
    <s v="null"/>
    <s v="null"/>
    <s v="null"/>
    <s v="null"/>
    <s v="null"/>
    <n v="5"/>
    <n v="-1.1472939999976005E-3"/>
    <s v="null"/>
    <s v="null"/>
    <n v="100"/>
    <s v="null"/>
    <s v="null"/>
    <s v="fullaccesss"/>
    <s v=""/>
    <s v=""/>
    <s v="null"/>
    <x v="1"/>
  </r>
  <r>
    <s v="United Arab Emirates"/>
    <n v="2020"/>
    <n v="9890.4003909999992"/>
    <n v="87.047996519999998"/>
    <n v="99.965596000000005"/>
    <n v="0"/>
    <n v="3.4403999999999997E-2"/>
    <n v="0"/>
    <s v="null"/>
    <s v="null"/>
    <s v="null"/>
    <s v="null"/>
    <s v="null"/>
    <s v="null"/>
    <s v="null"/>
    <s v="null"/>
    <s v=""/>
    <s v=""/>
    <s v=""/>
    <s v=""/>
    <n v="100"/>
    <s v="null"/>
    <s v="null"/>
    <s v=""/>
    <s v=""/>
    <s v=""/>
    <s v=""/>
    <x v="1"/>
  </r>
  <r>
    <s v="United Kingdom"/>
    <n v="2015"/>
    <n v="65860.148440000004"/>
    <n v="82.625999449999995"/>
    <n v="100.0000015"/>
    <n v="0"/>
    <n v="0"/>
    <n v="0"/>
    <n v="100"/>
    <n v="0"/>
    <n v="0"/>
    <n v="0"/>
    <n v="100"/>
    <n v="0"/>
    <n v="0"/>
    <n v="0"/>
    <n v="5"/>
    <n v="-5.8800000033443214E-7"/>
    <n v="0"/>
    <n v="0"/>
    <n v="100"/>
    <n v="100"/>
    <n v="100"/>
    <s v="fullaccesss"/>
    <s v="fullaccesss"/>
    <s v="fullaccesss"/>
    <n v="0"/>
    <x v="1"/>
  </r>
  <r>
    <s v="United Kingdom"/>
    <n v="2020"/>
    <n v="67886.007809999996"/>
    <n v="83.902999879999996"/>
    <n v="99.999998559999995"/>
    <n v="0"/>
    <n v="1.4385328199999999E-6"/>
    <n v="0"/>
    <n v="100"/>
    <n v="0"/>
    <n v="0"/>
    <n v="0"/>
    <n v="100"/>
    <n v="0"/>
    <n v="0"/>
    <n v="0"/>
    <s v=""/>
    <s v=""/>
    <s v=""/>
    <s v=""/>
    <n v="100"/>
    <n v="100"/>
    <n v="100"/>
    <s v=""/>
    <s v=""/>
    <s v=""/>
    <s v=""/>
    <x v="1"/>
  </r>
  <r>
    <s v="United Republic of Tanzania"/>
    <n v="2015"/>
    <n v="51482.636720000002"/>
    <n v="31.617000579999999"/>
    <n v="52.963794589999999"/>
    <n v="11.30893693"/>
    <n v="21.385247880000001"/>
    <n v="14.3420206"/>
    <n v="38.863424559999999"/>
    <n v="13.19289824"/>
    <n v="28.1932841"/>
    <n v="19.750393110000001"/>
    <n v="83.4608554"/>
    <n v="7.2342011279999996"/>
    <n v="6.6604502999999999"/>
    <n v="2.6444931710000001"/>
    <n v="5"/>
    <n v="1.5506005999999999"/>
    <n v="1.316708156"/>
    <n v="1.0666138999999988"/>
    <n v="53"/>
    <n v="39"/>
    <n v="83"/>
    <s v=""/>
    <s v=""/>
    <s v=""/>
    <n v="0.25009425600000124"/>
    <x v="4"/>
  </r>
  <r>
    <s v="United Republic of Tanzania"/>
    <n v="2020"/>
    <n v="59734.214840000001"/>
    <n v="35.227001190000003"/>
    <n v="60.716797589999999"/>
    <n v="11.29007067"/>
    <n v="14.51775136"/>
    <n v="13.475380380000001"/>
    <n v="45.446965339999998"/>
    <n v="13.98368881"/>
    <n v="21.21996133"/>
    <n v="19.349384520000001"/>
    <n v="88.793924899999993"/>
    <n v="6.3372311659999996"/>
    <n v="2.1941787860000002"/>
    <n v="2.6746651520000002"/>
    <s v=""/>
    <s v=""/>
    <s v=""/>
    <s v=""/>
    <n v="61"/>
    <n v="45"/>
    <n v="89"/>
    <s v=""/>
    <s v=""/>
    <s v=""/>
    <s v=""/>
    <x v="4"/>
  </r>
  <r>
    <s v="United States of America"/>
    <n v="2015"/>
    <n v="320878.3125"/>
    <n v="81.671005249999993"/>
    <n v="99.447157759999996"/>
    <n v="0"/>
    <n v="0.55284223720000003"/>
    <n v="0"/>
    <n v="97.780118509999994"/>
    <n v="0"/>
    <n v="2.2198814850000002"/>
    <n v="0"/>
    <n v="99.821279809999993"/>
    <n v="0"/>
    <n v="0.1787201944"/>
    <n v="0"/>
    <n v="5"/>
    <n v="8.7273784000001339E-2"/>
    <n v="0.37813376600000198"/>
    <n v="2.1372932000002721E-2"/>
    <n v="99"/>
    <n v="98"/>
    <n v="100"/>
    <s v=""/>
    <s v=""/>
    <s v="fullaccesss"/>
    <n v="0.35676083399999925"/>
    <x v="7"/>
  </r>
  <r>
    <s v="United States of America"/>
    <n v="2020"/>
    <n v="331002.65629999997"/>
    <n v="82.664001459999994"/>
    <n v="99.883526680000003"/>
    <n v="0"/>
    <n v="0.1164733182"/>
    <n v="0"/>
    <n v="99.670787340000004"/>
    <n v="0"/>
    <n v="0.3292126628"/>
    <n v="0"/>
    <n v="99.928144470000007"/>
    <n v="0"/>
    <n v="7.1855529599999995E-2"/>
    <n v="0"/>
    <s v=""/>
    <s v=""/>
    <s v=""/>
    <s v=""/>
    <n v="100"/>
    <n v="100"/>
    <n v="100"/>
    <s v=""/>
    <s v=""/>
    <s v=""/>
    <s v=""/>
    <x v="7"/>
  </r>
  <r>
    <s v="United States Virgin Islands"/>
    <n v="2015"/>
    <n v="104.9499969"/>
    <n v="95.349998470000003"/>
    <n v="98.718272810000002"/>
    <n v="0"/>
    <n v="1.2817271859999999"/>
    <n v="0"/>
    <s v="null"/>
    <s v="null"/>
    <s v="null"/>
    <s v="null"/>
    <s v="null"/>
    <s v="null"/>
    <s v="null"/>
    <s v="null"/>
    <n v="5"/>
    <n v="-1.0860000003276582E-6"/>
    <s v="null"/>
    <s v="null"/>
    <n v="99"/>
    <s v="null"/>
    <s v="null"/>
    <s v=""/>
    <s v=""/>
    <s v=""/>
    <s v="null"/>
    <x v="5"/>
  </r>
  <r>
    <s v="United States Virgin Islands"/>
    <n v="2020"/>
    <n v="104.4229965"/>
    <n v="95.939002990000006"/>
    <n v="98.71826738"/>
    <n v="0"/>
    <n v="1.281732624"/>
    <n v="0"/>
    <s v="null"/>
    <s v="null"/>
    <s v="null"/>
    <s v="null"/>
    <s v="null"/>
    <s v="null"/>
    <s v="null"/>
    <s v="null"/>
    <s v=""/>
    <s v=""/>
    <s v=""/>
    <s v=""/>
    <n v="99"/>
    <s v="null"/>
    <s v="null"/>
    <s v=""/>
    <s v=""/>
    <s v=""/>
    <s v=""/>
    <x v="5"/>
  </r>
  <r>
    <s v="Uruguay"/>
    <n v="2015"/>
    <n v="3412.0129390000002"/>
    <n v="95.04499817"/>
    <n v="99.131397559999996"/>
    <n v="0.53810473530000003"/>
    <n v="0.30749747300000002"/>
    <n v="2.3000230189999998E-2"/>
    <n v="91.495843840000006"/>
    <n v="4.5115506810000001"/>
    <n v="3.5284232109999998"/>
    <n v="0.46418227099999998"/>
    <n v="99.529461979999994"/>
    <n v="0.3309562908"/>
    <n v="0.13958172699999999"/>
    <n v="0"/>
    <n v="5"/>
    <n v="7.2872000000000978E-2"/>
    <n v="0.76099723199999969"/>
    <n v="3.2654492000000347E-2"/>
    <n v="99"/>
    <n v="91"/>
    <n v="100"/>
    <s v=""/>
    <s v=""/>
    <s v="fullaccesss"/>
    <n v="0.72834273999999932"/>
    <x v="5"/>
  </r>
  <r>
    <s v="Uruguay"/>
    <n v="2020"/>
    <n v="3473.7270509999998"/>
    <n v="95.51499939"/>
    <n v="99.495757560000001"/>
    <n v="0.50424244119999995"/>
    <n v="0"/>
    <n v="0"/>
    <n v="95.300830000000005"/>
    <n v="4.6991699999999996"/>
    <n v="0"/>
    <n v="0"/>
    <n v="99.692734439999995"/>
    <n v="0.30726556170000002"/>
    <n v="0"/>
    <n v="0"/>
    <s v=""/>
    <s v=""/>
    <s v=""/>
    <s v=""/>
    <n v="99"/>
    <n v="95"/>
    <n v="100"/>
    <s v=""/>
    <s v=""/>
    <s v=""/>
    <s v=""/>
    <x v="5"/>
  </r>
  <r>
    <s v="Uzbekistan"/>
    <n v="2015"/>
    <n v="30929.556639999999"/>
    <n v="50.75"/>
    <n v="97.528578260000003"/>
    <n v="0"/>
    <n v="0"/>
    <n v="2.4714217359999999"/>
    <n v="95.642391549999999"/>
    <n v="0"/>
    <n v="0"/>
    <n v="4.3576084509999999"/>
    <n v="99.359015619999994"/>
    <n v="0"/>
    <n v="0"/>
    <n v="0.64098438430000004"/>
    <n v="5"/>
    <n v="6.0041318000000385E-2"/>
    <n v="8.6038161999999835E-2"/>
    <n v="3.9397988000001757E-2"/>
    <n v="98"/>
    <n v="96"/>
    <n v="99"/>
    <s v=""/>
    <s v=""/>
    <s v=""/>
    <n v="4.6640173999998077E-2"/>
    <x v="1"/>
  </r>
  <r>
    <s v="Uzbekistan"/>
    <n v="2020"/>
    <n v="33469.199220000002"/>
    <n v="50.415996550000003"/>
    <n v="97.828784850000005"/>
    <n v="0"/>
    <n v="0.22384422000000001"/>
    <n v="1.947370925"/>
    <n v="96.072582359999998"/>
    <n v="0"/>
    <n v="0"/>
    <n v="3.927417637"/>
    <n v="99.556005560000003"/>
    <n v="0"/>
    <n v="0.44399444339999999"/>
    <n v="0"/>
    <s v=""/>
    <s v=""/>
    <s v=""/>
    <s v=""/>
    <n v="98"/>
    <n v="96"/>
    <n v="100"/>
    <s v=""/>
    <s v=""/>
    <s v=""/>
    <s v=""/>
    <x v="1"/>
  </r>
  <r>
    <s v="Vanuatu"/>
    <n v="2015"/>
    <n v="271.1279907"/>
    <n v="24.961002350000001"/>
    <n v="89.988176490000001"/>
    <n v="1.05094321"/>
    <n v="1.545004807"/>
    <n v="7.4158754880000002"/>
    <n v="86.978050659999994"/>
    <n v="1.234982464"/>
    <n v="1.9042720630000001"/>
    <n v="9.8826948130000005"/>
    <n v="99.037355989999995"/>
    <n v="0.49767515569999998"/>
    <n v="0.46496885310000002"/>
    <n v="0"/>
    <n v="5"/>
    <n v="0.24860285199999907"/>
    <n v="0.28383011399999986"/>
    <n v="9.2528802000001062E-2"/>
    <n v="90"/>
    <n v="87"/>
    <n v="99"/>
    <s v=""/>
    <s v=""/>
    <s v=""/>
    <n v="0.19130131199999878"/>
    <x v="3"/>
  </r>
  <r>
    <s v="Vanuatu"/>
    <n v="2020"/>
    <n v="307.14999390000003"/>
    <n v="25.525001530000001"/>
    <n v="91.231190749999996"/>
    <n v="1.0623850500000001"/>
    <n v="0"/>
    <n v="7.706424202"/>
    <n v="88.397201229999993"/>
    <n v="1.255132675"/>
    <n v="0"/>
    <n v="10.3476661"/>
    <n v="99.5"/>
    <n v="0.5"/>
    <n v="0"/>
    <n v="0"/>
    <s v=""/>
    <s v=""/>
    <s v=""/>
    <s v=""/>
    <n v="91"/>
    <n v="88"/>
    <n v="100"/>
    <s v=""/>
    <s v=""/>
    <s v=""/>
    <s v=""/>
    <x v="3"/>
  </r>
  <r>
    <s v="Venezuela (Bolivarian Republic of)"/>
    <n v="2015"/>
    <n v="30081.82617"/>
    <n v="88.153999330000005"/>
    <n v="94.571275009999994"/>
    <n v="0.47523253770000001"/>
    <n v="3.5752642610000001"/>
    <n v="1.3782281919999999"/>
    <s v="null"/>
    <s v="null"/>
    <s v="null"/>
    <s v="null"/>
    <s v="null"/>
    <s v="null"/>
    <s v="null"/>
    <s v="null"/>
    <n v="5"/>
    <n v="-0.17709485999999969"/>
    <s v="null"/>
    <s v="null"/>
    <n v="95"/>
    <s v="null"/>
    <s v="null"/>
    <s v=""/>
    <s v=""/>
    <s v=""/>
    <s v="null"/>
    <x v="5"/>
  </r>
  <r>
    <s v="Venezuela (Bolivarian Republic of)"/>
    <n v="2020"/>
    <n v="28435.943360000001"/>
    <n v="88.278999330000005"/>
    <n v="93.685800709999995"/>
    <n v="0.4707829181"/>
    <n v="5.8434163730000002"/>
    <s v="null"/>
    <s v="null"/>
    <s v="null"/>
    <s v="null"/>
    <s v="null"/>
    <s v="null"/>
    <s v="null"/>
    <s v="null"/>
    <s v="null"/>
    <s v=""/>
    <s v=""/>
    <s v=""/>
    <s v=""/>
    <n v="94"/>
    <s v="null"/>
    <s v="null"/>
    <s v=""/>
    <s v=""/>
    <s v=""/>
    <s v=""/>
    <x v="5"/>
  </r>
  <r>
    <s v="Viet Nam"/>
    <n v="2015"/>
    <n v="92677.078129999994"/>
    <n v="33.80900192"/>
    <n v="93.328060579999999"/>
    <n v="5.2071837849999997E-2"/>
    <n v="6.1636180359999999"/>
    <n v="0.45624954629999998"/>
    <n v="90.833067990000004"/>
    <n v="0"/>
    <n v="8.4776395650000005"/>
    <n v="0.68929244290000002"/>
    <n v="98.212743520000004"/>
    <n v="0.15401768120000001"/>
    <n v="1.6332387960000001"/>
    <n v="0"/>
    <n v="5"/>
    <n v="0.71125925800000123"/>
    <n v="0.93629408999999841"/>
    <n v="0.1940592979999991"/>
    <n v="93"/>
    <n v="91"/>
    <n v="98"/>
    <s v=""/>
    <s v=""/>
    <s v=""/>
    <n v="0.74223479199999931"/>
    <x v="3"/>
  </r>
  <r>
    <s v="Viet Nam"/>
    <n v="2020"/>
    <n v="97338.585940000004"/>
    <n v="37.340000150000002"/>
    <n v="96.884356870000005"/>
    <n v="0"/>
    <n v="3.1156431260000002"/>
    <n v="0"/>
    <n v="95.514538439999995"/>
    <n v="0"/>
    <n v="4.4854615600000001"/>
    <n v="0"/>
    <n v="99.183040009999999"/>
    <n v="0"/>
    <n v="0.81695998700000005"/>
    <n v="0"/>
    <s v=""/>
    <s v=""/>
    <s v=""/>
    <s v=""/>
    <n v="97"/>
    <n v="96"/>
    <n v="99"/>
    <s v=""/>
    <s v=""/>
    <s v=""/>
    <s v=""/>
    <x v="3"/>
  </r>
  <r>
    <s v="Wallis and Futuna Islands"/>
    <n v="2015"/>
    <n v="12.26200008"/>
    <n v="0"/>
    <n v="99.321381529999996"/>
    <n v="0"/>
    <n v="0.67861847409999998"/>
    <n v="0"/>
    <n v="99.321381529999996"/>
    <n v="0"/>
    <n v="0.67861847409999998"/>
    <n v="0"/>
    <s v="null"/>
    <s v="null"/>
    <s v="null"/>
    <s v="null"/>
    <n v="5"/>
    <n v="-3.5618833999998857E-2"/>
    <n v="-3.5618833999998857E-2"/>
    <s v="null"/>
    <n v="99"/>
    <n v="99"/>
    <s v="null"/>
    <s v=""/>
    <s v=""/>
    <s v=""/>
    <s v="null"/>
    <x v="3"/>
  </r>
  <r>
    <s v="Wallis and Futuna Islands"/>
    <n v="2020"/>
    <n v="11.24600029"/>
    <n v="0"/>
    <n v="99.143287360000002"/>
    <n v="0"/>
    <n v="0.85671263900000005"/>
    <n v="0"/>
    <n v="99.143287360000002"/>
    <n v="0"/>
    <n v="0.85671263900000005"/>
    <n v="0"/>
    <s v="null"/>
    <s v="null"/>
    <s v="null"/>
    <s v="null"/>
    <s v=""/>
    <s v=""/>
    <s v=""/>
    <s v=""/>
    <n v="99"/>
    <n v="99"/>
    <s v="null"/>
    <s v=""/>
    <s v=""/>
    <s v=""/>
    <s v=""/>
    <x v="3"/>
  </r>
  <r>
    <s v="West Bank and Gaza Strip"/>
    <n v="2015"/>
    <n v="4529.1601559999999"/>
    <n v="75.367996219999995"/>
    <n v="96.379856709999999"/>
    <n v="0.58753466440000002"/>
    <n v="3.0326086220000001"/>
    <s v="null"/>
    <n v="95.381142350000005"/>
    <n v="0.99273120920000002"/>
    <n v="3.6261264409999998"/>
    <s v="null"/>
    <n v="96.706259619999997"/>
    <n v="0.45510708030000002"/>
    <n v="2.838633298"/>
    <s v="null"/>
    <n v="5"/>
    <n v="0.30010810200000149"/>
    <n v="0.66688281399999882"/>
    <n v="0.18414096200000074"/>
    <n v="96"/>
    <n v="95"/>
    <n v="97"/>
    <s v=""/>
    <s v=""/>
    <s v=""/>
    <n v="0.48274185199999808"/>
    <x v="1"/>
  </r>
  <r>
    <s v="West Bank and Gaza Strip"/>
    <n v="2020"/>
    <n v="5101.4160160000001"/>
    <n v="76.718994140000007"/>
    <n v="97.880397220000006"/>
    <n v="1.029979486"/>
    <n v="1.089623295"/>
    <s v="null"/>
    <n v="98.715556419999999"/>
    <n v="0.31740062730000002"/>
    <n v="0.96704295760000003"/>
    <s v="null"/>
    <n v="97.626964430000001"/>
    <n v="1.246217358"/>
    <n v="1.126818208"/>
    <s v="null"/>
    <s v=""/>
    <s v=""/>
    <s v=""/>
    <s v=""/>
    <n v="98"/>
    <n v="99"/>
    <n v="98"/>
    <s v=""/>
    <s v=""/>
    <s v=""/>
    <s v=""/>
    <x v="1"/>
  </r>
  <r>
    <s v="Yemen"/>
    <n v="2015"/>
    <n v="26497.880860000001"/>
    <n v="34.777000430000001"/>
    <n v="55.778868629999998"/>
    <n v="26.035606600000001"/>
    <n v="14.70974567"/>
    <n v="3.4757790979999998"/>
    <n v="44.958268160000003"/>
    <n v="28.794611020000001"/>
    <n v="21.10381293"/>
    <n v="5.1433078959999996"/>
    <n v="76.072511899999995"/>
    <n v="20.861194009999998"/>
    <n v="2.7179047039999999"/>
    <n v="0.3483893924"/>
    <n v="5"/>
    <n v="0.97694024200000062"/>
    <n v="1.1446132419999997"/>
    <n v="0.18832348800000034"/>
    <n v="56"/>
    <n v="45"/>
    <n v="76"/>
    <s v=""/>
    <s v=""/>
    <s v=""/>
    <n v="0.95628975399999938"/>
    <x v="1"/>
  </r>
  <r>
    <s v="Yemen"/>
    <n v="2020"/>
    <n v="29825.96875"/>
    <n v="37.907997129999998"/>
    <n v="60.663569840000001"/>
    <n v="28.9627418"/>
    <n v="7.77785276"/>
    <n v="2.595835594"/>
    <n v="50.681334370000002"/>
    <n v="33.53021373"/>
    <n v="11.60782393"/>
    <n v="4.1806279780000004"/>
    <n v="77.014129339999997"/>
    <n v="21.481379369999999"/>
    <n v="1.5044912859999999"/>
    <n v="0"/>
    <s v=""/>
    <s v=""/>
    <s v=""/>
    <s v=""/>
    <n v="61"/>
    <n v="51"/>
    <n v="77"/>
    <s v=""/>
    <s v=""/>
    <s v=""/>
    <s v=""/>
    <x v="1"/>
  </r>
  <r>
    <s v="Zambia"/>
    <n v="2015"/>
    <n v="15879.37012"/>
    <n v="41.9070015"/>
    <n v="61.338746280000002"/>
    <n v="5.6539172300000002"/>
    <n v="23.3359001"/>
    <n v="9.6714363920000004"/>
    <n v="43.616834320000002"/>
    <n v="7.2108648679999998"/>
    <n v="33.257219489999997"/>
    <n v="15.915081320000001"/>
    <n v="85.90549729"/>
    <n v="3.495619671"/>
    <n v="9.5826138469999993"/>
    <n v="1.0162691930000001"/>
    <n v="5"/>
    <n v="0.81472745800000013"/>
    <n v="0.9220908019999996"/>
    <n v="0.16567147400000123"/>
    <n v="61"/>
    <n v="44"/>
    <n v="86"/>
    <s v=""/>
    <s v=""/>
    <s v=""/>
    <n v="0.75641932799999834"/>
    <x v="4"/>
  </r>
  <r>
    <s v="Zambia"/>
    <n v="2020"/>
    <n v="18383.95508"/>
    <n v="44.6289978"/>
    <n v="65.412383570000003"/>
    <n v="6.1539390200000001"/>
    <n v="21.576840709999999"/>
    <n v="6.8568367060000002"/>
    <n v="48.22728833"/>
    <n v="8.3317036130000002"/>
    <n v="31.608654439999999"/>
    <n v="11.832353619999999"/>
    <n v="86.733854660000006"/>
    <n v="3.4519961939999999"/>
    <n v="9.1304141049999998"/>
    <n v="0.68373504630000004"/>
    <s v=""/>
    <s v=""/>
    <s v=""/>
    <s v=""/>
    <n v="65"/>
    <n v="48"/>
    <n v="87"/>
    <s v=""/>
    <s v=""/>
    <s v=""/>
    <s v=""/>
    <x v="4"/>
  </r>
  <r>
    <s v="Zimbabwe"/>
    <n v="2015"/>
    <n v="13814.641600000001"/>
    <n v="32.384998320000001"/>
    <n v="64.954929109999995"/>
    <n v="12.456764769999999"/>
    <n v="15.89884206"/>
    <n v="6.6894640550000002"/>
    <n v="51.25006071"/>
    <n v="16.396726579999999"/>
    <n v="22.514468619999999"/>
    <n v="9.8387440880000003"/>
    <n v="93.568635740000005"/>
    <n v="4.2307197299999997"/>
    <n v="2.086401773"/>
    <n v="0.11424275640000001"/>
    <n v="5"/>
    <n v="-0.45769429999999856"/>
    <n v="-0.59352637199999947"/>
    <n v="-0.13470135800000094"/>
    <n v="65"/>
    <n v="51"/>
    <n v="94"/>
    <s v=""/>
    <s v=""/>
    <s v=""/>
    <n v="-0.45882501399999853"/>
    <x v="4"/>
  </r>
  <r>
    <s v="Zimbabwe"/>
    <n v="2020"/>
    <n v="14862.92676"/>
    <n v="32.242000580000003"/>
    <n v="62.666457610000002"/>
    <n v="14.1975397"/>
    <n v="16.277855450000001"/>
    <n v="6.8581472420000003"/>
    <n v="48.282428850000002"/>
    <n v="18.590984670000001"/>
    <n v="23.013646550000001"/>
    <n v="10.112939920000001"/>
    <n v="92.89512895"/>
    <n v="4.9645177570000003"/>
    <n v="2.1222986740000001"/>
    <n v="1.805461538E-2"/>
    <s v=""/>
    <s v=""/>
    <s v=""/>
    <s v=""/>
    <n v="63"/>
    <n v="48"/>
    <n v="93"/>
    <s v=""/>
    <s v=""/>
    <s v=""/>
    <s v="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6" applyNumberFormats="0" applyBorderFormats="0" applyFontFormats="0" applyPatternFormats="0" applyAlignmentFormats="0" applyWidthHeightFormats="0" dataCaption="" updatedVersion="8" compact="0" compactData="0">
  <location ref="A1:D11" firstHeaderRow="1" firstDataRow="2" firstDataCol="1"/>
  <pivotFields count="28">
    <pivotField name="name" compact="0" outline="0" multipleItemSelectionAllowed="1" showAll="0"/>
    <pivotField name="year" compact="0" outline="0" multipleItemSelectionAllowed="1" showAll="0"/>
    <pivotField name="pop_n" compact="0" outline="0" multipleItemSelectionAllowed="1" showAll="0"/>
    <pivotField name="pop_u" compact="0" outline="0" multipleItemSelectionAllowed="1" showAll="0"/>
    <pivotField name="wat_bas_n" compact="0" outline="0" multipleItemSelectionAllowed="1" showAll="0"/>
    <pivotField name="wat_lim_n" compact="0" outline="0" multipleItemSelectionAllowed="1" showAll="0"/>
    <pivotField name="wat_unimp_n" compact="0" outline="0" multipleItemSelectionAllowed="1" showAll="0"/>
    <pivotField name="wat_sur_n" compact="0" outline="0" multipleItemSelectionAllowed="1" showAll="0"/>
    <pivotField name="wat_bas_r" compact="0" outline="0" multipleItemSelectionAllowed="1" showAll="0"/>
    <pivotField name="wat_lim_r" compact="0" outline="0" multipleItemSelectionAllowed="1" showAll="0"/>
    <pivotField name="wat_unimp_r" compact="0" outline="0" multipleItemSelectionAllowed="1" showAll="0"/>
    <pivotField name="wat_sur_r" compact="0" outline="0" multipleItemSelectionAllowed="1" showAll="0"/>
    <pivotField name="wat_bas_u" compact="0" outline="0" multipleItemSelectionAllowed="1" showAll="0"/>
    <pivotField name="wat_lim_u" compact="0" outline="0" multipleItemSelectionAllowed="1" showAll="0"/>
    <pivotField name="wat_unimp_u" compact="0" outline="0" multipleItemSelectionAllowed="1" showAll="0"/>
    <pivotField name="wat_sur_u" compact="0" outline="0" multipleItemSelectionAllowed="1" showAll="0"/>
    <pivotField name="y_diff" compact="0" outline="0" multipleItemSelectionAllowed="1" showAll="0"/>
    <pivotField name="ARC_n" dataField="1" compact="0" outline="0" multipleItemSelectionAllowed="1" showAll="0"/>
    <pivotField name="ARC_r" dataField="1" compact="0" outline="0" multipleItemSelectionAllowed="1" showAll="0"/>
    <pivotField name="ARC_u" dataField="1" compact="0" outline="0" multipleItemSelectionAllowed="1" showAll="0"/>
    <pivotField name="wat_bas_n(rounded)" compact="0" outline="0" multipleItemSelectionAllowed="1" showAll="0"/>
    <pivotField name="wat_bas_r(rounded)" compact="0" outline="0" multipleItemSelectionAllowed="1" showAll="0"/>
    <pivotField name="wat_bas_u(rounded)" compact="0" outline="0" multipleItemSelectionAllowed="1" showAll="0"/>
    <pivotField name="ARC_n_full" compact="0" outline="0" multipleItemSelectionAllowed="1" showAll="0"/>
    <pivotField name="ARC_r_full" compact="0" outline="0" multipleItemSelectionAllowed="1" showAll="0"/>
    <pivotField name="ARC_u_full" compact="0" outline="0" multipleItemSelectionAllowed="1" showAll="0"/>
    <pivotField name="ARC_diff" compact="0" outline="0" multipleItemSelectionAllowed="1" showAll="0"/>
    <pivotField name="Region" axis="axisRow" compact="0" outline="0" multipleItemSelectionAllowed="1" showAll="0" sortType="ascending">
      <items count="9">
        <item x="3"/>
        <item x="1"/>
        <item x="5"/>
        <item x="2"/>
        <item x="7"/>
        <item x="6"/>
        <item x="4"/>
        <item x="0"/>
        <item t="default"/>
      </items>
    </pivotField>
  </pivotFields>
  <rowFields count="1">
    <field x="2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RC_n" fld="17" subtotal="average" baseField="0"/>
    <dataField name="AVERAGE of ARC_r" fld="18" subtotal="average" baseField="0"/>
    <dataField name="AVERAGE of ARC_u" fld="19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46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1" max="21" width="17.7265625" customWidth="1"/>
    <col min="22" max="22" width="17.36328125" customWidth="1"/>
    <col min="23" max="23" width="17.7265625" customWidth="1"/>
    <col min="28" max="28" width="24.363281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16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27</v>
      </c>
      <c r="R1" s="2" t="s">
        <v>31</v>
      </c>
      <c r="S1" s="2" t="s">
        <v>35</v>
      </c>
      <c r="T1" s="2" t="s">
        <v>37</v>
      </c>
      <c r="U1" s="2" t="s">
        <v>39</v>
      </c>
      <c r="V1" s="2" t="s">
        <v>41</v>
      </c>
      <c r="W1" s="2" t="s">
        <v>43</v>
      </c>
      <c r="X1" s="2" t="s">
        <v>45</v>
      </c>
      <c r="Y1" s="2" t="s">
        <v>47</v>
      </c>
      <c r="Z1" s="2" t="s">
        <v>49</v>
      </c>
      <c r="AA1" s="2" t="s">
        <v>51</v>
      </c>
      <c r="AB1" s="2" t="s">
        <v>53</v>
      </c>
    </row>
    <row r="2" spans="1:28">
      <c r="A2" s="1" t="s">
        <v>11</v>
      </c>
      <c r="B2" s="1">
        <v>2015</v>
      </c>
      <c r="C2" s="1">
        <v>34413.601560000003</v>
      </c>
      <c r="D2" s="1">
        <v>24.802999499999999</v>
      </c>
      <c r="E2" s="1">
        <v>61.339780810000001</v>
      </c>
      <c r="F2" s="1">
        <v>3.5111995139999999</v>
      </c>
      <c r="G2" s="1">
        <v>22.168783829999999</v>
      </c>
      <c r="H2" s="1">
        <v>12.98023585</v>
      </c>
      <c r="I2" s="1">
        <v>52.988502019999999</v>
      </c>
      <c r="J2" s="1">
        <v>3.8611366170000001</v>
      </c>
      <c r="K2" s="1">
        <v>26.553267569999999</v>
      </c>
      <c r="L2" s="1">
        <v>16.597093789999999</v>
      </c>
      <c r="M2" s="1">
        <v>86.658940720000004</v>
      </c>
      <c r="N2" s="1">
        <v>2.450270561</v>
      </c>
      <c r="O2" s="1">
        <v>8.8760357320000001</v>
      </c>
      <c r="P2" s="1">
        <v>2.0147529870000001</v>
      </c>
      <c r="Q2" s="2">
        <f t="shared" ref="Q2:Q256" si="0">IF(A3=A2,B3-B2,"")</f>
        <v>5</v>
      </c>
      <c r="R2" s="1">
        <f t="shared" ref="R2:R256" si="1">IFERROR(IF($A3=$A2,($E3-$E2)/($B3-$B2),""),"null")</f>
        <v>2.7503264880000002</v>
      </c>
      <c r="S2" s="1">
        <f t="shared" ref="S2:S256" si="2">IFERROR(IF($A3=$A2,($I3-$I2)/($B3-$B2),""),"null")</f>
        <v>2.6678826380000005</v>
      </c>
      <c r="T2" s="1">
        <f t="shared" ref="T2:T256" si="3">IFERROR(IF($A3=$A2,($M3-$M2)/($B3-$B2),""),"null")</f>
        <v>2.6682118559999992</v>
      </c>
      <c r="U2" s="1">
        <f t="shared" ref="U2:U256" si="4">IFERROR(ROUND(E2,0),"null")</f>
        <v>61</v>
      </c>
      <c r="V2" s="3">
        <f t="shared" ref="V2:V256" si="5">IFERROR(ROUND(I2,0),"null")</f>
        <v>53</v>
      </c>
      <c r="W2" s="3">
        <f t="shared" ref="W2:W256" si="6">IFERROR(ROUND(M2,0),"null")</f>
        <v>87</v>
      </c>
      <c r="X2" s="3" t="str">
        <f t="shared" ref="X2:X256" si="7">IF(AND($A3=$A2,$U2=100,$U3=100),"fullaccesss","")</f>
        <v/>
      </c>
      <c r="Y2" s="3" t="str">
        <f t="shared" ref="Y2:Y256" si="8">IF(AND($A3=$A2,$V2=100,$V3=100),"fullaccesss","")</f>
        <v/>
      </c>
      <c r="Z2" s="1" t="str">
        <f t="shared" ref="Z2:Z256" si="9">IF(AND($A3=$A2,$W2=100,$W3=100),"fullaccesss","")</f>
        <v/>
      </c>
      <c r="AA2" s="3">
        <f t="shared" ref="AA2:AA256" si="10">IFERROR(IF(AND(S2&lt;&gt;"",T2&lt;&gt;""),S2-T2,""),"null")</f>
        <v>-3.2921799999874324E-4</v>
      </c>
      <c r="AB2" s="3" t="e">
        <f>LOOKUP($A2,Sheet2!$A$1:$B$233)</f>
        <v>#N/A</v>
      </c>
    </row>
    <row r="3" spans="1:28">
      <c r="A3" s="1" t="s">
        <v>11</v>
      </c>
      <c r="B3" s="1">
        <v>2020</v>
      </c>
      <c r="C3" s="1">
        <v>38928.339840000001</v>
      </c>
      <c r="D3" s="1">
        <v>26.025999070000001</v>
      </c>
      <c r="E3" s="1">
        <v>75.091413250000002</v>
      </c>
      <c r="F3" s="1">
        <v>1.447541688</v>
      </c>
      <c r="G3" s="1">
        <v>14.56026288</v>
      </c>
      <c r="H3" s="1">
        <v>8.9007821739999997</v>
      </c>
      <c r="I3" s="1">
        <v>66.32791521</v>
      </c>
      <c r="J3" s="1">
        <v>1.9568248509999999</v>
      </c>
      <c r="K3" s="1">
        <v>19.68294895</v>
      </c>
      <c r="L3" s="1">
        <v>12.03231098</v>
      </c>
      <c r="M3" s="1">
        <v>100</v>
      </c>
      <c r="N3" s="1">
        <v>0</v>
      </c>
      <c r="O3" s="1">
        <v>0</v>
      </c>
      <c r="P3" s="1">
        <v>0</v>
      </c>
      <c r="Q3" s="2" t="str">
        <f t="shared" si="0"/>
        <v/>
      </c>
      <c r="R3" s="1" t="str">
        <f t="shared" si="1"/>
        <v/>
      </c>
      <c r="S3" s="1" t="str">
        <f t="shared" si="2"/>
        <v/>
      </c>
      <c r="T3" s="1" t="str">
        <f t="shared" si="3"/>
        <v/>
      </c>
      <c r="U3" s="1">
        <f t="shared" si="4"/>
        <v>75</v>
      </c>
      <c r="V3" s="3">
        <f t="shared" si="5"/>
        <v>66</v>
      </c>
      <c r="W3" s="3">
        <f t="shared" si="6"/>
        <v>100</v>
      </c>
      <c r="X3" s="3" t="str">
        <f t="shared" si="7"/>
        <v/>
      </c>
      <c r="Y3" s="3" t="str">
        <f t="shared" si="8"/>
        <v/>
      </c>
      <c r="Z3" s="1" t="str">
        <f t="shared" si="9"/>
        <v/>
      </c>
      <c r="AA3" s="3" t="str">
        <f t="shared" si="10"/>
        <v/>
      </c>
      <c r="AB3" s="3" t="e">
        <f>LOOKUP($A3,Sheet2!$A$1:$B$233)</f>
        <v>#N/A</v>
      </c>
    </row>
    <row r="4" spans="1:28">
      <c r="A4" s="1" t="s">
        <v>14</v>
      </c>
      <c r="B4" s="1">
        <v>2015</v>
      </c>
      <c r="C4" s="1">
        <v>2890.5239259999998</v>
      </c>
      <c r="D4" s="1">
        <v>57.433998109999997</v>
      </c>
      <c r="E4" s="1">
        <v>93.394325339999995</v>
      </c>
      <c r="F4" s="1">
        <v>3.626383658</v>
      </c>
      <c r="G4" s="1">
        <v>2.9792910039999998</v>
      </c>
      <c r="H4" s="1">
        <v>0</v>
      </c>
      <c r="I4" s="1">
        <v>90.627274610000001</v>
      </c>
      <c r="J4" s="1">
        <v>5.2631726480000003</v>
      </c>
      <c r="K4" s="1">
        <v>4.1095527440000001</v>
      </c>
      <c r="L4" s="1">
        <v>0</v>
      </c>
      <c r="M4" s="1">
        <v>95.445066960000005</v>
      </c>
      <c r="N4" s="1">
        <v>2.4133118200000001</v>
      </c>
      <c r="O4" s="1">
        <v>2.1416212159999999</v>
      </c>
      <c r="P4" s="1">
        <v>0</v>
      </c>
      <c r="Q4" s="2">
        <f t="shared" si="0"/>
        <v>5</v>
      </c>
      <c r="R4" s="1">
        <f t="shared" si="1"/>
        <v>0.33474269800000228</v>
      </c>
      <c r="S4" s="1">
        <f t="shared" si="2"/>
        <v>0.69281669000000079</v>
      </c>
      <c r="T4" s="1">
        <f t="shared" si="3"/>
        <v>4.3748431999998158E-2</v>
      </c>
      <c r="U4" s="1">
        <f t="shared" si="4"/>
        <v>93</v>
      </c>
      <c r="V4" s="3">
        <f t="shared" si="5"/>
        <v>91</v>
      </c>
      <c r="W4" s="3">
        <f t="shared" si="6"/>
        <v>95</v>
      </c>
      <c r="X4" s="3" t="str">
        <f t="shared" si="7"/>
        <v/>
      </c>
      <c r="Y4" s="3" t="str">
        <f t="shared" si="8"/>
        <v/>
      </c>
      <c r="Z4" s="1" t="str">
        <f t="shared" si="9"/>
        <v/>
      </c>
      <c r="AA4" s="3">
        <f t="shared" si="10"/>
        <v>0.64906825800000267</v>
      </c>
      <c r="AB4" s="3" t="str">
        <f>LOOKUP($A4,Sheet2!$A$1:$B$233)</f>
        <v>Europe &amp; Central Asia</v>
      </c>
    </row>
    <row r="5" spans="1:28">
      <c r="A5" s="1" t="s">
        <v>14</v>
      </c>
      <c r="B5" s="1">
        <v>2020</v>
      </c>
      <c r="C5" s="1">
        <v>2877.8000489999999</v>
      </c>
      <c r="D5" s="1">
        <v>62.111999509999997</v>
      </c>
      <c r="E5" s="1">
        <v>95.068038830000006</v>
      </c>
      <c r="F5" s="1">
        <v>1.8846560919999999</v>
      </c>
      <c r="G5" s="1">
        <v>3.0473050810000002</v>
      </c>
      <c r="H5" s="1">
        <v>0</v>
      </c>
      <c r="I5" s="1">
        <v>94.091358060000005</v>
      </c>
      <c r="J5" s="1">
        <v>2.3052649550000002</v>
      </c>
      <c r="K5" s="1">
        <v>3.6033769859999998</v>
      </c>
      <c r="L5" s="1">
        <v>0</v>
      </c>
      <c r="M5" s="1">
        <v>95.663809119999996</v>
      </c>
      <c r="N5" s="1">
        <v>1.62808683</v>
      </c>
      <c r="O5" s="1">
        <v>2.7081040540000001</v>
      </c>
      <c r="P5" s="1">
        <v>0</v>
      </c>
      <c r="Q5" s="2" t="str">
        <f t="shared" si="0"/>
        <v/>
      </c>
      <c r="R5" s="1" t="str">
        <f t="shared" si="1"/>
        <v/>
      </c>
      <c r="S5" s="1" t="str">
        <f t="shared" si="2"/>
        <v/>
      </c>
      <c r="T5" s="1" t="str">
        <f t="shared" si="3"/>
        <v/>
      </c>
      <c r="U5" s="1">
        <f t="shared" si="4"/>
        <v>95</v>
      </c>
      <c r="V5" s="3">
        <f t="shared" si="5"/>
        <v>94</v>
      </c>
      <c r="W5" s="3">
        <f t="shared" si="6"/>
        <v>96</v>
      </c>
      <c r="X5" s="3" t="str">
        <f t="shared" si="7"/>
        <v/>
      </c>
      <c r="Y5" s="3" t="str">
        <f t="shared" si="8"/>
        <v/>
      </c>
      <c r="Z5" s="1" t="str">
        <f t="shared" si="9"/>
        <v/>
      </c>
      <c r="AA5" s="3" t="str">
        <f t="shared" si="10"/>
        <v/>
      </c>
      <c r="AB5" s="3" t="str">
        <f>LOOKUP($A5,Sheet2!$A$1:$B$233)</f>
        <v>Europe &amp; Central Asia</v>
      </c>
    </row>
    <row r="6" spans="1:28">
      <c r="A6" s="1" t="s">
        <v>17</v>
      </c>
      <c r="B6" s="1">
        <v>2015</v>
      </c>
      <c r="C6" s="1">
        <v>39728.019529999998</v>
      </c>
      <c r="D6" s="1">
        <v>70.847999569999999</v>
      </c>
      <c r="E6" s="1">
        <v>93.409561530000005</v>
      </c>
      <c r="F6" s="1">
        <v>5.157780893</v>
      </c>
      <c r="G6" s="1">
        <v>1.2754646839999999</v>
      </c>
      <c r="H6" s="1">
        <v>0.1571928913</v>
      </c>
      <c r="I6" s="1">
        <v>88.352706859999998</v>
      </c>
      <c r="J6" s="1">
        <v>8.6857531209999994</v>
      </c>
      <c r="K6" s="1">
        <v>2.580431801</v>
      </c>
      <c r="L6" s="1">
        <v>0.38110821550000001</v>
      </c>
      <c r="M6" s="1">
        <v>95.490314699999999</v>
      </c>
      <c r="N6" s="1">
        <v>3.7061173169999999</v>
      </c>
      <c r="O6" s="1">
        <v>0.73851008510000005</v>
      </c>
      <c r="P6" s="1">
        <v>6.5057897530000006E-2</v>
      </c>
      <c r="Q6" s="2">
        <f t="shared" si="0"/>
        <v>5</v>
      </c>
      <c r="R6" s="1">
        <f t="shared" si="1"/>
        <v>0.20555368599999896</v>
      </c>
      <c r="S6" s="1">
        <f t="shared" si="2"/>
        <v>0.33696620999999993</v>
      </c>
      <c r="T6" s="1">
        <f t="shared" si="3"/>
        <v>0.10288423199999955</v>
      </c>
      <c r="U6" s="1">
        <f t="shared" si="4"/>
        <v>93</v>
      </c>
      <c r="V6" s="3">
        <f t="shared" si="5"/>
        <v>88</v>
      </c>
      <c r="W6" s="3">
        <f t="shared" si="6"/>
        <v>95</v>
      </c>
      <c r="X6" s="3" t="str">
        <f t="shared" si="7"/>
        <v/>
      </c>
      <c r="Y6" s="3" t="str">
        <f t="shared" si="8"/>
        <v/>
      </c>
      <c r="Z6" s="1" t="str">
        <f t="shared" si="9"/>
        <v/>
      </c>
      <c r="AA6" s="3">
        <f t="shared" si="10"/>
        <v>0.23408197800000038</v>
      </c>
      <c r="AB6" s="3" t="str">
        <f>LOOKUP($A6,Sheet2!$A$1:$B$233)</f>
        <v>Middle East &amp; North Africa</v>
      </c>
    </row>
    <row r="7" spans="1:28">
      <c r="A7" s="1" t="s">
        <v>17</v>
      </c>
      <c r="B7" s="1">
        <v>2020</v>
      </c>
      <c r="C7" s="1">
        <v>43851.042970000002</v>
      </c>
      <c r="D7" s="1">
        <v>73.733001709999996</v>
      </c>
      <c r="E7" s="1">
        <v>94.43732996</v>
      </c>
      <c r="F7" s="1">
        <v>4.9858808420000003</v>
      </c>
      <c r="G7" s="1">
        <v>0.53183666380000005</v>
      </c>
      <c r="H7" s="1">
        <v>4.495253272E-2</v>
      </c>
      <c r="I7" s="1">
        <v>90.037537909999998</v>
      </c>
      <c r="J7" s="1">
        <v>8.79672214</v>
      </c>
      <c r="K7" s="1">
        <v>0.99460302810000001</v>
      </c>
      <c r="L7" s="1">
        <v>0.17113692580000001</v>
      </c>
      <c r="M7" s="1">
        <v>96.004735859999997</v>
      </c>
      <c r="N7" s="1">
        <v>3.628288591</v>
      </c>
      <c r="O7" s="1">
        <v>0.36697554780000002</v>
      </c>
      <c r="P7" s="1">
        <v>0</v>
      </c>
      <c r="Q7" s="2" t="str">
        <f t="shared" si="0"/>
        <v/>
      </c>
      <c r="R7" s="1" t="str">
        <f t="shared" si="1"/>
        <v/>
      </c>
      <c r="S7" s="1" t="str">
        <f t="shared" si="2"/>
        <v/>
      </c>
      <c r="T7" s="1" t="str">
        <f t="shared" si="3"/>
        <v/>
      </c>
      <c r="U7" s="1">
        <f t="shared" si="4"/>
        <v>94</v>
      </c>
      <c r="V7" s="3">
        <f t="shared" si="5"/>
        <v>90</v>
      </c>
      <c r="W7" s="3">
        <f t="shared" si="6"/>
        <v>96</v>
      </c>
      <c r="X7" s="3" t="str">
        <f t="shared" si="7"/>
        <v/>
      </c>
      <c r="Y7" s="3" t="str">
        <f t="shared" si="8"/>
        <v/>
      </c>
      <c r="Z7" s="1" t="str">
        <f t="shared" si="9"/>
        <v/>
      </c>
      <c r="AA7" s="3" t="str">
        <f t="shared" si="10"/>
        <v/>
      </c>
      <c r="AB7" s="3" t="str">
        <f>LOOKUP($A7,Sheet2!$A$1:$B$233)</f>
        <v>Middle East &amp; North Africa</v>
      </c>
    </row>
    <row r="8" spans="1:28">
      <c r="A8" s="1" t="s">
        <v>20</v>
      </c>
      <c r="B8" s="1">
        <v>2015</v>
      </c>
      <c r="C8" s="1">
        <v>55.805999759999999</v>
      </c>
      <c r="D8" s="1">
        <v>87.238006589999998</v>
      </c>
      <c r="E8" s="1">
        <v>99.619103150000001</v>
      </c>
      <c r="F8" s="1">
        <v>0</v>
      </c>
      <c r="G8" s="1">
        <v>0.38089684610000002</v>
      </c>
      <c r="H8" s="1">
        <v>0</v>
      </c>
      <c r="I8" s="1" t="s">
        <v>272</v>
      </c>
      <c r="J8" s="1" t="s">
        <v>272</v>
      </c>
      <c r="K8" s="1" t="s">
        <v>272</v>
      </c>
      <c r="L8" s="1" t="s">
        <v>272</v>
      </c>
      <c r="M8" s="1" t="s">
        <v>272</v>
      </c>
      <c r="N8" s="1" t="s">
        <v>272</v>
      </c>
      <c r="O8" s="1" t="s">
        <v>272</v>
      </c>
      <c r="P8" s="1" t="s">
        <v>272</v>
      </c>
      <c r="Q8" s="2">
        <f t="shared" si="0"/>
        <v>5</v>
      </c>
      <c r="R8" s="1">
        <f t="shared" si="1"/>
        <v>3.0933701999998675E-2</v>
      </c>
      <c r="S8" s="1" t="str">
        <f t="shared" si="2"/>
        <v>null</v>
      </c>
      <c r="T8" s="1" t="str">
        <f t="shared" si="3"/>
        <v>null</v>
      </c>
      <c r="U8" s="1">
        <f t="shared" si="4"/>
        <v>100</v>
      </c>
      <c r="V8" s="3" t="str">
        <f t="shared" si="5"/>
        <v>null</v>
      </c>
      <c r="W8" s="3" t="str">
        <f t="shared" si="6"/>
        <v>null</v>
      </c>
      <c r="X8" s="3" t="str">
        <f t="shared" si="7"/>
        <v>fullaccesss</v>
      </c>
      <c r="Y8" s="3" t="str">
        <f t="shared" si="8"/>
        <v/>
      </c>
      <c r="Z8" s="1" t="str">
        <f t="shared" si="9"/>
        <v/>
      </c>
      <c r="AA8" s="3" t="str">
        <f t="shared" si="10"/>
        <v>null</v>
      </c>
      <c r="AB8" s="3" t="str">
        <f>LOOKUP($A8,Sheet2!$A$1:$B$233)</f>
        <v>East Asia &amp; Pacific</v>
      </c>
    </row>
    <row r="9" spans="1:28">
      <c r="A9" s="1" t="s">
        <v>20</v>
      </c>
      <c r="B9" s="1">
        <v>2020</v>
      </c>
      <c r="C9" s="1">
        <v>55.196998600000001</v>
      </c>
      <c r="D9" s="1">
        <v>87.152999879999996</v>
      </c>
      <c r="E9" s="1">
        <v>99.773771659999994</v>
      </c>
      <c r="F9" s="1">
        <v>0</v>
      </c>
      <c r="G9" s="1">
        <v>0.22622834150000001</v>
      </c>
      <c r="H9" s="1">
        <v>0</v>
      </c>
      <c r="I9" s="1" t="s">
        <v>272</v>
      </c>
      <c r="J9" s="1" t="s">
        <v>272</v>
      </c>
      <c r="K9" s="1" t="s">
        <v>272</v>
      </c>
      <c r="L9" s="1" t="s">
        <v>272</v>
      </c>
      <c r="M9" s="1" t="s">
        <v>272</v>
      </c>
      <c r="N9" s="1" t="s">
        <v>272</v>
      </c>
      <c r="O9" s="1" t="s">
        <v>272</v>
      </c>
      <c r="P9" s="1" t="s">
        <v>272</v>
      </c>
      <c r="Q9" s="2" t="str">
        <f t="shared" si="0"/>
        <v/>
      </c>
      <c r="R9" s="1" t="str">
        <f t="shared" si="1"/>
        <v/>
      </c>
      <c r="S9" s="1" t="str">
        <f t="shared" si="2"/>
        <v/>
      </c>
      <c r="T9" s="1" t="str">
        <f t="shared" si="3"/>
        <v/>
      </c>
      <c r="U9" s="1">
        <f t="shared" si="4"/>
        <v>100</v>
      </c>
      <c r="V9" s="3" t="str">
        <f t="shared" si="5"/>
        <v>null</v>
      </c>
      <c r="W9" s="3" t="str">
        <f t="shared" si="6"/>
        <v>null</v>
      </c>
      <c r="X9" s="3" t="str">
        <f t="shared" si="7"/>
        <v/>
      </c>
      <c r="Y9" s="3" t="str">
        <f t="shared" si="8"/>
        <v/>
      </c>
      <c r="Z9" s="1" t="str">
        <f t="shared" si="9"/>
        <v/>
      </c>
      <c r="AA9" s="3" t="str">
        <f t="shared" si="10"/>
        <v/>
      </c>
      <c r="AB9" s="3" t="str">
        <f>LOOKUP($A9,Sheet2!$A$1:$B$233)</f>
        <v>East Asia &amp; Pacific</v>
      </c>
    </row>
    <row r="10" spans="1:28">
      <c r="A10" s="1" t="s">
        <v>24</v>
      </c>
      <c r="B10" s="1">
        <v>2015</v>
      </c>
      <c r="C10" s="1">
        <v>77.992996219999995</v>
      </c>
      <c r="D10" s="1">
        <v>88.344993590000001</v>
      </c>
      <c r="E10" s="1">
        <v>99.999997550000003</v>
      </c>
      <c r="F10" s="1">
        <v>0</v>
      </c>
      <c r="G10" s="1">
        <v>2.4455383569999998E-6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100</v>
      </c>
      <c r="N10" s="1">
        <v>0</v>
      </c>
      <c r="O10" s="1">
        <v>0</v>
      </c>
      <c r="P10" s="1">
        <v>0</v>
      </c>
      <c r="Q10" s="2">
        <f t="shared" si="0"/>
        <v>5</v>
      </c>
      <c r="R10" s="1">
        <f t="shared" si="1"/>
        <v>1.229999998031417E-6</v>
      </c>
      <c r="S10" s="1">
        <f t="shared" si="2"/>
        <v>0</v>
      </c>
      <c r="T10" s="1">
        <f t="shared" si="3"/>
        <v>0</v>
      </c>
      <c r="U10" s="1">
        <f t="shared" si="4"/>
        <v>100</v>
      </c>
      <c r="V10" s="3">
        <f t="shared" si="5"/>
        <v>100</v>
      </c>
      <c r="W10" s="3">
        <f t="shared" si="6"/>
        <v>100</v>
      </c>
      <c r="X10" s="3" t="str">
        <f t="shared" si="7"/>
        <v>fullaccesss</v>
      </c>
      <c r="Y10" s="3" t="str">
        <f t="shared" si="8"/>
        <v>fullaccesss</v>
      </c>
      <c r="Z10" s="1" t="str">
        <f t="shared" si="9"/>
        <v>fullaccesss</v>
      </c>
      <c r="AA10" s="3">
        <f t="shared" si="10"/>
        <v>0</v>
      </c>
      <c r="AB10" s="3" t="str">
        <f>LOOKUP($A10,Sheet2!$A$1:$B$233)</f>
        <v>Europe &amp; Central Asia</v>
      </c>
    </row>
    <row r="11" spans="1:28">
      <c r="A11" s="1" t="s">
        <v>24</v>
      </c>
      <c r="B11" s="1">
        <v>2020</v>
      </c>
      <c r="C11" s="1">
        <v>77.26499939</v>
      </c>
      <c r="D11" s="1">
        <v>87.916000370000006</v>
      </c>
      <c r="E11" s="1">
        <v>100.00000369999999</v>
      </c>
      <c r="F11" s="1">
        <v>0</v>
      </c>
      <c r="G11" s="1">
        <v>0</v>
      </c>
      <c r="H11" s="1">
        <v>0</v>
      </c>
      <c r="I11" s="1">
        <v>100</v>
      </c>
      <c r="J11" s="1">
        <v>0</v>
      </c>
      <c r="K11" s="1">
        <v>0</v>
      </c>
      <c r="L11" s="1">
        <v>0</v>
      </c>
      <c r="M11" s="1">
        <v>100</v>
      </c>
      <c r="N11" s="1">
        <v>0</v>
      </c>
      <c r="O11" s="1">
        <v>0</v>
      </c>
      <c r="P11" s="1">
        <v>0</v>
      </c>
      <c r="Q11" s="2" t="str">
        <f t="shared" si="0"/>
        <v/>
      </c>
      <c r="R11" s="1" t="str">
        <f t="shared" si="1"/>
        <v/>
      </c>
      <c r="S11" s="1" t="str">
        <f t="shared" si="2"/>
        <v/>
      </c>
      <c r="T11" s="1" t="str">
        <f t="shared" si="3"/>
        <v/>
      </c>
      <c r="U11" s="1">
        <f t="shared" si="4"/>
        <v>100</v>
      </c>
      <c r="V11" s="3">
        <f t="shared" si="5"/>
        <v>100</v>
      </c>
      <c r="W11" s="3">
        <f t="shared" si="6"/>
        <v>100</v>
      </c>
      <c r="X11" s="3" t="str">
        <f t="shared" si="7"/>
        <v/>
      </c>
      <c r="Y11" s="3" t="str">
        <f t="shared" si="8"/>
        <v/>
      </c>
      <c r="Z11" s="1" t="str">
        <f t="shared" si="9"/>
        <v/>
      </c>
      <c r="AA11" s="3" t="str">
        <f t="shared" si="10"/>
        <v/>
      </c>
      <c r="AB11" s="3" t="str">
        <f>LOOKUP($A11,Sheet2!$A$1:$B$233)</f>
        <v>Europe &amp; Central Asia</v>
      </c>
    </row>
    <row r="12" spans="1:28">
      <c r="A12" s="1" t="s">
        <v>26</v>
      </c>
      <c r="B12" s="1">
        <v>2015</v>
      </c>
      <c r="C12" s="1">
        <v>27884.380860000001</v>
      </c>
      <c r="D12" s="1">
        <v>63.445995330000002</v>
      </c>
      <c r="E12" s="1">
        <v>54.316928349999998</v>
      </c>
      <c r="F12" s="1">
        <v>11.368618659999999</v>
      </c>
      <c r="G12" s="1">
        <v>17.37235635</v>
      </c>
      <c r="H12" s="1">
        <v>16.942096639999999</v>
      </c>
      <c r="I12" s="1">
        <v>26.714369399999999</v>
      </c>
      <c r="J12" s="1">
        <v>9.9310692879999998</v>
      </c>
      <c r="K12" s="1">
        <v>21.725307619999999</v>
      </c>
      <c r="L12" s="1">
        <v>41.629253689999999</v>
      </c>
      <c r="M12" s="1">
        <v>70.219965119999998</v>
      </c>
      <c r="N12" s="1">
        <v>12.196853490000001</v>
      </c>
      <c r="O12" s="1">
        <v>14.86443147</v>
      </c>
      <c r="P12" s="1">
        <v>2.7187499210000001</v>
      </c>
      <c r="Q12" s="2">
        <f t="shared" si="0"/>
        <v>5</v>
      </c>
      <c r="R12" s="1">
        <f t="shared" si="1"/>
        <v>0.57016185399999986</v>
      </c>
      <c r="S12" s="1">
        <f t="shared" si="2"/>
        <v>0.2187714419999999</v>
      </c>
      <c r="T12" s="1">
        <f t="shared" si="3"/>
        <v>0.30463670000000037</v>
      </c>
      <c r="U12" s="1">
        <f t="shared" si="4"/>
        <v>54</v>
      </c>
      <c r="V12" s="3">
        <f t="shared" si="5"/>
        <v>27</v>
      </c>
      <c r="W12" s="3">
        <f t="shared" si="6"/>
        <v>70</v>
      </c>
      <c r="X12" s="3" t="str">
        <f t="shared" si="7"/>
        <v/>
      </c>
      <c r="Y12" s="3" t="str">
        <f t="shared" si="8"/>
        <v/>
      </c>
      <c r="Z12" s="1" t="str">
        <f t="shared" si="9"/>
        <v/>
      </c>
      <c r="AA12" s="3">
        <f t="shared" si="10"/>
        <v>-8.5865258000000472E-2</v>
      </c>
      <c r="AB12" s="3" t="str">
        <f>LOOKUP($A12,Sheet2!$A$1:$B$233)</f>
        <v>Sub-Saharan Africa</v>
      </c>
    </row>
    <row r="13" spans="1:28">
      <c r="A13" s="1" t="s">
        <v>26</v>
      </c>
      <c r="B13" s="1">
        <v>2020</v>
      </c>
      <c r="C13" s="1">
        <v>32866.269529999998</v>
      </c>
      <c r="D13" s="1">
        <v>66.824996949999999</v>
      </c>
      <c r="E13" s="1">
        <v>57.167737619999997</v>
      </c>
      <c r="F13" s="1">
        <v>9.2873499190000004</v>
      </c>
      <c r="G13" s="1">
        <v>19.450825340000002</v>
      </c>
      <c r="H13" s="1">
        <v>14.094087119999999</v>
      </c>
      <c r="I13" s="1">
        <v>27.808226609999998</v>
      </c>
      <c r="J13" s="1">
        <v>8.7404883889999994</v>
      </c>
      <c r="K13" s="1">
        <v>22.933152580000002</v>
      </c>
      <c r="L13" s="1">
        <v>40.518132420000001</v>
      </c>
      <c r="M13" s="1">
        <v>71.743148619999999</v>
      </c>
      <c r="N13" s="1">
        <v>9.5588374890000001</v>
      </c>
      <c r="O13" s="1">
        <v>17.722034730000001</v>
      </c>
      <c r="P13" s="1">
        <v>0.97597916289999997</v>
      </c>
      <c r="Q13" s="2" t="str">
        <f t="shared" si="0"/>
        <v/>
      </c>
      <c r="R13" s="1" t="str">
        <f t="shared" si="1"/>
        <v/>
      </c>
      <c r="S13" s="1" t="str">
        <f t="shared" si="2"/>
        <v/>
      </c>
      <c r="T13" s="1" t="str">
        <f t="shared" si="3"/>
        <v/>
      </c>
      <c r="U13" s="1">
        <f t="shared" si="4"/>
        <v>57</v>
      </c>
      <c r="V13" s="3">
        <f t="shared" si="5"/>
        <v>28</v>
      </c>
      <c r="W13" s="3">
        <f t="shared" si="6"/>
        <v>72</v>
      </c>
      <c r="X13" s="3" t="str">
        <f t="shared" si="7"/>
        <v/>
      </c>
      <c r="Y13" s="3" t="str">
        <f t="shared" si="8"/>
        <v/>
      </c>
      <c r="Z13" s="1" t="str">
        <f t="shared" si="9"/>
        <v/>
      </c>
      <c r="AA13" s="3" t="str">
        <f t="shared" si="10"/>
        <v/>
      </c>
      <c r="AB13" s="3" t="str">
        <f>LOOKUP($A13,Sheet2!$A$1:$B$233)</f>
        <v>Sub-Saharan Africa</v>
      </c>
    </row>
    <row r="14" spans="1:28">
      <c r="A14" s="1" t="s">
        <v>29</v>
      </c>
      <c r="B14" s="1">
        <v>2015</v>
      </c>
      <c r="C14" s="1">
        <v>14.27900028</v>
      </c>
      <c r="D14" s="1">
        <v>100</v>
      </c>
      <c r="E14" s="1">
        <v>97.482274250000003</v>
      </c>
      <c r="F14" s="1">
        <v>0</v>
      </c>
      <c r="G14" s="1">
        <v>2.5177257530000001</v>
      </c>
      <c r="H14" s="1">
        <v>0</v>
      </c>
      <c r="I14" s="1" t="s">
        <v>272</v>
      </c>
      <c r="J14" s="1" t="s">
        <v>272</v>
      </c>
      <c r="K14" s="1" t="s">
        <v>272</v>
      </c>
      <c r="L14" s="1" t="s">
        <v>272</v>
      </c>
      <c r="M14" s="1">
        <v>97.482274250000003</v>
      </c>
      <c r="N14" s="1">
        <v>0</v>
      </c>
      <c r="O14" s="1">
        <v>2.5177257530000001</v>
      </c>
      <c r="P14" s="1">
        <v>0</v>
      </c>
      <c r="Q14" s="2">
        <f t="shared" si="0"/>
        <v>2</v>
      </c>
      <c r="R14" s="1">
        <f t="shared" si="1"/>
        <v>0</v>
      </c>
      <c r="S14" s="1" t="str">
        <f t="shared" si="2"/>
        <v>null</v>
      </c>
      <c r="T14" s="1">
        <f t="shared" si="3"/>
        <v>0</v>
      </c>
      <c r="U14" s="1">
        <f t="shared" si="4"/>
        <v>97</v>
      </c>
      <c r="V14" s="3" t="str">
        <f t="shared" si="5"/>
        <v>null</v>
      </c>
      <c r="W14" s="3">
        <f t="shared" si="6"/>
        <v>97</v>
      </c>
      <c r="X14" s="3" t="str">
        <f t="shared" si="7"/>
        <v/>
      </c>
      <c r="Y14" s="3" t="str">
        <f t="shared" si="8"/>
        <v/>
      </c>
      <c r="Z14" s="1" t="str">
        <f t="shared" si="9"/>
        <v/>
      </c>
      <c r="AA14" s="3" t="str">
        <f t="shared" si="10"/>
        <v>null</v>
      </c>
      <c r="AB14" s="3" t="str">
        <f>LOOKUP($A14,Sheet2!$A$1:$B$233)</f>
        <v>Latin America &amp; Caribbean</v>
      </c>
    </row>
    <row r="15" spans="1:28">
      <c r="A15" s="1" t="s">
        <v>29</v>
      </c>
      <c r="B15" s="1">
        <v>2017</v>
      </c>
      <c r="C15" s="1">
        <v>14.588000299999999</v>
      </c>
      <c r="D15" s="1">
        <v>100</v>
      </c>
      <c r="E15" s="1">
        <v>97.482274250000003</v>
      </c>
      <c r="F15" s="1">
        <v>0</v>
      </c>
      <c r="G15" s="1">
        <v>2.5177257530000001</v>
      </c>
      <c r="H15" s="1">
        <v>0</v>
      </c>
      <c r="I15" s="1" t="s">
        <v>272</v>
      </c>
      <c r="J15" s="1" t="s">
        <v>272</v>
      </c>
      <c r="K15" s="1" t="s">
        <v>272</v>
      </c>
      <c r="L15" s="1" t="s">
        <v>272</v>
      </c>
      <c r="M15" s="1">
        <v>97.482274250000003</v>
      </c>
      <c r="N15" s="1">
        <v>0</v>
      </c>
      <c r="O15" s="1">
        <v>2.5177257530000001</v>
      </c>
      <c r="P15" s="1">
        <v>0</v>
      </c>
      <c r="Q15" s="2" t="str">
        <f t="shared" si="0"/>
        <v/>
      </c>
      <c r="R15" s="1" t="str">
        <f t="shared" si="1"/>
        <v/>
      </c>
      <c r="S15" s="1" t="str">
        <f t="shared" si="2"/>
        <v/>
      </c>
      <c r="T15" s="1" t="str">
        <f t="shared" si="3"/>
        <v/>
      </c>
      <c r="U15" s="1">
        <f t="shared" si="4"/>
        <v>97</v>
      </c>
      <c r="V15" s="3" t="str">
        <f t="shared" si="5"/>
        <v>null</v>
      </c>
      <c r="W15" s="3">
        <f t="shared" si="6"/>
        <v>97</v>
      </c>
      <c r="X15" s="3" t="str">
        <f t="shared" si="7"/>
        <v/>
      </c>
      <c r="Y15" s="3" t="str">
        <f t="shared" si="8"/>
        <v/>
      </c>
      <c r="Z15" s="1" t="str">
        <f t="shared" si="9"/>
        <v/>
      </c>
      <c r="AA15" s="3" t="str">
        <f t="shared" si="10"/>
        <v/>
      </c>
      <c r="AB15" s="3" t="str">
        <f>LOOKUP($A15,Sheet2!$A$1:$B$233)</f>
        <v>Latin America &amp; Caribbean</v>
      </c>
    </row>
    <row r="16" spans="1:28">
      <c r="A16" s="1" t="s">
        <v>32</v>
      </c>
      <c r="B16" s="1">
        <v>2015</v>
      </c>
      <c r="C16" s="1">
        <v>93.570999150000006</v>
      </c>
      <c r="D16" s="1">
        <v>25</v>
      </c>
      <c r="E16" s="1">
        <v>96.739186279999998</v>
      </c>
      <c r="F16" s="1">
        <v>0</v>
      </c>
      <c r="G16" s="1">
        <v>3.1663476099999999</v>
      </c>
      <c r="H16" s="1">
        <v>9.4466114089999997E-2</v>
      </c>
      <c r="I16" s="1" t="s">
        <v>272</v>
      </c>
      <c r="J16" s="1" t="s">
        <v>272</v>
      </c>
      <c r="K16" s="1" t="s">
        <v>272</v>
      </c>
      <c r="L16" s="1" t="s">
        <v>272</v>
      </c>
      <c r="M16" s="1" t="s">
        <v>272</v>
      </c>
      <c r="N16" s="1" t="s">
        <v>272</v>
      </c>
      <c r="O16" s="1" t="s">
        <v>272</v>
      </c>
      <c r="P16" s="1" t="s">
        <v>272</v>
      </c>
      <c r="Q16" s="2">
        <f t="shared" si="0"/>
        <v>2</v>
      </c>
      <c r="R16" s="1">
        <f t="shared" si="1"/>
        <v>0</v>
      </c>
      <c r="S16" s="1" t="str">
        <f t="shared" si="2"/>
        <v>null</v>
      </c>
      <c r="T16" s="1" t="str">
        <f t="shared" si="3"/>
        <v>null</v>
      </c>
      <c r="U16" s="1">
        <f t="shared" si="4"/>
        <v>97</v>
      </c>
      <c r="V16" s="3" t="str">
        <f t="shared" si="5"/>
        <v>null</v>
      </c>
      <c r="W16" s="3" t="str">
        <f t="shared" si="6"/>
        <v>null</v>
      </c>
      <c r="X16" s="3" t="str">
        <f t="shared" si="7"/>
        <v/>
      </c>
      <c r="Y16" s="3" t="str">
        <f t="shared" si="8"/>
        <v/>
      </c>
      <c r="Z16" s="1" t="str">
        <f t="shared" si="9"/>
        <v/>
      </c>
      <c r="AA16" s="3" t="str">
        <f t="shared" si="10"/>
        <v>null</v>
      </c>
      <c r="AB16" s="3" t="str">
        <f>LOOKUP($A16,Sheet2!$A$1:$B$233)</f>
        <v>Latin America &amp; Caribbean</v>
      </c>
    </row>
    <row r="17" spans="1:28">
      <c r="A17" s="1" t="s">
        <v>32</v>
      </c>
      <c r="B17" s="1">
        <v>2017</v>
      </c>
      <c r="C17" s="1">
        <v>95.425003050000001</v>
      </c>
      <c r="D17" s="1">
        <v>24.713001250000001</v>
      </c>
      <c r="E17" s="1">
        <v>96.739186279999998</v>
      </c>
      <c r="F17" s="1">
        <v>0</v>
      </c>
      <c r="G17" s="1">
        <v>3.1663476099999999</v>
      </c>
      <c r="H17" s="1">
        <v>9.4466114089999997E-2</v>
      </c>
      <c r="I17" s="1" t="s">
        <v>272</v>
      </c>
      <c r="J17" s="1" t="s">
        <v>272</v>
      </c>
      <c r="K17" s="1" t="s">
        <v>272</v>
      </c>
      <c r="L17" s="1" t="s">
        <v>272</v>
      </c>
      <c r="M17" s="1" t="s">
        <v>272</v>
      </c>
      <c r="N17" s="1" t="s">
        <v>272</v>
      </c>
      <c r="O17" s="1" t="s">
        <v>272</v>
      </c>
      <c r="P17" s="1" t="s">
        <v>272</v>
      </c>
      <c r="Q17" s="2" t="str">
        <f t="shared" si="0"/>
        <v/>
      </c>
      <c r="R17" s="1" t="str">
        <f t="shared" si="1"/>
        <v/>
      </c>
      <c r="S17" s="1" t="str">
        <f t="shared" si="2"/>
        <v/>
      </c>
      <c r="T17" s="1" t="str">
        <f t="shared" si="3"/>
        <v/>
      </c>
      <c r="U17" s="1">
        <f t="shared" si="4"/>
        <v>97</v>
      </c>
      <c r="V17" s="3" t="str">
        <f t="shared" si="5"/>
        <v>null</v>
      </c>
      <c r="W17" s="3" t="str">
        <f t="shared" si="6"/>
        <v>null</v>
      </c>
      <c r="X17" s="3" t="str">
        <f t="shared" si="7"/>
        <v/>
      </c>
      <c r="Y17" s="3" t="str">
        <f t="shared" si="8"/>
        <v/>
      </c>
      <c r="Z17" s="1" t="str">
        <f t="shared" si="9"/>
        <v/>
      </c>
      <c r="AA17" s="3" t="str">
        <f t="shared" si="10"/>
        <v/>
      </c>
      <c r="AB17" s="3" t="str">
        <f>LOOKUP($A17,Sheet2!$A$1:$B$233)</f>
        <v>Latin America &amp; Caribbean</v>
      </c>
    </row>
    <row r="18" spans="1:28">
      <c r="A18" s="1" t="s">
        <v>33</v>
      </c>
      <c r="B18" s="1">
        <v>2015</v>
      </c>
      <c r="C18" s="1">
        <v>43075.414060000003</v>
      </c>
      <c r="D18" s="1">
        <v>91.502998349999999</v>
      </c>
      <c r="E18" s="1">
        <v>98.966588150000007</v>
      </c>
      <c r="F18" s="1">
        <v>0</v>
      </c>
      <c r="G18" s="1">
        <v>0.66491437909999995</v>
      </c>
      <c r="H18" s="1">
        <v>0.36849747420000001</v>
      </c>
      <c r="I18" s="1">
        <v>92.983660049999997</v>
      </c>
      <c r="J18" s="1">
        <v>0</v>
      </c>
      <c r="K18" s="1">
        <v>2.6795448990000001</v>
      </c>
      <c r="L18" s="1">
        <v>4.3367950510000002</v>
      </c>
      <c r="M18" s="1">
        <v>99.522163050000003</v>
      </c>
      <c r="N18" s="1">
        <v>0</v>
      </c>
      <c r="O18" s="1">
        <v>0.47783694729999998</v>
      </c>
      <c r="P18" s="1">
        <v>0</v>
      </c>
      <c r="Q18" s="2">
        <f t="shared" si="0"/>
        <v>5</v>
      </c>
      <c r="R18" s="1" t="str">
        <f t="shared" si="1"/>
        <v>null</v>
      </c>
      <c r="S18" s="1" t="str">
        <f t="shared" si="2"/>
        <v>null</v>
      </c>
      <c r="T18" s="1">
        <f t="shared" si="3"/>
        <v>5.3651519999999661E-2</v>
      </c>
      <c r="U18" s="1">
        <f t="shared" si="4"/>
        <v>99</v>
      </c>
      <c r="V18" s="3">
        <f t="shared" si="5"/>
        <v>93</v>
      </c>
      <c r="W18" s="3">
        <f t="shared" si="6"/>
        <v>100</v>
      </c>
      <c r="X18" s="3" t="str">
        <f t="shared" si="7"/>
        <v/>
      </c>
      <c r="Y18" s="3" t="str">
        <f t="shared" si="8"/>
        <v/>
      </c>
      <c r="Z18" s="1" t="str">
        <f t="shared" si="9"/>
        <v>fullaccesss</v>
      </c>
      <c r="AA18" s="3" t="str">
        <f t="shared" si="10"/>
        <v>null</v>
      </c>
      <c r="AB18" s="3" t="str">
        <f>LOOKUP($A18,Sheet2!$A$1:$B$233)</f>
        <v>Latin America &amp; Caribbean</v>
      </c>
    </row>
    <row r="19" spans="1:28">
      <c r="A19" s="1" t="s">
        <v>33</v>
      </c>
      <c r="B19" s="1">
        <v>2020</v>
      </c>
      <c r="C19" s="1">
        <v>45195.777340000001</v>
      </c>
      <c r="D19" s="1">
        <v>92.111000059999995</v>
      </c>
      <c r="E19" s="1" t="s">
        <v>272</v>
      </c>
      <c r="F19" s="1" t="s">
        <v>272</v>
      </c>
      <c r="G19" s="1" t="s">
        <v>272</v>
      </c>
      <c r="H19" s="1" t="s">
        <v>272</v>
      </c>
      <c r="I19" s="1" t="s">
        <v>272</v>
      </c>
      <c r="J19" s="1" t="s">
        <v>272</v>
      </c>
      <c r="K19" s="1" t="s">
        <v>272</v>
      </c>
      <c r="L19" s="1" t="s">
        <v>272</v>
      </c>
      <c r="M19" s="1">
        <v>99.790420650000002</v>
      </c>
      <c r="N19" s="1">
        <v>0</v>
      </c>
      <c r="O19" s="1">
        <v>0.20957935010000001</v>
      </c>
      <c r="P19" s="1">
        <v>0</v>
      </c>
      <c r="Q19" s="2" t="str">
        <f t="shared" si="0"/>
        <v/>
      </c>
      <c r="R19" s="1" t="str">
        <f t="shared" si="1"/>
        <v/>
      </c>
      <c r="S19" s="1" t="str">
        <f t="shared" si="2"/>
        <v/>
      </c>
      <c r="T19" s="1" t="str">
        <f t="shared" si="3"/>
        <v/>
      </c>
      <c r="U19" s="1" t="str">
        <f t="shared" si="4"/>
        <v>null</v>
      </c>
      <c r="V19" s="3" t="str">
        <f t="shared" si="5"/>
        <v>null</v>
      </c>
      <c r="W19" s="3">
        <f t="shared" si="6"/>
        <v>100</v>
      </c>
      <c r="X19" s="3" t="str">
        <f t="shared" si="7"/>
        <v/>
      </c>
      <c r="Y19" s="3" t="str">
        <f t="shared" si="8"/>
        <v/>
      </c>
      <c r="Z19" s="1" t="str">
        <f t="shared" si="9"/>
        <v/>
      </c>
      <c r="AA19" s="3" t="str">
        <f t="shared" si="10"/>
        <v/>
      </c>
      <c r="AB19" s="3" t="str">
        <f>LOOKUP($A19,Sheet2!$A$1:$B$233)</f>
        <v>Latin America &amp; Caribbean</v>
      </c>
    </row>
    <row r="20" spans="1:28">
      <c r="A20" s="1" t="s">
        <v>34</v>
      </c>
      <c r="B20" s="1">
        <v>2015</v>
      </c>
      <c r="C20" s="1">
        <v>2925.5590820000002</v>
      </c>
      <c r="D20" s="1">
        <v>63.085002899999999</v>
      </c>
      <c r="E20" s="1">
        <v>99.5525667</v>
      </c>
      <c r="F20" s="1">
        <v>0</v>
      </c>
      <c r="G20" s="1">
        <v>9.8505083660000006E-2</v>
      </c>
      <c r="H20" s="1">
        <v>0.3489282205</v>
      </c>
      <c r="I20" s="1">
        <v>99.054779269999997</v>
      </c>
      <c r="J20" s="1">
        <v>0</v>
      </c>
      <c r="K20" s="1">
        <v>0</v>
      </c>
      <c r="L20" s="1">
        <v>0.94522073470000001</v>
      </c>
      <c r="M20" s="1">
        <v>99.8438534</v>
      </c>
      <c r="N20" s="1">
        <v>0</v>
      </c>
      <c r="O20" s="1">
        <v>0.15614659810000001</v>
      </c>
      <c r="P20" s="1">
        <v>0</v>
      </c>
      <c r="Q20" s="2">
        <f t="shared" si="0"/>
        <v>5</v>
      </c>
      <c r="R20" s="1">
        <f t="shared" si="1"/>
        <v>8.3722797999999446E-2</v>
      </c>
      <c r="S20" s="1">
        <f t="shared" si="2"/>
        <v>0.18904414600000052</v>
      </c>
      <c r="T20" s="1">
        <f t="shared" si="3"/>
        <v>2.2125564000000965E-2</v>
      </c>
      <c r="U20" s="1">
        <f t="shared" si="4"/>
        <v>100</v>
      </c>
      <c r="V20" s="3">
        <f t="shared" si="5"/>
        <v>99</v>
      </c>
      <c r="W20" s="3">
        <f t="shared" si="6"/>
        <v>100</v>
      </c>
      <c r="X20" s="3" t="str">
        <f t="shared" si="7"/>
        <v>fullaccesss</v>
      </c>
      <c r="Y20" s="3" t="str">
        <f t="shared" si="8"/>
        <v/>
      </c>
      <c r="Z20" s="1" t="str">
        <f t="shared" si="9"/>
        <v>fullaccesss</v>
      </c>
      <c r="AA20" s="3">
        <f t="shared" si="10"/>
        <v>0.16691858199999957</v>
      </c>
      <c r="AB20" s="3" t="str">
        <f>LOOKUP($A20,Sheet2!$A$1:$B$233)</f>
        <v>Europe &amp; Central Asia</v>
      </c>
    </row>
    <row r="21" spans="1:28">
      <c r="A21" s="1" t="s">
        <v>34</v>
      </c>
      <c r="B21" s="1">
        <v>2020</v>
      </c>
      <c r="C21" s="1">
        <v>2963.2338869999999</v>
      </c>
      <c r="D21" s="1">
        <v>63.312999730000001</v>
      </c>
      <c r="E21" s="1">
        <v>99.971180689999997</v>
      </c>
      <c r="F21" s="1">
        <v>0</v>
      </c>
      <c r="G21" s="1">
        <v>2.8819308009999999E-2</v>
      </c>
      <c r="H21" s="1">
        <v>0</v>
      </c>
      <c r="I21" s="1">
        <v>100</v>
      </c>
      <c r="J21" s="1">
        <v>0</v>
      </c>
      <c r="K21" s="1">
        <v>0</v>
      </c>
      <c r="L21" s="1">
        <v>0</v>
      </c>
      <c r="M21" s="1">
        <v>99.954481220000005</v>
      </c>
      <c r="N21" s="1">
        <v>0</v>
      </c>
      <c r="O21" s="1">
        <v>4.5518783639999998E-2</v>
      </c>
      <c r="P21" s="1">
        <v>0</v>
      </c>
      <c r="Q21" s="2" t="str">
        <f t="shared" si="0"/>
        <v/>
      </c>
      <c r="R21" s="1" t="str">
        <f t="shared" si="1"/>
        <v/>
      </c>
      <c r="S21" s="1" t="str">
        <f t="shared" si="2"/>
        <v/>
      </c>
      <c r="T21" s="1" t="str">
        <f t="shared" si="3"/>
        <v/>
      </c>
      <c r="U21" s="1">
        <f t="shared" si="4"/>
        <v>100</v>
      </c>
      <c r="V21" s="3">
        <f t="shared" si="5"/>
        <v>100</v>
      </c>
      <c r="W21" s="3">
        <f t="shared" si="6"/>
        <v>100</v>
      </c>
      <c r="X21" s="3" t="str">
        <f t="shared" si="7"/>
        <v/>
      </c>
      <c r="Y21" s="3" t="str">
        <f t="shared" si="8"/>
        <v/>
      </c>
      <c r="Z21" s="1" t="str">
        <f t="shared" si="9"/>
        <v/>
      </c>
      <c r="AA21" s="3" t="str">
        <f t="shared" si="10"/>
        <v/>
      </c>
      <c r="AB21" s="3" t="str">
        <f>LOOKUP($A21,Sheet2!$A$1:$B$233)</f>
        <v>Europe &amp; Central Asia</v>
      </c>
    </row>
    <row r="22" spans="1:28">
      <c r="A22" s="1" t="s">
        <v>36</v>
      </c>
      <c r="B22" s="1">
        <v>2015</v>
      </c>
      <c r="C22" s="1">
        <v>104.3389969</v>
      </c>
      <c r="D22" s="1">
        <v>43.108001710000003</v>
      </c>
      <c r="E22" s="1">
        <v>97.869023380000002</v>
      </c>
      <c r="F22" s="1">
        <v>0</v>
      </c>
      <c r="G22" s="1">
        <v>1.95993621</v>
      </c>
      <c r="H22" s="1">
        <v>0.1710404089</v>
      </c>
      <c r="I22" s="1" t="s">
        <v>272</v>
      </c>
      <c r="J22" s="1" t="s">
        <v>272</v>
      </c>
      <c r="K22" s="1" t="s">
        <v>272</v>
      </c>
      <c r="L22" s="1" t="s">
        <v>272</v>
      </c>
      <c r="M22" s="1" t="s">
        <v>272</v>
      </c>
      <c r="N22" s="1" t="s">
        <v>272</v>
      </c>
      <c r="O22" s="1" t="s">
        <v>272</v>
      </c>
      <c r="P22" s="1" t="s">
        <v>272</v>
      </c>
      <c r="Q22" s="2">
        <f t="shared" si="0"/>
        <v>1</v>
      </c>
      <c r="R22" s="1">
        <f t="shared" si="1"/>
        <v>0</v>
      </c>
      <c r="S22" s="1" t="str">
        <f t="shared" si="2"/>
        <v>null</v>
      </c>
      <c r="T22" s="1" t="str">
        <f t="shared" si="3"/>
        <v>null</v>
      </c>
      <c r="U22" s="1">
        <f t="shared" si="4"/>
        <v>98</v>
      </c>
      <c r="V22" s="3" t="str">
        <f t="shared" si="5"/>
        <v>null</v>
      </c>
      <c r="W22" s="3" t="str">
        <f t="shared" si="6"/>
        <v>null</v>
      </c>
      <c r="X22" s="3" t="str">
        <f t="shared" si="7"/>
        <v/>
      </c>
      <c r="Y22" s="3" t="str">
        <f t="shared" si="8"/>
        <v/>
      </c>
      <c r="Z22" s="1" t="str">
        <f t="shared" si="9"/>
        <v/>
      </c>
      <c r="AA22" s="3" t="str">
        <f t="shared" si="10"/>
        <v>null</v>
      </c>
      <c r="AB22" s="3" t="str">
        <f>LOOKUP($A22,Sheet2!$A$1:$B$233)</f>
        <v>Latin America &amp; Caribbean</v>
      </c>
    </row>
    <row r="23" spans="1:28">
      <c r="A23" s="1" t="s">
        <v>36</v>
      </c>
      <c r="B23" s="1">
        <v>2016</v>
      </c>
      <c r="C23" s="1">
        <v>104.86499790000001</v>
      </c>
      <c r="D23" s="1">
        <v>43.191997530000002</v>
      </c>
      <c r="E23" s="1">
        <v>97.869023380000002</v>
      </c>
      <c r="F23" s="1">
        <v>0</v>
      </c>
      <c r="G23" s="1">
        <v>1.95993621</v>
      </c>
      <c r="H23" s="1">
        <v>0.1710404089</v>
      </c>
      <c r="I23" s="1" t="s">
        <v>272</v>
      </c>
      <c r="J23" s="1" t="s">
        <v>272</v>
      </c>
      <c r="K23" s="1" t="s">
        <v>272</v>
      </c>
      <c r="L23" s="1" t="s">
        <v>272</v>
      </c>
      <c r="M23" s="1" t="s">
        <v>272</v>
      </c>
      <c r="N23" s="1" t="s">
        <v>272</v>
      </c>
      <c r="O23" s="1" t="s">
        <v>272</v>
      </c>
      <c r="P23" s="1" t="s">
        <v>272</v>
      </c>
      <c r="Q23" s="2" t="str">
        <f t="shared" si="0"/>
        <v/>
      </c>
      <c r="R23" s="1" t="str">
        <f t="shared" si="1"/>
        <v/>
      </c>
      <c r="S23" s="1" t="str">
        <f t="shared" si="2"/>
        <v/>
      </c>
      <c r="T23" s="1" t="str">
        <f t="shared" si="3"/>
        <v/>
      </c>
      <c r="U23" s="1">
        <f t="shared" si="4"/>
        <v>98</v>
      </c>
      <c r="V23" s="3" t="str">
        <f t="shared" si="5"/>
        <v>null</v>
      </c>
      <c r="W23" s="3" t="str">
        <f t="shared" si="6"/>
        <v>null</v>
      </c>
      <c r="X23" s="3" t="str">
        <f t="shared" si="7"/>
        <v/>
      </c>
      <c r="Y23" s="3" t="str">
        <f t="shared" si="8"/>
        <v/>
      </c>
      <c r="Z23" s="1" t="str">
        <f t="shared" si="9"/>
        <v/>
      </c>
      <c r="AA23" s="3" t="str">
        <f t="shared" si="10"/>
        <v/>
      </c>
      <c r="AB23" s="3" t="str">
        <f>LOOKUP($A23,Sheet2!$A$1:$B$233)</f>
        <v>Latin America &amp; Caribbean</v>
      </c>
    </row>
    <row r="24" spans="1:28">
      <c r="A24" s="1" t="s">
        <v>38</v>
      </c>
      <c r="B24" s="1">
        <v>2015</v>
      </c>
      <c r="C24" s="1">
        <v>23932.498049999998</v>
      </c>
      <c r="D24" s="1">
        <v>85.701004030000007</v>
      </c>
      <c r="E24" s="1">
        <v>99.970005670000006</v>
      </c>
      <c r="F24" s="1">
        <v>0</v>
      </c>
      <c r="G24" s="1">
        <v>2.9994330570000002E-2</v>
      </c>
      <c r="H24" s="1">
        <v>0</v>
      </c>
      <c r="I24" s="1">
        <v>100</v>
      </c>
      <c r="J24" s="1">
        <v>0</v>
      </c>
      <c r="K24" s="1">
        <v>0</v>
      </c>
      <c r="L24" s="1">
        <v>0</v>
      </c>
      <c r="M24" s="1">
        <v>99.965000000000003</v>
      </c>
      <c r="N24" s="1">
        <v>0</v>
      </c>
      <c r="O24" s="1">
        <v>3.5000000000000003E-2</v>
      </c>
      <c r="P24" s="1">
        <v>0</v>
      </c>
      <c r="Q24" s="2">
        <f t="shared" si="0"/>
        <v>5</v>
      </c>
      <c r="R24" s="1">
        <f t="shared" si="1"/>
        <v>-3.8770000000454277E-5</v>
      </c>
      <c r="S24" s="1">
        <f t="shared" si="2"/>
        <v>0</v>
      </c>
      <c r="T24" s="1">
        <f t="shared" si="3"/>
        <v>0</v>
      </c>
      <c r="U24" s="1">
        <f t="shared" si="4"/>
        <v>100</v>
      </c>
      <c r="V24" s="3">
        <f t="shared" si="5"/>
        <v>100</v>
      </c>
      <c r="W24" s="3">
        <f t="shared" si="6"/>
        <v>100</v>
      </c>
      <c r="X24" s="3" t="str">
        <f t="shared" si="7"/>
        <v>fullaccesss</v>
      </c>
      <c r="Y24" s="3" t="str">
        <f t="shared" si="8"/>
        <v>fullaccesss</v>
      </c>
      <c r="Z24" s="1" t="str">
        <f t="shared" si="9"/>
        <v>fullaccesss</v>
      </c>
      <c r="AA24" s="3">
        <f t="shared" si="10"/>
        <v>0</v>
      </c>
      <c r="AB24" s="3" t="str">
        <f>LOOKUP($A24,Sheet2!$A$1:$B$233)</f>
        <v>East Asia &amp; Pacific</v>
      </c>
    </row>
    <row r="25" spans="1:28">
      <c r="A25" s="1" t="s">
        <v>38</v>
      </c>
      <c r="B25" s="1">
        <v>2020</v>
      </c>
      <c r="C25" s="1">
        <v>25499.880860000001</v>
      </c>
      <c r="D25" s="1">
        <v>86.240997309999997</v>
      </c>
      <c r="E25" s="1">
        <v>99.969811820000004</v>
      </c>
      <c r="F25" s="1">
        <v>0</v>
      </c>
      <c r="G25" s="1">
        <v>3.0188178730000001E-2</v>
      </c>
      <c r="H25" s="1">
        <v>0</v>
      </c>
      <c r="I25" s="1">
        <v>100</v>
      </c>
      <c r="J25" s="1">
        <v>0</v>
      </c>
      <c r="K25" s="1">
        <v>0</v>
      </c>
      <c r="L25" s="1">
        <v>0</v>
      </c>
      <c r="M25" s="1">
        <v>99.965000000000003</v>
      </c>
      <c r="N25" s="1">
        <v>0</v>
      </c>
      <c r="O25" s="1">
        <v>3.5000000000000003E-2</v>
      </c>
      <c r="P25" s="1">
        <v>0</v>
      </c>
      <c r="Q25" s="2" t="str">
        <f t="shared" si="0"/>
        <v/>
      </c>
      <c r="R25" s="1" t="str">
        <f t="shared" si="1"/>
        <v/>
      </c>
      <c r="S25" s="1" t="str">
        <f t="shared" si="2"/>
        <v/>
      </c>
      <c r="T25" s="1" t="str">
        <f t="shared" si="3"/>
        <v/>
      </c>
      <c r="U25" s="1">
        <f t="shared" si="4"/>
        <v>100</v>
      </c>
      <c r="V25" s="3">
        <f t="shared" si="5"/>
        <v>100</v>
      </c>
      <c r="W25" s="3">
        <f t="shared" si="6"/>
        <v>100</v>
      </c>
      <c r="X25" s="3" t="str">
        <f t="shared" si="7"/>
        <v/>
      </c>
      <c r="Y25" s="3" t="str">
        <f t="shared" si="8"/>
        <v/>
      </c>
      <c r="Z25" s="1" t="str">
        <f t="shared" si="9"/>
        <v/>
      </c>
      <c r="AA25" s="3" t="str">
        <f t="shared" si="10"/>
        <v/>
      </c>
      <c r="AB25" s="3" t="str">
        <f>LOOKUP($A25,Sheet2!$A$1:$B$233)</f>
        <v>East Asia &amp; Pacific</v>
      </c>
    </row>
    <row r="26" spans="1:28">
      <c r="A26" s="1" t="s">
        <v>40</v>
      </c>
      <c r="B26" s="1">
        <v>2015</v>
      </c>
      <c r="C26" s="1">
        <v>8678.6669920000004</v>
      </c>
      <c r="D26" s="1">
        <v>57.715000150000002</v>
      </c>
      <c r="E26" s="1">
        <v>100</v>
      </c>
      <c r="F26" s="1">
        <v>0</v>
      </c>
      <c r="G26" s="1">
        <v>0</v>
      </c>
      <c r="H26" s="1">
        <v>0</v>
      </c>
      <c r="I26" s="1">
        <v>100</v>
      </c>
      <c r="J26" s="1">
        <v>0</v>
      </c>
      <c r="K26" s="1">
        <v>0</v>
      </c>
      <c r="L26" s="1">
        <v>0</v>
      </c>
      <c r="M26" s="1">
        <v>100</v>
      </c>
      <c r="N26" s="1">
        <v>0</v>
      </c>
      <c r="O26" s="1">
        <v>0</v>
      </c>
      <c r="P26" s="1">
        <v>0</v>
      </c>
      <c r="Q26" s="2">
        <f t="shared" si="0"/>
        <v>5</v>
      </c>
      <c r="R26" s="1">
        <f t="shared" si="1"/>
        <v>0</v>
      </c>
      <c r="S26" s="1">
        <f t="shared" si="2"/>
        <v>0</v>
      </c>
      <c r="T26" s="1">
        <f t="shared" si="3"/>
        <v>0</v>
      </c>
      <c r="U26" s="1">
        <f t="shared" si="4"/>
        <v>100</v>
      </c>
      <c r="V26" s="3">
        <f t="shared" si="5"/>
        <v>100</v>
      </c>
      <c r="W26" s="3">
        <f t="shared" si="6"/>
        <v>100</v>
      </c>
      <c r="X26" s="3" t="str">
        <f t="shared" si="7"/>
        <v>fullaccesss</v>
      </c>
      <c r="Y26" s="3" t="str">
        <f t="shared" si="8"/>
        <v>fullaccesss</v>
      </c>
      <c r="Z26" s="1" t="str">
        <f t="shared" si="9"/>
        <v>fullaccesss</v>
      </c>
      <c r="AA26" s="3">
        <f t="shared" si="10"/>
        <v>0</v>
      </c>
      <c r="AB26" s="3" t="str">
        <f>LOOKUP($A26,Sheet2!$A$1:$B$233)</f>
        <v>Europe &amp; Central Asia</v>
      </c>
    </row>
    <row r="27" spans="1:28">
      <c r="A27" s="1" t="s">
        <v>40</v>
      </c>
      <c r="B27" s="1">
        <v>2020</v>
      </c>
      <c r="C27" s="1">
        <v>9006.4003909999992</v>
      </c>
      <c r="D27" s="1">
        <v>58.748001100000003</v>
      </c>
      <c r="E27" s="1">
        <v>100</v>
      </c>
      <c r="F27" s="1">
        <v>0</v>
      </c>
      <c r="G27" s="1">
        <v>0</v>
      </c>
      <c r="H27" s="1">
        <v>0</v>
      </c>
      <c r="I27" s="1">
        <v>100</v>
      </c>
      <c r="J27" s="1">
        <v>0</v>
      </c>
      <c r="K27" s="1">
        <v>0</v>
      </c>
      <c r="L27" s="1">
        <v>0</v>
      </c>
      <c r="M27" s="1">
        <v>100</v>
      </c>
      <c r="N27" s="1">
        <v>0</v>
      </c>
      <c r="O27" s="1">
        <v>0</v>
      </c>
      <c r="P27" s="1">
        <v>0</v>
      </c>
      <c r="Q27" s="2" t="str">
        <f t="shared" si="0"/>
        <v/>
      </c>
      <c r="R27" s="1" t="str">
        <f t="shared" si="1"/>
        <v/>
      </c>
      <c r="S27" s="1" t="str">
        <f t="shared" si="2"/>
        <v/>
      </c>
      <c r="T27" s="1" t="str">
        <f t="shared" si="3"/>
        <v/>
      </c>
      <c r="U27" s="1">
        <f t="shared" si="4"/>
        <v>100</v>
      </c>
      <c r="V27" s="3">
        <f t="shared" si="5"/>
        <v>100</v>
      </c>
      <c r="W27" s="3">
        <f t="shared" si="6"/>
        <v>100</v>
      </c>
      <c r="X27" s="3" t="str">
        <f t="shared" si="7"/>
        <v/>
      </c>
      <c r="Y27" s="3" t="str">
        <f t="shared" si="8"/>
        <v/>
      </c>
      <c r="Z27" s="1" t="str">
        <f t="shared" si="9"/>
        <v/>
      </c>
      <c r="AA27" s="3" t="str">
        <f t="shared" si="10"/>
        <v/>
      </c>
      <c r="AB27" s="3" t="str">
        <f>LOOKUP($A27,Sheet2!$A$1:$B$233)</f>
        <v>Europe &amp; Central Asia</v>
      </c>
    </row>
    <row r="28" spans="1:28">
      <c r="A28" s="1" t="s">
        <v>42</v>
      </c>
      <c r="B28" s="1">
        <v>2015</v>
      </c>
      <c r="C28" s="1">
        <v>9622.7412110000005</v>
      </c>
      <c r="D28" s="1">
        <v>54.7140007</v>
      </c>
      <c r="E28" s="1">
        <v>92.420313980000003</v>
      </c>
      <c r="F28" s="1">
        <v>1.002242415</v>
      </c>
      <c r="G28" s="1">
        <v>4.3650895219999999</v>
      </c>
      <c r="H28" s="1">
        <v>2.2123540799999999</v>
      </c>
      <c r="I28" s="1">
        <v>84.143213270000004</v>
      </c>
      <c r="J28" s="1">
        <v>2.2131397310000001</v>
      </c>
      <c r="K28" s="1">
        <v>8.9882060060000004</v>
      </c>
      <c r="L28" s="1">
        <v>4.6554409919999999</v>
      </c>
      <c r="M28" s="1">
        <v>99.271152029999996</v>
      </c>
      <c r="N28" s="1">
        <v>0</v>
      </c>
      <c r="O28" s="1">
        <v>0.53860203449999999</v>
      </c>
      <c r="P28" s="1">
        <v>0.1902459339</v>
      </c>
      <c r="Q28" s="2">
        <f t="shared" si="0"/>
        <v>5</v>
      </c>
      <c r="R28" s="1">
        <f t="shared" si="1"/>
        <v>0.72461242999999909</v>
      </c>
      <c r="S28" s="1">
        <f t="shared" si="2"/>
        <v>1.3565169359999998</v>
      </c>
      <c r="T28" s="1">
        <f t="shared" si="3"/>
        <v>0.14576959400000078</v>
      </c>
      <c r="U28" s="1">
        <f t="shared" si="4"/>
        <v>92</v>
      </c>
      <c r="V28" s="3">
        <f t="shared" si="5"/>
        <v>84</v>
      </c>
      <c r="W28" s="3">
        <f t="shared" si="6"/>
        <v>99</v>
      </c>
      <c r="X28" s="3" t="str">
        <f t="shared" si="7"/>
        <v/>
      </c>
      <c r="Y28" s="3" t="str">
        <f t="shared" si="8"/>
        <v/>
      </c>
      <c r="Z28" s="1" t="str">
        <f t="shared" si="9"/>
        <v/>
      </c>
      <c r="AA28" s="3">
        <f t="shared" si="10"/>
        <v>1.210747341999999</v>
      </c>
      <c r="AB28" s="3" t="str">
        <f>LOOKUP($A28,Sheet2!$A$1:$B$233)</f>
        <v>Europe &amp; Central Asia</v>
      </c>
    </row>
    <row r="29" spans="1:28">
      <c r="A29" s="1" t="s">
        <v>42</v>
      </c>
      <c r="B29" s="1">
        <v>2020</v>
      </c>
      <c r="C29" s="1">
        <v>10139.174800000001</v>
      </c>
      <c r="D29" s="1">
        <v>56.397003169999998</v>
      </c>
      <c r="E29" s="1">
        <v>96.043376129999999</v>
      </c>
      <c r="F29" s="1">
        <v>1.04278118</v>
      </c>
      <c r="G29" s="1">
        <v>2.9138426879999999</v>
      </c>
      <c r="H29" s="1">
        <v>0</v>
      </c>
      <c r="I29" s="1">
        <v>90.925797950000003</v>
      </c>
      <c r="J29" s="1">
        <v>2.3915356710000002</v>
      </c>
      <c r="K29" s="1">
        <v>6.6826663770000003</v>
      </c>
      <c r="L29" s="1">
        <v>0</v>
      </c>
      <c r="M29" s="1">
        <v>100</v>
      </c>
      <c r="N29" s="1">
        <v>0</v>
      </c>
      <c r="O29" s="1">
        <v>0</v>
      </c>
      <c r="P29" s="1">
        <v>0</v>
      </c>
      <c r="Q29" s="2" t="str">
        <f t="shared" si="0"/>
        <v/>
      </c>
      <c r="R29" s="1" t="str">
        <f t="shared" si="1"/>
        <v/>
      </c>
      <c r="S29" s="1" t="str">
        <f t="shared" si="2"/>
        <v/>
      </c>
      <c r="T29" s="1" t="str">
        <f t="shared" si="3"/>
        <v/>
      </c>
      <c r="U29" s="1">
        <f t="shared" si="4"/>
        <v>96</v>
      </c>
      <c r="V29" s="3">
        <f t="shared" si="5"/>
        <v>91</v>
      </c>
      <c r="W29" s="3">
        <f t="shared" si="6"/>
        <v>100</v>
      </c>
      <c r="X29" s="3" t="str">
        <f t="shared" si="7"/>
        <v/>
      </c>
      <c r="Y29" s="3" t="str">
        <f t="shared" si="8"/>
        <v/>
      </c>
      <c r="Z29" s="1" t="str">
        <f t="shared" si="9"/>
        <v/>
      </c>
      <c r="AA29" s="3" t="str">
        <f t="shared" si="10"/>
        <v/>
      </c>
      <c r="AB29" s="3" t="str">
        <f>LOOKUP($A29,Sheet2!$A$1:$B$233)</f>
        <v>Europe &amp; Central Asia</v>
      </c>
    </row>
    <row r="30" spans="1:28">
      <c r="A30" s="1" t="s">
        <v>44</v>
      </c>
      <c r="B30" s="1">
        <v>2015</v>
      </c>
      <c r="C30" s="1">
        <v>374.2000122</v>
      </c>
      <c r="D30" s="1">
        <v>82.745994569999993</v>
      </c>
      <c r="E30" s="1">
        <v>98.886960500000001</v>
      </c>
      <c r="F30" s="1">
        <v>0</v>
      </c>
      <c r="G30" s="1">
        <v>1.113039503</v>
      </c>
      <c r="H30" s="1">
        <v>0</v>
      </c>
      <c r="I30" s="1" t="s">
        <v>272</v>
      </c>
      <c r="J30" s="1" t="s">
        <v>272</v>
      </c>
      <c r="K30" s="1" t="s">
        <v>272</v>
      </c>
      <c r="L30" s="1" t="s">
        <v>272</v>
      </c>
      <c r="M30" s="1" t="s">
        <v>272</v>
      </c>
      <c r="N30" s="1" t="s">
        <v>272</v>
      </c>
      <c r="O30" s="1" t="s">
        <v>272</v>
      </c>
      <c r="P30" s="1" t="s">
        <v>272</v>
      </c>
      <c r="Q30" s="2">
        <f t="shared" si="0"/>
        <v>4</v>
      </c>
      <c r="R30" s="1">
        <f t="shared" si="1"/>
        <v>0</v>
      </c>
      <c r="S30" s="1" t="str">
        <f t="shared" si="2"/>
        <v>null</v>
      </c>
      <c r="T30" s="1" t="str">
        <f t="shared" si="3"/>
        <v>null</v>
      </c>
      <c r="U30" s="1">
        <f t="shared" si="4"/>
        <v>99</v>
      </c>
      <c r="V30" s="3" t="str">
        <f t="shared" si="5"/>
        <v>null</v>
      </c>
      <c r="W30" s="3" t="str">
        <f t="shared" si="6"/>
        <v>null</v>
      </c>
      <c r="X30" s="3" t="str">
        <f t="shared" si="7"/>
        <v/>
      </c>
      <c r="Y30" s="3" t="str">
        <f t="shared" si="8"/>
        <v/>
      </c>
      <c r="Z30" s="1" t="str">
        <f t="shared" si="9"/>
        <v/>
      </c>
      <c r="AA30" s="3" t="str">
        <f t="shared" si="10"/>
        <v>null</v>
      </c>
      <c r="AB30" s="3" t="str">
        <f>LOOKUP($A30,Sheet2!$A$1:$B$233)</f>
        <v>Latin America &amp; Caribbean</v>
      </c>
    </row>
    <row r="31" spans="1:28">
      <c r="A31" s="1" t="s">
        <v>44</v>
      </c>
      <c r="B31" s="1">
        <v>2019</v>
      </c>
      <c r="C31" s="1">
        <v>389.48599239999999</v>
      </c>
      <c r="D31" s="1">
        <v>83.131996150000006</v>
      </c>
      <c r="E31" s="1">
        <v>98.886960500000001</v>
      </c>
      <c r="F31" s="1">
        <v>0</v>
      </c>
      <c r="G31" s="1">
        <v>1.113039503</v>
      </c>
      <c r="H31" s="1">
        <v>0</v>
      </c>
      <c r="I31" s="1" t="s">
        <v>272</v>
      </c>
      <c r="J31" s="1" t="s">
        <v>272</v>
      </c>
      <c r="K31" s="1" t="s">
        <v>272</v>
      </c>
      <c r="L31" s="1" t="s">
        <v>272</v>
      </c>
      <c r="M31" s="1" t="s">
        <v>272</v>
      </c>
      <c r="N31" s="1" t="s">
        <v>272</v>
      </c>
      <c r="O31" s="1" t="s">
        <v>272</v>
      </c>
      <c r="P31" s="1" t="s">
        <v>272</v>
      </c>
      <c r="Q31" s="2" t="str">
        <f t="shared" si="0"/>
        <v/>
      </c>
      <c r="R31" s="1" t="str">
        <f t="shared" si="1"/>
        <v/>
      </c>
      <c r="S31" s="1" t="str">
        <f t="shared" si="2"/>
        <v/>
      </c>
      <c r="T31" s="1" t="str">
        <f t="shared" si="3"/>
        <v/>
      </c>
      <c r="U31" s="1">
        <f t="shared" si="4"/>
        <v>99</v>
      </c>
      <c r="V31" s="3" t="str">
        <f t="shared" si="5"/>
        <v>null</v>
      </c>
      <c r="W31" s="3" t="str">
        <f t="shared" si="6"/>
        <v>null</v>
      </c>
      <c r="X31" s="3" t="str">
        <f t="shared" si="7"/>
        <v/>
      </c>
      <c r="Y31" s="3" t="str">
        <f t="shared" si="8"/>
        <v/>
      </c>
      <c r="Z31" s="1" t="str">
        <f t="shared" si="9"/>
        <v/>
      </c>
      <c r="AA31" s="3" t="str">
        <f t="shared" si="10"/>
        <v/>
      </c>
      <c r="AB31" s="3" t="str">
        <f>LOOKUP($A31,Sheet2!$A$1:$B$233)</f>
        <v>Latin America &amp; Caribbean</v>
      </c>
    </row>
    <row r="32" spans="1:28">
      <c r="A32" s="1" t="s">
        <v>46</v>
      </c>
      <c r="B32" s="1">
        <v>2015</v>
      </c>
      <c r="C32" s="1">
        <v>1371.8530270000001</v>
      </c>
      <c r="D32" s="1">
        <v>88.998992920000006</v>
      </c>
      <c r="E32" s="1">
        <v>100</v>
      </c>
      <c r="F32" s="1">
        <v>0</v>
      </c>
      <c r="G32" s="1">
        <v>0</v>
      </c>
      <c r="H32" s="1">
        <v>0</v>
      </c>
      <c r="I32" s="1" t="s">
        <v>272</v>
      </c>
      <c r="J32" s="1" t="s">
        <v>272</v>
      </c>
      <c r="K32" s="1" t="s">
        <v>272</v>
      </c>
      <c r="L32" s="1" t="s">
        <v>272</v>
      </c>
      <c r="M32" s="1" t="s">
        <v>272</v>
      </c>
      <c r="N32" s="1" t="s">
        <v>272</v>
      </c>
      <c r="O32" s="1" t="s">
        <v>272</v>
      </c>
      <c r="P32" s="1" t="s">
        <v>272</v>
      </c>
      <c r="Q32" s="2">
        <f t="shared" si="0"/>
        <v>5</v>
      </c>
      <c r="R32" s="1">
        <f t="shared" si="1"/>
        <v>0</v>
      </c>
      <c r="S32" s="1" t="str">
        <f t="shared" si="2"/>
        <v>null</v>
      </c>
      <c r="T32" s="1" t="str">
        <f t="shared" si="3"/>
        <v>null</v>
      </c>
      <c r="U32" s="1">
        <f t="shared" si="4"/>
        <v>100</v>
      </c>
      <c r="V32" s="3" t="str">
        <f t="shared" si="5"/>
        <v>null</v>
      </c>
      <c r="W32" s="3" t="str">
        <f t="shared" si="6"/>
        <v>null</v>
      </c>
      <c r="X32" s="3" t="str">
        <f t="shared" si="7"/>
        <v>fullaccesss</v>
      </c>
      <c r="Y32" s="3" t="str">
        <f t="shared" si="8"/>
        <v/>
      </c>
      <c r="Z32" s="1" t="str">
        <f t="shared" si="9"/>
        <v/>
      </c>
      <c r="AA32" s="3" t="str">
        <f t="shared" si="10"/>
        <v>null</v>
      </c>
      <c r="AB32" s="3" t="str">
        <f>LOOKUP($A32,Sheet2!$A$1:$B$233)</f>
        <v>Europe &amp; Central Asia</v>
      </c>
    </row>
    <row r="33" spans="1:28">
      <c r="A33" s="1" t="s">
        <v>46</v>
      </c>
      <c r="B33" s="1">
        <v>2020</v>
      </c>
      <c r="C33" s="1">
        <v>1701.5830080000001</v>
      </c>
      <c r="D33" s="1">
        <v>89.506004329999996</v>
      </c>
      <c r="E33" s="1">
        <v>100</v>
      </c>
      <c r="F33" s="1">
        <v>0</v>
      </c>
      <c r="G33" s="1">
        <v>0</v>
      </c>
      <c r="H33" s="1">
        <v>0</v>
      </c>
      <c r="I33" s="1" t="s">
        <v>272</v>
      </c>
      <c r="J33" s="1" t="s">
        <v>272</v>
      </c>
      <c r="K33" s="1" t="s">
        <v>272</v>
      </c>
      <c r="L33" s="1" t="s">
        <v>272</v>
      </c>
      <c r="M33" s="1" t="s">
        <v>272</v>
      </c>
      <c r="N33" s="1" t="s">
        <v>272</v>
      </c>
      <c r="O33" s="1" t="s">
        <v>272</v>
      </c>
      <c r="P33" s="1" t="s">
        <v>272</v>
      </c>
      <c r="Q33" s="2" t="str">
        <f t="shared" si="0"/>
        <v/>
      </c>
      <c r="R33" s="1" t="str">
        <f t="shared" si="1"/>
        <v/>
      </c>
      <c r="S33" s="1" t="str">
        <f t="shared" si="2"/>
        <v/>
      </c>
      <c r="T33" s="1" t="str">
        <f t="shared" si="3"/>
        <v/>
      </c>
      <c r="U33" s="1">
        <f t="shared" si="4"/>
        <v>100</v>
      </c>
      <c r="V33" s="3" t="str">
        <f t="shared" si="5"/>
        <v>null</v>
      </c>
      <c r="W33" s="3" t="str">
        <f t="shared" si="6"/>
        <v>null</v>
      </c>
      <c r="X33" s="3" t="str">
        <f t="shared" si="7"/>
        <v/>
      </c>
      <c r="Y33" s="3" t="str">
        <f t="shared" si="8"/>
        <v/>
      </c>
      <c r="Z33" s="1" t="str">
        <f t="shared" si="9"/>
        <v/>
      </c>
      <c r="AA33" s="3" t="str">
        <f t="shared" si="10"/>
        <v/>
      </c>
      <c r="AB33" s="3" t="str">
        <f>LOOKUP($A33,Sheet2!$A$1:$B$233)</f>
        <v>Europe &amp; Central Asia</v>
      </c>
    </row>
    <row r="34" spans="1:28">
      <c r="A34" s="1" t="s">
        <v>48</v>
      </c>
      <c r="B34" s="1">
        <v>2015</v>
      </c>
      <c r="C34" s="1">
        <v>156256.2813</v>
      </c>
      <c r="D34" s="1">
        <v>34.308002469999998</v>
      </c>
      <c r="E34" s="1">
        <v>97.101602470000003</v>
      </c>
      <c r="F34" s="1">
        <v>1.087988961</v>
      </c>
      <c r="G34" s="1">
        <v>0.72156165819999996</v>
      </c>
      <c r="H34" s="1">
        <v>1.08884691</v>
      </c>
      <c r="I34" s="1">
        <v>96.773011280000006</v>
      </c>
      <c r="J34" s="1">
        <v>1.0462141620000001</v>
      </c>
      <c r="K34" s="1">
        <v>0.73174732170000001</v>
      </c>
      <c r="L34" s="1">
        <v>1.4490272369999999</v>
      </c>
      <c r="M34" s="1">
        <v>97.730779679999998</v>
      </c>
      <c r="N34" s="1">
        <v>1.167978177</v>
      </c>
      <c r="O34" s="1">
        <v>0.70205843499999998</v>
      </c>
      <c r="P34" s="1">
        <v>0.39918370739999998</v>
      </c>
      <c r="Q34" s="2">
        <f t="shared" si="0"/>
        <v>5</v>
      </c>
      <c r="R34" s="1">
        <f t="shared" si="1"/>
        <v>0.11927155599999821</v>
      </c>
      <c r="S34" s="1">
        <f t="shared" si="2"/>
        <v>0.22144529599999885</v>
      </c>
      <c r="T34" s="1">
        <f t="shared" si="3"/>
        <v>-6.5600341999999048E-2</v>
      </c>
      <c r="U34" s="1">
        <f t="shared" si="4"/>
        <v>97</v>
      </c>
      <c r="V34" s="3">
        <f t="shared" si="5"/>
        <v>97</v>
      </c>
      <c r="W34" s="3">
        <f t="shared" si="6"/>
        <v>98</v>
      </c>
      <c r="X34" s="3" t="str">
        <f t="shared" si="7"/>
        <v/>
      </c>
      <c r="Y34" s="3" t="str">
        <f t="shared" si="8"/>
        <v/>
      </c>
      <c r="Z34" s="1" t="str">
        <f t="shared" si="9"/>
        <v/>
      </c>
      <c r="AA34" s="3">
        <f t="shared" si="10"/>
        <v>0.28704563799999788</v>
      </c>
      <c r="AB34" s="3" t="str">
        <f>LOOKUP($A34,Sheet2!$A$1:$B$233)</f>
        <v>South Asia</v>
      </c>
    </row>
    <row r="35" spans="1:28">
      <c r="A35" s="1" t="s">
        <v>48</v>
      </c>
      <c r="B35" s="1">
        <v>2020</v>
      </c>
      <c r="C35" s="1">
        <v>164689.39060000001</v>
      </c>
      <c r="D35" s="1">
        <v>38.177001949999998</v>
      </c>
      <c r="E35" s="1">
        <v>97.697960249999994</v>
      </c>
      <c r="F35" s="1">
        <v>1.1564258780000001</v>
      </c>
      <c r="G35" s="1">
        <v>0.46265570020000002</v>
      </c>
      <c r="H35" s="1">
        <v>0.68295817349999999</v>
      </c>
      <c r="I35" s="1">
        <v>97.88023776</v>
      </c>
      <c r="J35" s="1">
        <v>0.85810498040000005</v>
      </c>
      <c r="K35" s="1">
        <v>0.31648024139999997</v>
      </c>
      <c r="L35" s="1">
        <v>0.94517701509999996</v>
      </c>
      <c r="M35" s="1">
        <v>97.402777970000002</v>
      </c>
      <c r="N35" s="1">
        <v>1.6395201210000001</v>
      </c>
      <c r="O35" s="1">
        <v>0.69937521469999997</v>
      </c>
      <c r="P35" s="1">
        <v>0.25832669339999997</v>
      </c>
      <c r="Q35" s="2" t="str">
        <f t="shared" si="0"/>
        <v/>
      </c>
      <c r="R35" s="1" t="str">
        <f t="shared" si="1"/>
        <v/>
      </c>
      <c r="S35" s="1" t="str">
        <f t="shared" si="2"/>
        <v/>
      </c>
      <c r="T35" s="1" t="str">
        <f t="shared" si="3"/>
        <v/>
      </c>
      <c r="U35" s="1">
        <f t="shared" si="4"/>
        <v>98</v>
      </c>
      <c r="V35" s="3">
        <f t="shared" si="5"/>
        <v>98</v>
      </c>
      <c r="W35" s="3">
        <f t="shared" si="6"/>
        <v>97</v>
      </c>
      <c r="X35" s="3" t="str">
        <f t="shared" si="7"/>
        <v/>
      </c>
      <c r="Y35" s="3" t="str">
        <f t="shared" si="8"/>
        <v/>
      </c>
      <c r="Z35" s="1" t="str">
        <f t="shared" si="9"/>
        <v/>
      </c>
      <c r="AA35" s="3" t="str">
        <f t="shared" si="10"/>
        <v/>
      </c>
      <c r="AB35" s="3" t="str">
        <f>LOOKUP($A35,Sheet2!$A$1:$B$233)</f>
        <v>South Asia</v>
      </c>
    </row>
    <row r="36" spans="1:28">
      <c r="A36" s="1" t="s">
        <v>50</v>
      </c>
      <c r="B36" s="1">
        <v>2015</v>
      </c>
      <c r="C36" s="1">
        <v>285.32699580000002</v>
      </c>
      <c r="D36" s="1">
        <v>31.24899864</v>
      </c>
      <c r="E36" s="1">
        <v>98.474444739999996</v>
      </c>
      <c r="F36" s="1">
        <v>0.26749190639999998</v>
      </c>
      <c r="G36" s="1">
        <v>1.2580633510000001</v>
      </c>
      <c r="H36" s="1">
        <v>0</v>
      </c>
      <c r="I36" s="1" t="s">
        <v>272</v>
      </c>
      <c r="J36" s="1" t="s">
        <v>272</v>
      </c>
      <c r="K36" s="1" t="s">
        <v>272</v>
      </c>
      <c r="L36" s="1" t="s">
        <v>272</v>
      </c>
      <c r="M36" s="1" t="s">
        <v>272</v>
      </c>
      <c r="N36" s="1" t="s">
        <v>272</v>
      </c>
      <c r="O36" s="1" t="s">
        <v>272</v>
      </c>
      <c r="P36" s="1" t="s">
        <v>272</v>
      </c>
      <c r="Q36" s="2">
        <f t="shared" si="0"/>
        <v>5</v>
      </c>
      <c r="R36" s="1">
        <f t="shared" si="1"/>
        <v>8.0011360000014527E-3</v>
      </c>
      <c r="S36" s="1" t="str">
        <f t="shared" si="2"/>
        <v>null</v>
      </c>
      <c r="T36" s="1" t="str">
        <f t="shared" si="3"/>
        <v>null</v>
      </c>
      <c r="U36" s="1">
        <f t="shared" si="4"/>
        <v>98</v>
      </c>
      <c r="V36" s="3" t="str">
        <f t="shared" si="5"/>
        <v>null</v>
      </c>
      <c r="W36" s="3" t="str">
        <f t="shared" si="6"/>
        <v>null</v>
      </c>
      <c r="X36" s="3" t="str">
        <f t="shared" si="7"/>
        <v/>
      </c>
      <c r="Y36" s="3" t="str">
        <f t="shared" si="8"/>
        <v/>
      </c>
      <c r="Z36" s="1" t="str">
        <f t="shared" si="9"/>
        <v/>
      </c>
      <c r="AA36" s="3" t="str">
        <f t="shared" si="10"/>
        <v>null</v>
      </c>
      <c r="AB36" s="3" t="str">
        <f>LOOKUP($A36,Sheet2!$A$1:$B$233)</f>
        <v>Latin America &amp; Caribbean</v>
      </c>
    </row>
    <row r="37" spans="1:28">
      <c r="A37" s="1" t="s">
        <v>50</v>
      </c>
      <c r="B37" s="1">
        <v>2020</v>
      </c>
      <c r="C37" s="1">
        <v>287.37100220000002</v>
      </c>
      <c r="D37" s="1">
        <v>31.190999980000001</v>
      </c>
      <c r="E37" s="1">
        <v>98.514450420000003</v>
      </c>
      <c r="F37" s="1">
        <v>0.26760057609999999</v>
      </c>
      <c r="G37" s="1">
        <v>1.2179490049999999</v>
      </c>
      <c r="H37" s="1">
        <v>0</v>
      </c>
      <c r="I37" s="1" t="s">
        <v>272</v>
      </c>
      <c r="J37" s="1" t="s">
        <v>272</v>
      </c>
      <c r="K37" s="1" t="s">
        <v>272</v>
      </c>
      <c r="L37" s="1" t="s">
        <v>272</v>
      </c>
      <c r="M37" s="1" t="s">
        <v>272</v>
      </c>
      <c r="N37" s="1" t="s">
        <v>272</v>
      </c>
      <c r="O37" s="1" t="s">
        <v>272</v>
      </c>
      <c r="P37" s="1" t="s">
        <v>272</v>
      </c>
      <c r="Q37" s="2" t="str">
        <f t="shared" si="0"/>
        <v/>
      </c>
      <c r="R37" s="1" t="str">
        <f t="shared" si="1"/>
        <v/>
      </c>
      <c r="S37" s="1" t="str">
        <f t="shared" si="2"/>
        <v/>
      </c>
      <c r="T37" s="1" t="str">
        <f t="shared" si="3"/>
        <v/>
      </c>
      <c r="U37" s="1">
        <f t="shared" si="4"/>
        <v>99</v>
      </c>
      <c r="V37" s="3" t="str">
        <f t="shared" si="5"/>
        <v>null</v>
      </c>
      <c r="W37" s="3" t="str">
        <f t="shared" si="6"/>
        <v>null</v>
      </c>
      <c r="X37" s="3" t="str">
        <f t="shared" si="7"/>
        <v/>
      </c>
      <c r="Y37" s="3" t="str">
        <f t="shared" si="8"/>
        <v/>
      </c>
      <c r="Z37" s="1" t="str">
        <f t="shared" si="9"/>
        <v/>
      </c>
      <c r="AA37" s="3" t="str">
        <f t="shared" si="10"/>
        <v/>
      </c>
      <c r="AB37" s="3" t="str">
        <f>LOOKUP($A37,Sheet2!$A$1:$B$233)</f>
        <v>Latin America &amp; Caribbean</v>
      </c>
    </row>
    <row r="38" spans="1:28">
      <c r="A38" s="1" t="s">
        <v>52</v>
      </c>
      <c r="B38" s="1">
        <v>2015</v>
      </c>
      <c r="C38" s="1">
        <v>9439.4238280000009</v>
      </c>
      <c r="D38" s="1">
        <v>77.180999760000006</v>
      </c>
      <c r="E38" s="1">
        <v>96.477067090000006</v>
      </c>
      <c r="F38" s="1">
        <v>3.3001301079999998</v>
      </c>
      <c r="G38" s="1">
        <v>0.22280279950000001</v>
      </c>
      <c r="H38" s="1">
        <v>0</v>
      </c>
      <c r="I38" s="1">
        <v>98.330671600000002</v>
      </c>
      <c r="J38" s="1">
        <v>0.99323910709999996</v>
      </c>
      <c r="K38" s="1">
        <v>0.67608928950000002</v>
      </c>
      <c r="L38" s="1">
        <v>0</v>
      </c>
      <c r="M38" s="1">
        <v>95.92903518</v>
      </c>
      <c r="N38" s="1">
        <v>3.9821753929999999</v>
      </c>
      <c r="O38" s="1">
        <v>8.8789423830000005E-2</v>
      </c>
      <c r="P38" s="1">
        <v>0</v>
      </c>
      <c r="Q38" s="2">
        <f t="shared" si="0"/>
        <v>5</v>
      </c>
      <c r="R38" s="1">
        <f t="shared" si="1"/>
        <v>1.1531797999998617E-2</v>
      </c>
      <c r="S38" s="1">
        <f t="shared" si="2"/>
        <v>4.6690141999999921E-2</v>
      </c>
      <c r="T38" s="1">
        <f t="shared" si="3"/>
        <v>1.6367687999999703E-2</v>
      </c>
      <c r="U38" s="1">
        <f t="shared" si="4"/>
        <v>96</v>
      </c>
      <c r="V38" s="3">
        <f t="shared" si="5"/>
        <v>98</v>
      </c>
      <c r="W38" s="3">
        <f t="shared" si="6"/>
        <v>96</v>
      </c>
      <c r="X38" s="3" t="str">
        <f t="shared" si="7"/>
        <v/>
      </c>
      <c r="Y38" s="3" t="str">
        <f t="shared" si="8"/>
        <v/>
      </c>
      <c r="Z38" s="1" t="str">
        <f t="shared" si="9"/>
        <v/>
      </c>
      <c r="AA38" s="3">
        <f t="shared" si="10"/>
        <v>3.0322454000000217E-2</v>
      </c>
      <c r="AB38" s="3" t="str">
        <f>LOOKUP($A38,Sheet2!$A$1:$B$233)</f>
        <v>Europe &amp; Central Asia</v>
      </c>
    </row>
    <row r="39" spans="1:28">
      <c r="A39" s="1" t="s">
        <v>52</v>
      </c>
      <c r="B39" s="1">
        <v>2020</v>
      </c>
      <c r="C39" s="1">
        <v>9449.3212889999995</v>
      </c>
      <c r="D39" s="1">
        <v>79.483001709999996</v>
      </c>
      <c r="E39" s="1">
        <v>96.534726079999999</v>
      </c>
      <c r="F39" s="1">
        <v>3.3721195499999999</v>
      </c>
      <c r="G39" s="1">
        <v>9.3154368370000004E-2</v>
      </c>
      <c r="H39" s="1">
        <v>0</v>
      </c>
      <c r="I39" s="1">
        <v>98.564122310000002</v>
      </c>
      <c r="J39" s="1">
        <v>0.9955971951</v>
      </c>
      <c r="K39" s="1">
        <v>0.4402804931</v>
      </c>
      <c r="L39" s="1">
        <v>0</v>
      </c>
      <c r="M39" s="1">
        <v>96.010873619999998</v>
      </c>
      <c r="N39" s="1">
        <v>3.9855726439999999</v>
      </c>
      <c r="O39" s="1">
        <v>3.5537319770000001E-3</v>
      </c>
      <c r="P39" s="1">
        <v>0</v>
      </c>
      <c r="Q39" s="2" t="str">
        <f t="shared" si="0"/>
        <v/>
      </c>
      <c r="R39" s="1" t="str">
        <f t="shared" si="1"/>
        <v/>
      </c>
      <c r="S39" s="1" t="str">
        <f t="shared" si="2"/>
        <v/>
      </c>
      <c r="T39" s="1" t="str">
        <f t="shared" si="3"/>
        <v/>
      </c>
      <c r="U39" s="1">
        <f t="shared" si="4"/>
        <v>97</v>
      </c>
      <c r="V39" s="3">
        <f t="shared" si="5"/>
        <v>99</v>
      </c>
      <c r="W39" s="3">
        <f t="shared" si="6"/>
        <v>96</v>
      </c>
      <c r="X39" s="3" t="str">
        <f t="shared" si="7"/>
        <v/>
      </c>
      <c r="Y39" s="3" t="str">
        <f t="shared" si="8"/>
        <v/>
      </c>
      <c r="Z39" s="1" t="str">
        <f t="shared" si="9"/>
        <v/>
      </c>
      <c r="AA39" s="3" t="str">
        <f t="shared" si="10"/>
        <v/>
      </c>
      <c r="AB39" s="3" t="str">
        <f>LOOKUP($A39,Sheet2!$A$1:$B$233)</f>
        <v>Europe &amp; Central Asia</v>
      </c>
    </row>
    <row r="40" spans="1:28">
      <c r="A40" s="1" t="s">
        <v>54</v>
      </c>
      <c r="B40" s="1">
        <v>2015</v>
      </c>
      <c r="C40" s="1">
        <v>11287.93066</v>
      </c>
      <c r="D40" s="1">
        <v>97.875999449999995</v>
      </c>
      <c r="E40" s="1">
        <v>99.999997699999994</v>
      </c>
      <c r="F40" s="1">
        <v>0</v>
      </c>
      <c r="G40" s="1">
        <v>2.2980245119999998E-6</v>
      </c>
      <c r="H40" s="1">
        <v>0</v>
      </c>
      <c r="I40" s="1">
        <v>100</v>
      </c>
      <c r="J40" s="1">
        <v>0</v>
      </c>
      <c r="K40" s="1">
        <v>0</v>
      </c>
      <c r="L40" s="1">
        <v>0</v>
      </c>
      <c r="M40" s="1">
        <v>100</v>
      </c>
      <c r="N40" s="1">
        <v>0</v>
      </c>
      <c r="O40" s="1">
        <v>0</v>
      </c>
      <c r="P40" s="1">
        <v>0</v>
      </c>
      <c r="Q40" s="2">
        <f t="shared" si="0"/>
        <v>5</v>
      </c>
      <c r="R40" s="1">
        <f t="shared" si="1"/>
        <v>-2.4999999936881068E-7</v>
      </c>
      <c r="S40" s="1">
        <f t="shared" si="2"/>
        <v>0</v>
      </c>
      <c r="T40" s="1">
        <f t="shared" si="3"/>
        <v>0</v>
      </c>
      <c r="U40" s="1">
        <f t="shared" si="4"/>
        <v>100</v>
      </c>
      <c r="V40" s="3">
        <f t="shared" si="5"/>
        <v>100</v>
      </c>
      <c r="W40" s="3">
        <f t="shared" si="6"/>
        <v>100</v>
      </c>
      <c r="X40" s="3" t="str">
        <f t="shared" si="7"/>
        <v>fullaccesss</v>
      </c>
      <c r="Y40" s="3" t="str">
        <f t="shared" si="8"/>
        <v>fullaccesss</v>
      </c>
      <c r="Z40" s="1" t="str">
        <f t="shared" si="9"/>
        <v>fullaccesss</v>
      </c>
      <c r="AA40" s="3">
        <f t="shared" si="10"/>
        <v>0</v>
      </c>
      <c r="AB40" s="3" t="str">
        <f>LOOKUP($A40,Sheet2!$A$1:$B$233)</f>
        <v>Europe &amp; Central Asia</v>
      </c>
    </row>
    <row r="41" spans="1:28">
      <c r="A41" s="1" t="s">
        <v>54</v>
      </c>
      <c r="B41" s="1">
        <v>2020</v>
      </c>
      <c r="C41" s="1">
        <v>11589.61621</v>
      </c>
      <c r="D41" s="1">
        <v>98.078994750000007</v>
      </c>
      <c r="E41" s="1">
        <v>99.999996449999998</v>
      </c>
      <c r="F41" s="1">
        <v>0</v>
      </c>
      <c r="G41" s="1">
        <v>3.5547967910000002E-6</v>
      </c>
      <c r="H41" s="1">
        <v>0</v>
      </c>
      <c r="I41" s="1">
        <v>100</v>
      </c>
      <c r="J41" s="1">
        <v>0</v>
      </c>
      <c r="K41" s="1">
        <v>0</v>
      </c>
      <c r="L41" s="1">
        <v>0</v>
      </c>
      <c r="M41" s="1">
        <v>100</v>
      </c>
      <c r="N41" s="1">
        <v>0</v>
      </c>
      <c r="O41" s="1">
        <v>0</v>
      </c>
      <c r="P41" s="1">
        <v>0</v>
      </c>
      <c r="Q41" s="2" t="str">
        <f t="shared" si="0"/>
        <v/>
      </c>
      <c r="R41" s="1" t="str">
        <f t="shared" si="1"/>
        <v/>
      </c>
      <c r="S41" s="1" t="str">
        <f t="shared" si="2"/>
        <v/>
      </c>
      <c r="T41" s="1" t="str">
        <f t="shared" si="3"/>
        <v/>
      </c>
      <c r="U41" s="1">
        <f t="shared" si="4"/>
        <v>100</v>
      </c>
      <c r="V41" s="3">
        <f t="shared" si="5"/>
        <v>100</v>
      </c>
      <c r="W41" s="3">
        <f t="shared" si="6"/>
        <v>100</v>
      </c>
      <c r="X41" s="3" t="str">
        <f t="shared" si="7"/>
        <v/>
      </c>
      <c r="Y41" s="3" t="str">
        <f t="shared" si="8"/>
        <v/>
      </c>
      <c r="Z41" s="1" t="str">
        <f t="shared" si="9"/>
        <v/>
      </c>
      <c r="AA41" s="3" t="str">
        <f t="shared" si="10"/>
        <v/>
      </c>
      <c r="AB41" s="3" t="str">
        <f>LOOKUP($A41,Sheet2!$A$1:$B$233)</f>
        <v>Europe &amp; Central Asia</v>
      </c>
    </row>
    <row r="42" spans="1:28">
      <c r="A42" s="1" t="s">
        <v>55</v>
      </c>
      <c r="B42" s="1">
        <v>2015</v>
      </c>
      <c r="C42" s="1">
        <v>360.92599489999998</v>
      </c>
      <c r="D42" s="1">
        <v>45.405998230000002</v>
      </c>
      <c r="E42" s="1">
        <v>97.17559498</v>
      </c>
      <c r="F42" s="1">
        <v>1.227940493</v>
      </c>
      <c r="G42" s="1">
        <v>1.5682225350000001</v>
      </c>
      <c r="H42" s="1">
        <v>2.8241988169999999E-2</v>
      </c>
      <c r="I42" s="1">
        <v>95.653832059999999</v>
      </c>
      <c r="J42" s="1">
        <v>1.4219190049999999</v>
      </c>
      <c r="K42" s="1">
        <v>2.8725179939999999</v>
      </c>
      <c r="L42" s="1">
        <v>5.1730935759999999E-2</v>
      </c>
      <c r="M42" s="1">
        <v>99.005290000000002</v>
      </c>
      <c r="N42" s="1">
        <v>0.99470999999999998</v>
      </c>
      <c r="O42" s="1">
        <v>0</v>
      </c>
      <c r="P42" s="1">
        <v>0</v>
      </c>
      <c r="Q42" s="2">
        <f t="shared" si="0"/>
        <v>5</v>
      </c>
      <c r="R42" s="1">
        <f t="shared" si="1"/>
        <v>0.24527193000000125</v>
      </c>
      <c r="S42" s="1">
        <f t="shared" si="2"/>
        <v>0.46827510399999994</v>
      </c>
      <c r="T42" s="1">
        <f t="shared" si="3"/>
        <v>-2.5265999999999168E-2</v>
      </c>
      <c r="U42" s="1">
        <f t="shared" si="4"/>
        <v>97</v>
      </c>
      <c r="V42" s="3">
        <f t="shared" si="5"/>
        <v>96</v>
      </c>
      <c r="W42" s="3">
        <f t="shared" si="6"/>
        <v>99</v>
      </c>
      <c r="X42" s="3" t="str">
        <f t="shared" si="7"/>
        <v/>
      </c>
      <c r="Y42" s="3" t="str">
        <f t="shared" si="8"/>
        <v/>
      </c>
      <c r="Z42" s="1" t="str">
        <f t="shared" si="9"/>
        <v/>
      </c>
      <c r="AA42" s="3">
        <f t="shared" si="10"/>
        <v>0.49354110399999912</v>
      </c>
      <c r="AB42" s="3" t="str">
        <f>LOOKUP($A42,Sheet2!$A$1:$B$233)</f>
        <v>Latin America &amp; Caribbean</v>
      </c>
    </row>
    <row r="43" spans="1:28">
      <c r="A43" s="1" t="s">
        <v>55</v>
      </c>
      <c r="B43" s="1">
        <v>2020</v>
      </c>
      <c r="C43" s="1">
        <v>397.62100220000002</v>
      </c>
      <c r="D43" s="1">
        <v>46.025001529999997</v>
      </c>
      <c r="E43" s="1">
        <v>98.401954630000006</v>
      </c>
      <c r="F43" s="1">
        <v>1.249110629</v>
      </c>
      <c r="G43" s="1">
        <v>0.3489347411</v>
      </c>
      <c r="H43" s="1">
        <v>0</v>
      </c>
      <c r="I43" s="1">
        <v>97.995207579999999</v>
      </c>
      <c r="J43" s="1">
        <v>1.358317682</v>
      </c>
      <c r="K43" s="1">
        <v>0.64647473929999999</v>
      </c>
      <c r="L43" s="1">
        <v>0</v>
      </c>
      <c r="M43" s="1">
        <v>98.878960000000006</v>
      </c>
      <c r="N43" s="1">
        <v>1.12104</v>
      </c>
      <c r="O43" s="1">
        <v>0</v>
      </c>
      <c r="P43" s="1">
        <v>0</v>
      </c>
      <c r="Q43" s="2" t="str">
        <f t="shared" si="0"/>
        <v/>
      </c>
      <c r="R43" s="1" t="str">
        <f t="shared" si="1"/>
        <v/>
      </c>
      <c r="S43" s="1" t="str">
        <f t="shared" si="2"/>
        <v/>
      </c>
      <c r="T43" s="1" t="str">
        <f t="shared" si="3"/>
        <v/>
      </c>
      <c r="U43" s="1">
        <f t="shared" si="4"/>
        <v>98</v>
      </c>
      <c r="V43" s="3">
        <f t="shared" si="5"/>
        <v>98</v>
      </c>
      <c r="W43" s="3">
        <f t="shared" si="6"/>
        <v>99</v>
      </c>
      <c r="X43" s="3" t="str">
        <f t="shared" si="7"/>
        <v/>
      </c>
      <c r="Y43" s="3" t="str">
        <f t="shared" si="8"/>
        <v/>
      </c>
      <c r="Z43" s="1" t="str">
        <f t="shared" si="9"/>
        <v/>
      </c>
      <c r="AA43" s="3" t="str">
        <f t="shared" si="10"/>
        <v/>
      </c>
      <c r="AB43" s="3" t="str">
        <f>LOOKUP($A43,Sheet2!$A$1:$B$233)</f>
        <v>Latin America &amp; Caribbean</v>
      </c>
    </row>
    <row r="44" spans="1:28">
      <c r="A44" s="1" t="s">
        <v>56</v>
      </c>
      <c r="B44" s="1">
        <v>2015</v>
      </c>
      <c r="C44" s="1">
        <v>10575.96191</v>
      </c>
      <c r="D44" s="1">
        <v>45.695003509999999</v>
      </c>
      <c r="E44" s="1">
        <v>64.786822299999997</v>
      </c>
      <c r="F44" s="1">
        <v>8.7154706540000006</v>
      </c>
      <c r="G44" s="1">
        <v>21.298464339999999</v>
      </c>
      <c r="H44" s="1">
        <v>5.1992427130000003</v>
      </c>
      <c r="I44" s="1">
        <v>56.784352470000002</v>
      </c>
      <c r="J44" s="1">
        <v>11.70337067</v>
      </c>
      <c r="K44" s="1">
        <v>23.774978569999998</v>
      </c>
      <c r="L44" s="1">
        <v>7.7372982859999997</v>
      </c>
      <c r="M44" s="1">
        <v>74.297142559999998</v>
      </c>
      <c r="N44" s="1">
        <v>5.1645811540000004</v>
      </c>
      <c r="O44" s="1">
        <v>18.355317530000001</v>
      </c>
      <c r="P44" s="1">
        <v>2.1829587560000001</v>
      </c>
      <c r="Q44" s="2">
        <f t="shared" si="0"/>
        <v>5</v>
      </c>
      <c r="R44" s="1">
        <f t="shared" si="1"/>
        <v>0.12546013799999969</v>
      </c>
      <c r="S44" s="1">
        <f t="shared" si="2"/>
        <v>0.25358310399999906</v>
      </c>
      <c r="T44" s="1">
        <f t="shared" si="3"/>
        <v>-0.20782850399999972</v>
      </c>
      <c r="U44" s="1">
        <f t="shared" si="4"/>
        <v>65</v>
      </c>
      <c r="V44" s="3">
        <f t="shared" si="5"/>
        <v>57</v>
      </c>
      <c r="W44" s="3">
        <f t="shared" si="6"/>
        <v>74</v>
      </c>
      <c r="X44" s="3" t="str">
        <f t="shared" si="7"/>
        <v/>
      </c>
      <c r="Y44" s="3" t="str">
        <f t="shared" si="8"/>
        <v/>
      </c>
      <c r="Z44" s="1" t="str">
        <f t="shared" si="9"/>
        <v/>
      </c>
      <c r="AA44" s="3">
        <f t="shared" si="10"/>
        <v>0.46141160799999881</v>
      </c>
      <c r="AB44" s="3" t="str">
        <f>LOOKUP($A44,Sheet2!$A$1:$B$233)</f>
        <v>Sub-Saharan Africa</v>
      </c>
    </row>
    <row r="45" spans="1:28">
      <c r="A45" s="1" t="s">
        <v>56</v>
      </c>
      <c r="B45" s="1">
        <v>2020</v>
      </c>
      <c r="C45" s="1">
        <v>12123.19824</v>
      </c>
      <c r="D45" s="1">
        <v>48.414997100000001</v>
      </c>
      <c r="E45" s="1">
        <v>65.414122989999996</v>
      </c>
      <c r="F45" s="1">
        <v>9.317535586</v>
      </c>
      <c r="G45" s="1">
        <v>21.97254088</v>
      </c>
      <c r="H45" s="1">
        <v>3.2958005469999998</v>
      </c>
      <c r="I45" s="1">
        <v>58.052267989999997</v>
      </c>
      <c r="J45" s="1">
        <v>12.705205039999999</v>
      </c>
      <c r="K45" s="1">
        <v>23.977968329999999</v>
      </c>
      <c r="L45" s="1">
        <v>5.2645586340000001</v>
      </c>
      <c r="M45" s="1">
        <v>73.258000039999999</v>
      </c>
      <c r="N45" s="1">
        <v>5.7080563529999999</v>
      </c>
      <c r="O45" s="1">
        <v>19.835806810000001</v>
      </c>
      <c r="P45" s="1">
        <v>1.1981367940000001</v>
      </c>
      <c r="Q45" s="2" t="str">
        <f t="shared" si="0"/>
        <v/>
      </c>
      <c r="R45" s="1" t="str">
        <f t="shared" si="1"/>
        <v/>
      </c>
      <c r="S45" s="1" t="str">
        <f t="shared" si="2"/>
        <v/>
      </c>
      <c r="T45" s="1" t="str">
        <f t="shared" si="3"/>
        <v/>
      </c>
      <c r="U45" s="1">
        <f t="shared" si="4"/>
        <v>65</v>
      </c>
      <c r="V45" s="3">
        <f t="shared" si="5"/>
        <v>58</v>
      </c>
      <c r="W45" s="3">
        <f t="shared" si="6"/>
        <v>73</v>
      </c>
      <c r="X45" s="3" t="str">
        <f t="shared" si="7"/>
        <v/>
      </c>
      <c r="Y45" s="3" t="str">
        <f t="shared" si="8"/>
        <v/>
      </c>
      <c r="Z45" s="1" t="str">
        <f t="shared" si="9"/>
        <v/>
      </c>
      <c r="AA45" s="3" t="str">
        <f t="shared" si="10"/>
        <v/>
      </c>
      <c r="AB45" s="3" t="str">
        <f>LOOKUP($A45,Sheet2!$A$1:$B$233)</f>
        <v>Sub-Saharan Africa</v>
      </c>
    </row>
    <row r="46" spans="1:28">
      <c r="A46" s="1" t="s">
        <v>57</v>
      </c>
      <c r="B46" s="1">
        <v>2015</v>
      </c>
      <c r="C46" s="1">
        <v>63.694999690000003</v>
      </c>
      <c r="D46" s="1">
        <v>100</v>
      </c>
      <c r="E46" s="1">
        <v>99.903140019999995</v>
      </c>
      <c r="F46" s="1">
        <v>0</v>
      </c>
      <c r="G46" s="1">
        <v>9.6859982940000006E-2</v>
      </c>
      <c r="H46" s="1">
        <v>0</v>
      </c>
      <c r="I46" s="1" t="s">
        <v>272</v>
      </c>
      <c r="J46" s="1" t="s">
        <v>272</v>
      </c>
      <c r="K46" s="1" t="s">
        <v>272</v>
      </c>
      <c r="L46" s="1" t="s">
        <v>272</v>
      </c>
      <c r="M46" s="1">
        <v>99.903140019999995</v>
      </c>
      <c r="N46" s="1">
        <v>0</v>
      </c>
      <c r="O46" s="1">
        <v>9.6859982940000006E-2</v>
      </c>
      <c r="P46" s="1">
        <v>0</v>
      </c>
      <c r="Q46" s="2">
        <f t="shared" si="0"/>
        <v>5</v>
      </c>
      <c r="R46" s="1">
        <f t="shared" si="1"/>
        <v>0</v>
      </c>
      <c r="S46" s="1" t="str">
        <f t="shared" si="2"/>
        <v>null</v>
      </c>
      <c r="T46" s="1">
        <f t="shared" si="3"/>
        <v>0</v>
      </c>
      <c r="U46" s="1">
        <f t="shared" si="4"/>
        <v>100</v>
      </c>
      <c r="V46" s="3" t="str">
        <f t="shared" si="5"/>
        <v>null</v>
      </c>
      <c r="W46" s="3">
        <f t="shared" si="6"/>
        <v>100</v>
      </c>
      <c r="X46" s="3" t="str">
        <f t="shared" si="7"/>
        <v>fullaccesss</v>
      </c>
      <c r="Y46" s="3" t="str">
        <f t="shared" si="8"/>
        <v/>
      </c>
      <c r="Z46" s="1" t="str">
        <f t="shared" si="9"/>
        <v>fullaccesss</v>
      </c>
      <c r="AA46" s="3" t="str">
        <f t="shared" si="10"/>
        <v>null</v>
      </c>
      <c r="AB46" s="3" t="str">
        <f>LOOKUP($A46,Sheet2!$A$1:$B$233)</f>
        <v>North America</v>
      </c>
    </row>
    <row r="47" spans="1:28">
      <c r="A47" s="1" t="s">
        <v>57</v>
      </c>
      <c r="B47" s="1">
        <v>2020</v>
      </c>
      <c r="C47" s="1">
        <v>62.272998809999997</v>
      </c>
      <c r="D47" s="1">
        <v>100</v>
      </c>
      <c r="E47" s="1">
        <v>99.903140019999995</v>
      </c>
      <c r="F47" s="1">
        <v>0</v>
      </c>
      <c r="G47" s="1">
        <v>9.6859982940000006E-2</v>
      </c>
      <c r="H47" s="1">
        <v>0</v>
      </c>
      <c r="I47" s="1" t="s">
        <v>272</v>
      </c>
      <c r="J47" s="1" t="s">
        <v>272</v>
      </c>
      <c r="K47" s="1" t="s">
        <v>272</v>
      </c>
      <c r="L47" s="1" t="s">
        <v>272</v>
      </c>
      <c r="M47" s="1">
        <v>99.903140019999995</v>
      </c>
      <c r="N47" s="1">
        <v>0</v>
      </c>
      <c r="O47" s="1">
        <v>9.6859982940000006E-2</v>
      </c>
      <c r="P47" s="1">
        <v>0</v>
      </c>
      <c r="Q47" s="2" t="str">
        <f t="shared" si="0"/>
        <v/>
      </c>
      <c r="R47" s="1" t="str">
        <f t="shared" si="1"/>
        <v/>
      </c>
      <c r="S47" s="1" t="str">
        <f t="shared" si="2"/>
        <v/>
      </c>
      <c r="T47" s="1" t="str">
        <f t="shared" si="3"/>
        <v/>
      </c>
      <c r="U47" s="1">
        <f t="shared" si="4"/>
        <v>100</v>
      </c>
      <c r="V47" s="3" t="str">
        <f t="shared" si="5"/>
        <v>null</v>
      </c>
      <c r="W47" s="3">
        <f t="shared" si="6"/>
        <v>100</v>
      </c>
      <c r="X47" s="3" t="str">
        <f t="shared" si="7"/>
        <v/>
      </c>
      <c r="Y47" s="3" t="str">
        <f t="shared" si="8"/>
        <v/>
      </c>
      <c r="Z47" s="1" t="str">
        <f t="shared" si="9"/>
        <v/>
      </c>
      <c r="AA47" s="3" t="str">
        <f t="shared" si="10"/>
        <v/>
      </c>
      <c r="AB47" s="3" t="str">
        <f>LOOKUP($A47,Sheet2!$A$1:$B$233)</f>
        <v>North America</v>
      </c>
    </row>
    <row r="48" spans="1:28">
      <c r="A48" s="1" t="s">
        <v>59</v>
      </c>
      <c r="B48" s="1">
        <v>2015</v>
      </c>
      <c r="C48" s="1">
        <v>727.88500980000003</v>
      </c>
      <c r="D48" s="1">
        <v>38.678001399999999</v>
      </c>
      <c r="E48" s="1">
        <v>96.221422590000003</v>
      </c>
      <c r="F48" s="1">
        <v>2.496596292</v>
      </c>
      <c r="G48" s="1">
        <v>0.29618737509999998</v>
      </c>
      <c r="H48" s="1">
        <v>0.98579373770000001</v>
      </c>
      <c r="I48" s="1">
        <v>95.164362949999997</v>
      </c>
      <c r="J48" s="1">
        <v>3.215858941</v>
      </c>
      <c r="K48" s="1">
        <v>0.1935987005</v>
      </c>
      <c r="L48" s="1">
        <v>1.4261794109999999</v>
      </c>
      <c r="M48" s="1">
        <v>97.897336780000003</v>
      </c>
      <c r="N48" s="1">
        <v>1.3562420319999999</v>
      </c>
      <c r="O48" s="1">
        <v>0.45883648849999997</v>
      </c>
      <c r="P48" s="1">
        <v>0.28758470349999998</v>
      </c>
      <c r="Q48" s="2">
        <f t="shared" si="0"/>
        <v>5</v>
      </c>
      <c r="R48" s="1">
        <f t="shared" si="1"/>
        <v>0.21836000799999908</v>
      </c>
      <c r="S48" s="1">
        <f t="shared" si="2"/>
        <v>0.3133661399999994</v>
      </c>
      <c r="T48" s="1">
        <f t="shared" si="3"/>
        <v>4.1858342000000451E-2</v>
      </c>
      <c r="U48" s="1">
        <f t="shared" si="4"/>
        <v>96</v>
      </c>
      <c r="V48" s="3">
        <f t="shared" si="5"/>
        <v>95</v>
      </c>
      <c r="W48" s="3">
        <f t="shared" si="6"/>
        <v>98</v>
      </c>
      <c r="X48" s="3" t="str">
        <f t="shared" si="7"/>
        <v/>
      </c>
      <c r="Y48" s="3" t="str">
        <f t="shared" si="8"/>
        <v/>
      </c>
      <c r="Z48" s="1" t="str">
        <f t="shared" si="9"/>
        <v/>
      </c>
      <c r="AA48" s="3">
        <f t="shared" si="10"/>
        <v>0.27150779799999897</v>
      </c>
      <c r="AB48" s="3" t="str">
        <f>LOOKUP($A48,Sheet2!$A$1:$B$233)</f>
        <v>South Asia</v>
      </c>
    </row>
    <row r="49" spans="1:28">
      <c r="A49" s="1" t="s">
        <v>59</v>
      </c>
      <c r="B49" s="1">
        <v>2020</v>
      </c>
      <c r="C49" s="1">
        <v>771.61199950000002</v>
      </c>
      <c r="D49" s="1">
        <v>42.31599808</v>
      </c>
      <c r="E49" s="1">
        <v>97.313222629999999</v>
      </c>
      <c r="F49" s="1">
        <v>2.4607126070000001</v>
      </c>
      <c r="G49" s="1">
        <v>0.17642421829999999</v>
      </c>
      <c r="H49" s="1">
        <v>4.9640541420000003E-2</v>
      </c>
      <c r="I49" s="1">
        <v>96.731193649999994</v>
      </c>
      <c r="J49" s="1">
        <v>3.2688063509999998</v>
      </c>
      <c r="K49" s="1">
        <v>0</v>
      </c>
      <c r="L49" s="1">
        <v>0</v>
      </c>
      <c r="M49" s="1">
        <v>98.106628490000006</v>
      </c>
      <c r="N49" s="1">
        <v>1.3591415</v>
      </c>
      <c r="O49" s="1">
        <v>0.41692084750000002</v>
      </c>
      <c r="P49" s="1">
        <v>0.1173091586</v>
      </c>
      <c r="Q49" s="2" t="str">
        <f t="shared" si="0"/>
        <v/>
      </c>
      <c r="R49" s="1" t="str">
        <f t="shared" si="1"/>
        <v/>
      </c>
      <c r="S49" s="1" t="str">
        <f t="shared" si="2"/>
        <v/>
      </c>
      <c r="T49" s="1" t="str">
        <f t="shared" si="3"/>
        <v/>
      </c>
      <c r="U49" s="1">
        <f t="shared" si="4"/>
        <v>97</v>
      </c>
      <c r="V49" s="3">
        <f t="shared" si="5"/>
        <v>97</v>
      </c>
      <c r="W49" s="3">
        <f t="shared" si="6"/>
        <v>98</v>
      </c>
      <c r="X49" s="3" t="str">
        <f t="shared" si="7"/>
        <v/>
      </c>
      <c r="Y49" s="3" t="str">
        <f t="shared" si="8"/>
        <v/>
      </c>
      <c r="Z49" s="1" t="str">
        <f t="shared" si="9"/>
        <v/>
      </c>
      <c r="AA49" s="3" t="str">
        <f t="shared" si="10"/>
        <v/>
      </c>
      <c r="AB49" s="3" t="str">
        <f>LOOKUP($A49,Sheet2!$A$1:$B$233)</f>
        <v>South Asia</v>
      </c>
    </row>
    <row r="50" spans="1:28">
      <c r="A50" s="1" t="s">
        <v>60</v>
      </c>
      <c r="B50" s="1">
        <v>2015</v>
      </c>
      <c r="C50" s="1">
        <v>10869.73242</v>
      </c>
      <c r="D50" s="1">
        <v>68.392997739999998</v>
      </c>
      <c r="E50" s="1">
        <v>90.462141009999996</v>
      </c>
      <c r="F50" s="1">
        <v>0.17289839809999999</v>
      </c>
      <c r="G50" s="1">
        <v>2.832457169</v>
      </c>
      <c r="H50" s="1">
        <v>6.5325034249999998</v>
      </c>
      <c r="I50" s="1">
        <v>73.740180199999998</v>
      </c>
      <c r="J50" s="1">
        <v>0.33996878380000001</v>
      </c>
      <c r="K50" s="1">
        <v>5.9118005360000003</v>
      </c>
      <c r="L50" s="1">
        <v>20.008050480000001</v>
      </c>
      <c r="M50" s="1">
        <v>98.189997079999998</v>
      </c>
      <c r="N50" s="1">
        <v>9.5688834099999995E-2</v>
      </c>
      <c r="O50" s="1">
        <v>1.4093724700000001</v>
      </c>
      <c r="P50" s="1">
        <v>0.304941615</v>
      </c>
      <c r="Q50" s="2">
        <f t="shared" si="0"/>
        <v>5</v>
      </c>
      <c r="R50" s="1">
        <f t="shared" si="1"/>
        <v>0.58558612399999954</v>
      </c>
      <c r="S50" s="1">
        <f t="shared" si="2"/>
        <v>1.2392925259999998</v>
      </c>
      <c r="T50" s="1">
        <f t="shared" si="3"/>
        <v>0.18642424800000015</v>
      </c>
      <c r="U50" s="1">
        <f t="shared" si="4"/>
        <v>90</v>
      </c>
      <c r="V50" s="3">
        <f t="shared" si="5"/>
        <v>74</v>
      </c>
      <c r="W50" s="3">
        <f t="shared" si="6"/>
        <v>98</v>
      </c>
      <c r="X50" s="3" t="str">
        <f t="shared" si="7"/>
        <v/>
      </c>
      <c r="Y50" s="3" t="str">
        <f t="shared" si="8"/>
        <v/>
      </c>
      <c r="Z50" s="1" t="str">
        <f t="shared" si="9"/>
        <v/>
      </c>
      <c r="AA50" s="3">
        <f t="shared" si="10"/>
        <v>1.0528682779999996</v>
      </c>
      <c r="AB50" s="3" t="str">
        <f>LOOKUP($A50,Sheet2!$A$1:$B$233)</f>
        <v>Latin America &amp; Caribbean</v>
      </c>
    </row>
    <row r="51" spans="1:28">
      <c r="A51" s="1" t="s">
        <v>60</v>
      </c>
      <c r="B51" s="1">
        <v>2020</v>
      </c>
      <c r="C51" s="1">
        <v>11673.0293</v>
      </c>
      <c r="D51" s="1">
        <v>70.123001099999996</v>
      </c>
      <c r="E51" s="1">
        <v>93.390071629999994</v>
      </c>
      <c r="F51" s="1">
        <v>0.13659052960000001</v>
      </c>
      <c r="G51" s="1">
        <v>1.575010843</v>
      </c>
      <c r="H51" s="1">
        <v>4.8983269969999998</v>
      </c>
      <c r="I51" s="1">
        <v>79.936642829999997</v>
      </c>
      <c r="J51" s="1">
        <v>0.24473640820000001</v>
      </c>
      <c r="K51" s="1">
        <v>3.9541336930000002</v>
      </c>
      <c r="L51" s="1">
        <v>15.864487069999999</v>
      </c>
      <c r="M51" s="1">
        <v>99.122118319999998</v>
      </c>
      <c r="N51" s="1">
        <v>9.0513289469999994E-2</v>
      </c>
      <c r="O51" s="1">
        <v>0.56134538079999996</v>
      </c>
      <c r="P51" s="1">
        <v>0.22602301120000001</v>
      </c>
      <c r="Q51" s="2" t="str">
        <f t="shared" si="0"/>
        <v/>
      </c>
      <c r="R51" s="1" t="str">
        <f t="shared" si="1"/>
        <v/>
      </c>
      <c r="S51" s="1" t="str">
        <f t="shared" si="2"/>
        <v/>
      </c>
      <c r="T51" s="1" t="str">
        <f t="shared" si="3"/>
        <v/>
      </c>
      <c r="U51" s="1">
        <f t="shared" si="4"/>
        <v>93</v>
      </c>
      <c r="V51" s="3">
        <f t="shared" si="5"/>
        <v>80</v>
      </c>
      <c r="W51" s="3">
        <f t="shared" si="6"/>
        <v>99</v>
      </c>
      <c r="X51" s="3" t="str">
        <f t="shared" si="7"/>
        <v/>
      </c>
      <c r="Y51" s="3" t="str">
        <f t="shared" si="8"/>
        <v/>
      </c>
      <c r="Z51" s="1" t="str">
        <f t="shared" si="9"/>
        <v/>
      </c>
      <c r="AA51" s="3" t="str">
        <f t="shared" si="10"/>
        <v/>
      </c>
      <c r="AB51" s="3" t="str">
        <f>LOOKUP($A51,Sheet2!$A$1:$B$233)</f>
        <v>Latin America &amp; Caribbean</v>
      </c>
    </row>
    <row r="52" spans="1:28">
      <c r="A52" s="1" t="s">
        <v>61</v>
      </c>
      <c r="B52" s="1">
        <v>2015</v>
      </c>
      <c r="C52" s="1">
        <v>3429.3620609999998</v>
      </c>
      <c r="D52" s="1">
        <v>47.172996519999998</v>
      </c>
      <c r="E52" s="1">
        <v>96.159844179999993</v>
      </c>
      <c r="F52" s="1">
        <v>3.780069975</v>
      </c>
      <c r="G52" s="1">
        <v>6.0085848570000003E-2</v>
      </c>
      <c r="H52" s="1">
        <v>0</v>
      </c>
      <c r="I52" s="1">
        <v>97.333333330000002</v>
      </c>
      <c r="J52" s="1">
        <v>2.6666666669999999</v>
      </c>
      <c r="K52" s="1">
        <v>0</v>
      </c>
      <c r="L52" s="1">
        <v>0</v>
      </c>
      <c r="M52" s="1">
        <v>94.845704400000002</v>
      </c>
      <c r="N52" s="1">
        <v>5.0269222060000001</v>
      </c>
      <c r="O52" s="1">
        <v>0.12737339280000001</v>
      </c>
      <c r="P52" s="1">
        <v>0</v>
      </c>
      <c r="Q52" s="2">
        <f t="shared" si="0"/>
        <v>5</v>
      </c>
      <c r="R52" s="1">
        <f t="shared" si="1"/>
        <v>-9.1893119999980396E-3</v>
      </c>
      <c r="S52" s="1">
        <f t="shared" si="2"/>
        <v>0</v>
      </c>
      <c r="T52" s="1">
        <f t="shared" si="3"/>
        <v>0</v>
      </c>
      <c r="U52" s="1">
        <f t="shared" si="4"/>
        <v>96</v>
      </c>
      <c r="V52" s="3">
        <f t="shared" si="5"/>
        <v>97</v>
      </c>
      <c r="W52" s="3">
        <f t="shared" si="6"/>
        <v>95</v>
      </c>
      <c r="X52" s="3" t="str">
        <f t="shared" si="7"/>
        <v/>
      </c>
      <c r="Y52" s="3" t="str">
        <f t="shared" si="8"/>
        <v/>
      </c>
      <c r="Z52" s="1" t="str">
        <f t="shared" si="9"/>
        <v/>
      </c>
      <c r="AA52" s="3">
        <f t="shared" si="10"/>
        <v>0</v>
      </c>
      <c r="AB52" s="3" t="str">
        <f>LOOKUP($A52,Sheet2!$A$1:$B$233)</f>
        <v>Europe &amp; Central Asia</v>
      </c>
    </row>
    <row r="53" spans="1:28">
      <c r="A53" s="1" t="s">
        <v>61</v>
      </c>
      <c r="B53" s="1">
        <v>2020</v>
      </c>
      <c r="C53" s="1">
        <v>3280.8149410000001</v>
      </c>
      <c r="D53" s="1">
        <v>49.020000459999999</v>
      </c>
      <c r="E53" s="1">
        <v>96.113897620000003</v>
      </c>
      <c r="F53" s="1">
        <v>3.8236639380000002</v>
      </c>
      <c r="G53" s="1">
        <v>6.2438437520000001E-2</v>
      </c>
      <c r="H53" s="1">
        <v>0</v>
      </c>
      <c r="I53" s="1">
        <v>97.333333330000002</v>
      </c>
      <c r="J53" s="1">
        <v>2.6666666669999999</v>
      </c>
      <c r="K53" s="1">
        <v>0</v>
      </c>
      <c r="L53" s="1">
        <v>0</v>
      </c>
      <c r="M53" s="1">
        <v>94.845704400000002</v>
      </c>
      <c r="N53" s="1">
        <v>5.0269222060000001</v>
      </c>
      <c r="O53" s="1">
        <v>0.12737339280000001</v>
      </c>
      <c r="P53" s="1">
        <v>0</v>
      </c>
      <c r="Q53" s="2" t="str">
        <f t="shared" si="0"/>
        <v/>
      </c>
      <c r="R53" s="1" t="str">
        <f t="shared" si="1"/>
        <v/>
      </c>
      <c r="S53" s="1" t="str">
        <f t="shared" si="2"/>
        <v/>
      </c>
      <c r="T53" s="1" t="str">
        <f t="shared" si="3"/>
        <v/>
      </c>
      <c r="U53" s="1">
        <f t="shared" si="4"/>
        <v>96</v>
      </c>
      <c r="V53" s="3">
        <f t="shared" si="5"/>
        <v>97</v>
      </c>
      <c r="W53" s="3">
        <f t="shared" si="6"/>
        <v>95</v>
      </c>
      <c r="X53" s="3" t="str">
        <f t="shared" si="7"/>
        <v/>
      </c>
      <c r="Y53" s="3" t="str">
        <f t="shared" si="8"/>
        <v/>
      </c>
      <c r="Z53" s="1" t="str">
        <f t="shared" si="9"/>
        <v/>
      </c>
      <c r="AA53" s="3" t="str">
        <f t="shared" si="10"/>
        <v/>
      </c>
      <c r="AB53" s="3" t="str">
        <f>LOOKUP($A53,Sheet2!$A$1:$B$233)</f>
        <v>Europe &amp; Central Asia</v>
      </c>
    </row>
    <row r="54" spans="1:28">
      <c r="A54" s="1" t="s">
        <v>62</v>
      </c>
      <c r="B54" s="1">
        <v>2015</v>
      </c>
      <c r="C54" s="1">
        <v>2120.7160640000002</v>
      </c>
      <c r="D54" s="1">
        <v>67.15499878</v>
      </c>
      <c r="E54" s="1">
        <v>88.446289530000001</v>
      </c>
      <c r="F54" s="1">
        <v>8.4106141599999997</v>
      </c>
      <c r="G54" s="1">
        <v>1.578349601</v>
      </c>
      <c r="H54" s="1">
        <v>1.5647467079999999</v>
      </c>
      <c r="I54" s="1">
        <v>71.892533830000005</v>
      </c>
      <c r="J54" s="1">
        <v>21.789327549999999</v>
      </c>
      <c r="K54" s="1">
        <v>1.854197906</v>
      </c>
      <c r="L54" s="1">
        <v>4.4639407090000001</v>
      </c>
      <c r="M54" s="1">
        <v>96.542602579999993</v>
      </c>
      <c r="N54" s="1">
        <v>1.867186166</v>
      </c>
      <c r="O54" s="1">
        <v>1.443438497</v>
      </c>
      <c r="P54" s="1">
        <v>0.1467727616</v>
      </c>
      <c r="Q54" s="2">
        <f t="shared" si="0"/>
        <v>5</v>
      </c>
      <c r="R54" s="1">
        <f t="shared" si="1"/>
        <v>0.75345470800000103</v>
      </c>
      <c r="S54" s="1">
        <f t="shared" si="2"/>
        <v>1.4302380059999991</v>
      </c>
      <c r="T54" s="1">
        <f t="shared" si="3"/>
        <v>0.21647560000000113</v>
      </c>
      <c r="U54" s="1">
        <f t="shared" si="4"/>
        <v>88</v>
      </c>
      <c r="V54" s="3">
        <f t="shared" si="5"/>
        <v>72</v>
      </c>
      <c r="W54" s="3">
        <f t="shared" si="6"/>
        <v>97</v>
      </c>
      <c r="X54" s="3" t="str">
        <f t="shared" si="7"/>
        <v/>
      </c>
      <c r="Y54" s="3" t="str">
        <f t="shared" si="8"/>
        <v/>
      </c>
      <c r="Z54" s="1" t="str">
        <f t="shared" si="9"/>
        <v/>
      </c>
      <c r="AA54" s="3">
        <f t="shared" si="10"/>
        <v>1.2137624059999979</v>
      </c>
      <c r="AB54" s="3" t="str">
        <f>LOOKUP($A54,Sheet2!$A$1:$B$233)</f>
        <v>Sub-Saharan Africa</v>
      </c>
    </row>
    <row r="55" spans="1:28">
      <c r="A55" s="1" t="s">
        <v>62</v>
      </c>
      <c r="B55" s="1">
        <v>2020</v>
      </c>
      <c r="C55" s="1">
        <v>2351.625</v>
      </c>
      <c r="D55" s="1">
        <v>70.876998900000004</v>
      </c>
      <c r="E55" s="1">
        <v>92.213563070000006</v>
      </c>
      <c r="F55" s="1">
        <v>4.7230389700000002</v>
      </c>
      <c r="G55" s="1">
        <v>1.7325264760000001</v>
      </c>
      <c r="H55" s="1">
        <v>1.330871481</v>
      </c>
      <c r="I55" s="1">
        <v>79.04372386</v>
      </c>
      <c r="J55" s="1">
        <v>15.154947180000001</v>
      </c>
      <c r="K55" s="1">
        <v>1.5961191560000001</v>
      </c>
      <c r="L55" s="1">
        <v>4.2052098100000004</v>
      </c>
      <c r="M55" s="1">
        <v>97.624980579999999</v>
      </c>
      <c r="N55" s="1">
        <v>0.43662003220000001</v>
      </c>
      <c r="O55" s="1">
        <v>1.788579159</v>
      </c>
      <c r="P55" s="1">
        <v>0.14982022810000001</v>
      </c>
      <c r="Q55" s="2" t="str">
        <f t="shared" si="0"/>
        <v/>
      </c>
      <c r="R55" s="1" t="str">
        <f t="shared" si="1"/>
        <v/>
      </c>
      <c r="S55" s="1" t="str">
        <f t="shared" si="2"/>
        <v/>
      </c>
      <c r="T55" s="1" t="str">
        <f t="shared" si="3"/>
        <v/>
      </c>
      <c r="U55" s="1">
        <f t="shared" si="4"/>
        <v>92</v>
      </c>
      <c r="V55" s="3">
        <f t="shared" si="5"/>
        <v>79</v>
      </c>
      <c r="W55" s="3">
        <f t="shared" si="6"/>
        <v>98</v>
      </c>
      <c r="X55" s="3" t="str">
        <f t="shared" si="7"/>
        <v/>
      </c>
      <c r="Y55" s="3" t="str">
        <f t="shared" si="8"/>
        <v/>
      </c>
      <c r="Z55" s="1" t="str">
        <f t="shared" si="9"/>
        <v/>
      </c>
      <c r="AA55" s="3" t="str">
        <f t="shared" si="10"/>
        <v/>
      </c>
      <c r="AB55" s="3" t="str">
        <f>LOOKUP($A55,Sheet2!$A$1:$B$233)</f>
        <v>Sub-Saharan Africa</v>
      </c>
    </row>
    <row r="56" spans="1:28">
      <c r="A56" s="1" t="s">
        <v>63</v>
      </c>
      <c r="B56" s="1">
        <v>2015</v>
      </c>
      <c r="C56" s="1">
        <v>204471.76560000001</v>
      </c>
      <c r="D56" s="1">
        <v>85.770004270000001</v>
      </c>
      <c r="E56" s="1">
        <v>97.80356759</v>
      </c>
      <c r="F56" s="1">
        <v>0.57950002290000002</v>
      </c>
      <c r="G56" s="1">
        <v>0.47496570910000002</v>
      </c>
      <c r="H56" s="1">
        <v>1.141966676</v>
      </c>
      <c r="I56" s="1">
        <v>88.756028180000001</v>
      </c>
      <c r="J56" s="1">
        <v>2.8537735780000002</v>
      </c>
      <c r="K56" s="1">
        <v>0.36513423810000001</v>
      </c>
      <c r="L56" s="1">
        <v>8.0250640079999993</v>
      </c>
      <c r="M56" s="1">
        <v>99.304631020000002</v>
      </c>
      <c r="N56" s="1">
        <v>0.20217793440000001</v>
      </c>
      <c r="O56" s="1">
        <v>0.49319104540000003</v>
      </c>
      <c r="P56" s="1">
        <v>0</v>
      </c>
      <c r="Q56" s="2">
        <f t="shared" si="0"/>
        <v>5</v>
      </c>
      <c r="R56" s="1">
        <f t="shared" si="1"/>
        <v>0.30345708000000116</v>
      </c>
      <c r="S56" s="1">
        <f t="shared" si="2"/>
        <v>1.4378462700000001</v>
      </c>
      <c r="T56" s="1">
        <f t="shared" si="3"/>
        <v>0.10347405800000047</v>
      </c>
      <c r="U56" s="1">
        <f t="shared" si="4"/>
        <v>98</v>
      </c>
      <c r="V56" s="3">
        <f t="shared" si="5"/>
        <v>89</v>
      </c>
      <c r="W56" s="3">
        <f t="shared" si="6"/>
        <v>99</v>
      </c>
      <c r="X56" s="3" t="str">
        <f t="shared" si="7"/>
        <v/>
      </c>
      <c r="Y56" s="3" t="str">
        <f t="shared" si="8"/>
        <v/>
      </c>
      <c r="Z56" s="1" t="str">
        <f t="shared" si="9"/>
        <v/>
      </c>
      <c r="AA56" s="3">
        <f t="shared" si="10"/>
        <v>1.3343722119999997</v>
      </c>
      <c r="AB56" s="3" t="str">
        <f>LOOKUP($A56,Sheet2!$A$1:$B$233)</f>
        <v>Latin America &amp; Caribbean</v>
      </c>
    </row>
    <row r="57" spans="1:28">
      <c r="A57" s="1" t="s">
        <v>63</v>
      </c>
      <c r="B57" s="1">
        <v>2020</v>
      </c>
      <c r="C57" s="1">
        <v>212559.4063</v>
      </c>
      <c r="D57" s="1">
        <v>87.072998049999995</v>
      </c>
      <c r="E57" s="1">
        <v>99.320852990000006</v>
      </c>
      <c r="F57" s="1">
        <v>0.12654900390000001</v>
      </c>
      <c r="G57" s="1">
        <v>0.55259800989999996</v>
      </c>
      <c r="H57" s="1" t="s">
        <v>272</v>
      </c>
      <c r="I57" s="1">
        <v>95.945259530000001</v>
      </c>
      <c r="J57" s="1">
        <v>0.97895091540000001</v>
      </c>
      <c r="K57" s="1">
        <v>3.0757895510000002</v>
      </c>
      <c r="L57" s="1" t="s">
        <v>272</v>
      </c>
      <c r="M57" s="1">
        <v>99.822001310000005</v>
      </c>
      <c r="N57" s="1">
        <v>0</v>
      </c>
      <c r="O57" s="1">
        <v>0.1779986949</v>
      </c>
      <c r="P57" s="1">
        <v>0</v>
      </c>
      <c r="Q57" s="2" t="str">
        <f t="shared" si="0"/>
        <v/>
      </c>
      <c r="R57" s="1" t="str">
        <f t="shared" si="1"/>
        <v/>
      </c>
      <c r="S57" s="1" t="str">
        <f t="shared" si="2"/>
        <v/>
      </c>
      <c r="T57" s="1" t="str">
        <f t="shared" si="3"/>
        <v/>
      </c>
      <c r="U57" s="1">
        <f t="shared" si="4"/>
        <v>99</v>
      </c>
      <c r="V57" s="3">
        <f t="shared" si="5"/>
        <v>96</v>
      </c>
      <c r="W57" s="3">
        <f t="shared" si="6"/>
        <v>100</v>
      </c>
      <c r="X57" s="3" t="str">
        <f t="shared" si="7"/>
        <v/>
      </c>
      <c r="Y57" s="3" t="str">
        <f t="shared" si="8"/>
        <v/>
      </c>
      <c r="Z57" s="1" t="str">
        <f t="shared" si="9"/>
        <v/>
      </c>
      <c r="AA57" s="3" t="str">
        <f t="shared" si="10"/>
        <v/>
      </c>
      <c r="AB57" s="3" t="str">
        <f>LOOKUP($A57,Sheet2!$A$1:$B$233)</f>
        <v>Latin America &amp; Caribbean</v>
      </c>
    </row>
    <row r="58" spans="1:28">
      <c r="A58" s="1" t="s">
        <v>64</v>
      </c>
      <c r="B58" s="1">
        <v>2015</v>
      </c>
      <c r="C58" s="1">
        <v>29.148000719999999</v>
      </c>
      <c r="D58" s="1">
        <v>46.583000179999999</v>
      </c>
      <c r="E58" s="1">
        <v>99.864383559999993</v>
      </c>
      <c r="F58" s="1">
        <v>0</v>
      </c>
      <c r="G58" s="1">
        <v>0.13561643840000001</v>
      </c>
      <c r="H58" s="1">
        <v>0</v>
      </c>
      <c r="I58" s="1" t="s">
        <v>272</v>
      </c>
      <c r="J58" s="1" t="s">
        <v>272</v>
      </c>
      <c r="K58" s="1" t="s">
        <v>272</v>
      </c>
      <c r="L58" s="1" t="s">
        <v>272</v>
      </c>
      <c r="M58" s="1" t="s">
        <v>272</v>
      </c>
      <c r="N58" s="1" t="s">
        <v>272</v>
      </c>
      <c r="O58" s="1" t="s">
        <v>272</v>
      </c>
      <c r="P58" s="1" t="s">
        <v>272</v>
      </c>
      <c r="Q58" s="2">
        <f t="shared" si="0"/>
        <v>5</v>
      </c>
      <c r="R58" s="1">
        <f t="shared" si="1"/>
        <v>0</v>
      </c>
      <c r="S58" s="1" t="str">
        <f t="shared" si="2"/>
        <v>null</v>
      </c>
      <c r="T58" s="1" t="str">
        <f t="shared" si="3"/>
        <v>null</v>
      </c>
      <c r="U58" s="1">
        <f t="shared" si="4"/>
        <v>100</v>
      </c>
      <c r="V58" s="3" t="str">
        <f t="shared" si="5"/>
        <v>null</v>
      </c>
      <c r="W58" s="3" t="str">
        <f t="shared" si="6"/>
        <v>null</v>
      </c>
      <c r="X58" s="3" t="str">
        <f t="shared" si="7"/>
        <v>fullaccesss</v>
      </c>
      <c r="Y58" s="3" t="str">
        <f t="shared" si="8"/>
        <v/>
      </c>
      <c r="Z58" s="1" t="str">
        <f t="shared" si="9"/>
        <v/>
      </c>
      <c r="AA58" s="3" t="str">
        <f t="shared" si="10"/>
        <v>null</v>
      </c>
      <c r="AB58" s="3" t="str">
        <f>LOOKUP($A58,Sheet2!$A$1:$B$233)</f>
        <v>Latin America &amp; Caribbean</v>
      </c>
    </row>
    <row r="59" spans="1:28">
      <c r="A59" s="1" t="s">
        <v>64</v>
      </c>
      <c r="B59" s="1">
        <v>2020</v>
      </c>
      <c r="C59" s="1">
        <v>30.23699951</v>
      </c>
      <c r="D59" s="1">
        <v>48.51499939</v>
      </c>
      <c r="E59" s="1">
        <v>99.864383559999993</v>
      </c>
      <c r="F59" s="1">
        <v>0</v>
      </c>
      <c r="G59" s="1">
        <v>0.13561643840000001</v>
      </c>
      <c r="H59" s="1">
        <v>0</v>
      </c>
      <c r="I59" s="1" t="s">
        <v>272</v>
      </c>
      <c r="J59" s="1" t="s">
        <v>272</v>
      </c>
      <c r="K59" s="1" t="s">
        <v>272</v>
      </c>
      <c r="L59" s="1" t="s">
        <v>272</v>
      </c>
      <c r="M59" s="1" t="s">
        <v>272</v>
      </c>
      <c r="N59" s="1" t="s">
        <v>272</v>
      </c>
      <c r="O59" s="1" t="s">
        <v>272</v>
      </c>
      <c r="P59" s="1" t="s">
        <v>272</v>
      </c>
      <c r="Q59" s="2" t="str">
        <f t="shared" si="0"/>
        <v/>
      </c>
      <c r="R59" s="1" t="str">
        <f t="shared" si="1"/>
        <v/>
      </c>
      <c r="S59" s="1" t="str">
        <f t="shared" si="2"/>
        <v/>
      </c>
      <c r="T59" s="1" t="str">
        <f t="shared" si="3"/>
        <v/>
      </c>
      <c r="U59" s="1">
        <f t="shared" si="4"/>
        <v>100</v>
      </c>
      <c r="V59" s="3" t="str">
        <f t="shared" si="5"/>
        <v>null</v>
      </c>
      <c r="W59" s="3" t="str">
        <f t="shared" si="6"/>
        <v>null</v>
      </c>
      <c r="X59" s="3" t="str">
        <f t="shared" si="7"/>
        <v/>
      </c>
      <c r="Y59" s="3" t="str">
        <f t="shared" si="8"/>
        <v/>
      </c>
      <c r="Z59" s="1" t="str">
        <f t="shared" si="9"/>
        <v/>
      </c>
      <c r="AA59" s="3" t="str">
        <f t="shared" si="10"/>
        <v/>
      </c>
      <c r="AB59" s="3" t="str">
        <f>LOOKUP($A59,Sheet2!$A$1:$B$233)</f>
        <v>Latin America &amp; Caribbean</v>
      </c>
    </row>
    <row r="60" spans="1:28">
      <c r="A60" s="1" t="s">
        <v>65</v>
      </c>
      <c r="B60" s="1">
        <v>2015</v>
      </c>
      <c r="C60" s="1">
        <v>414.91400149999998</v>
      </c>
      <c r="D60" s="1">
        <v>76.662994380000001</v>
      </c>
      <c r="E60" s="1">
        <v>99.509976159999994</v>
      </c>
      <c r="F60" s="1">
        <v>0</v>
      </c>
      <c r="G60" s="1">
        <v>0.39667583379999999</v>
      </c>
      <c r="H60" s="1">
        <v>9.3348002949999995E-2</v>
      </c>
      <c r="I60" s="1">
        <v>99.05</v>
      </c>
      <c r="J60" s="1">
        <v>0</v>
      </c>
      <c r="K60" s="1">
        <v>0.55000000000000004</v>
      </c>
      <c r="L60" s="1">
        <v>0.4</v>
      </c>
      <c r="M60" s="1">
        <v>99.65</v>
      </c>
      <c r="N60" s="1">
        <v>0</v>
      </c>
      <c r="O60" s="1">
        <v>0.35</v>
      </c>
      <c r="P60" s="1">
        <v>0</v>
      </c>
      <c r="Q60" s="2">
        <f t="shared" si="0"/>
        <v>5</v>
      </c>
      <c r="R60" s="1">
        <f t="shared" si="1"/>
        <v>7.8012128000000305E-2</v>
      </c>
      <c r="S60" s="1" t="str">
        <f t="shared" si="2"/>
        <v>null</v>
      </c>
      <c r="T60" s="1">
        <f t="shared" si="3"/>
        <v>0</v>
      </c>
      <c r="U60" s="1">
        <f t="shared" si="4"/>
        <v>100</v>
      </c>
      <c r="V60" s="3">
        <f t="shared" si="5"/>
        <v>99</v>
      </c>
      <c r="W60" s="3">
        <f t="shared" si="6"/>
        <v>100</v>
      </c>
      <c r="X60" s="3" t="str">
        <f t="shared" si="7"/>
        <v>fullaccesss</v>
      </c>
      <c r="Y60" s="3" t="str">
        <f t="shared" si="8"/>
        <v/>
      </c>
      <c r="Z60" s="1" t="str">
        <f t="shared" si="9"/>
        <v>fullaccesss</v>
      </c>
      <c r="AA60" s="3" t="str">
        <f t="shared" si="10"/>
        <v>null</v>
      </c>
      <c r="AB60" s="3" t="str">
        <f>LOOKUP($A60,Sheet2!$A$1:$B$233)</f>
        <v>East Asia &amp; Pacific</v>
      </c>
    </row>
    <row r="61" spans="1:28">
      <c r="A61" s="1" t="s">
        <v>65</v>
      </c>
      <c r="B61" s="1">
        <v>2020</v>
      </c>
      <c r="C61" s="1">
        <v>437.48300169999999</v>
      </c>
      <c r="D61" s="1">
        <v>78.250007629999999</v>
      </c>
      <c r="E61" s="1">
        <v>99.900036799999995</v>
      </c>
      <c r="F61" s="1">
        <v>0</v>
      </c>
      <c r="G61" s="1">
        <v>9.9963200360000004E-2</v>
      </c>
      <c r="H61" s="1">
        <v>0</v>
      </c>
      <c r="I61" s="1" t="s">
        <v>272</v>
      </c>
      <c r="J61" s="1" t="s">
        <v>272</v>
      </c>
      <c r="K61" s="1" t="s">
        <v>272</v>
      </c>
      <c r="L61" s="1" t="s">
        <v>272</v>
      </c>
      <c r="M61" s="1">
        <v>99.65</v>
      </c>
      <c r="N61" s="1">
        <v>0</v>
      </c>
      <c r="O61" s="1">
        <v>0.35</v>
      </c>
      <c r="P61" s="1">
        <v>0</v>
      </c>
      <c r="Q61" s="2" t="str">
        <f t="shared" si="0"/>
        <v/>
      </c>
      <c r="R61" s="1" t="str">
        <f t="shared" si="1"/>
        <v/>
      </c>
      <c r="S61" s="1" t="str">
        <f t="shared" si="2"/>
        <v/>
      </c>
      <c r="T61" s="1" t="str">
        <f t="shared" si="3"/>
        <v/>
      </c>
      <c r="U61" s="1">
        <f t="shared" si="4"/>
        <v>100</v>
      </c>
      <c r="V61" s="3" t="str">
        <f t="shared" si="5"/>
        <v>null</v>
      </c>
      <c r="W61" s="3">
        <f t="shared" si="6"/>
        <v>100</v>
      </c>
      <c r="X61" s="3" t="str">
        <f t="shared" si="7"/>
        <v/>
      </c>
      <c r="Y61" s="3" t="str">
        <f t="shared" si="8"/>
        <v/>
      </c>
      <c r="Z61" s="1" t="str">
        <f t="shared" si="9"/>
        <v/>
      </c>
      <c r="AA61" s="3" t="str">
        <f t="shared" si="10"/>
        <v/>
      </c>
      <c r="AB61" s="3" t="str">
        <f>LOOKUP($A61,Sheet2!$A$1:$B$233)</f>
        <v>East Asia &amp; Pacific</v>
      </c>
    </row>
    <row r="62" spans="1:28">
      <c r="A62" s="1" t="s">
        <v>66</v>
      </c>
      <c r="B62" s="1">
        <v>2015</v>
      </c>
      <c r="C62" s="1">
        <v>7199.7387699999999</v>
      </c>
      <c r="D62" s="1">
        <v>73.989997860000003</v>
      </c>
      <c r="E62" s="1">
        <v>99.196327310000001</v>
      </c>
      <c r="F62" s="1">
        <v>0</v>
      </c>
      <c r="G62" s="1">
        <v>0.80367269050000001</v>
      </c>
      <c r="H62" s="1">
        <v>0</v>
      </c>
      <c r="I62" s="1">
        <v>98.016140340000007</v>
      </c>
      <c r="J62" s="1">
        <v>0</v>
      </c>
      <c r="K62" s="1">
        <v>1.98385966</v>
      </c>
      <c r="L62" s="1">
        <v>0</v>
      </c>
      <c r="M62" s="1">
        <v>99.611207719999996</v>
      </c>
      <c r="N62" s="1">
        <v>0</v>
      </c>
      <c r="O62" s="1">
        <v>0.3887922761</v>
      </c>
      <c r="P62" s="1">
        <v>0</v>
      </c>
      <c r="Q62" s="2">
        <f t="shared" si="0"/>
        <v>5</v>
      </c>
      <c r="R62" s="1">
        <f t="shared" si="1"/>
        <v>-3.6982073999999442E-2</v>
      </c>
      <c r="S62" s="1">
        <f t="shared" si="2"/>
        <v>-0.12297047400000168</v>
      </c>
      <c r="T62" s="1">
        <f t="shared" si="3"/>
        <v>-1.6507464000000027E-2</v>
      </c>
      <c r="U62" s="1">
        <f t="shared" si="4"/>
        <v>99</v>
      </c>
      <c r="V62" s="3">
        <f t="shared" si="5"/>
        <v>98</v>
      </c>
      <c r="W62" s="3">
        <f t="shared" si="6"/>
        <v>100</v>
      </c>
      <c r="X62" s="3" t="str">
        <f t="shared" si="7"/>
        <v/>
      </c>
      <c r="Y62" s="3" t="str">
        <f t="shared" si="8"/>
        <v/>
      </c>
      <c r="Z62" s="1" t="str">
        <f t="shared" si="9"/>
        <v>fullaccesss</v>
      </c>
      <c r="AA62" s="3">
        <f t="shared" si="10"/>
        <v>-0.10646301000000165</v>
      </c>
      <c r="AB62" s="3" t="str">
        <f>LOOKUP($A62,Sheet2!$A$1:$B$233)</f>
        <v>Europe &amp; Central Asia</v>
      </c>
    </row>
    <row r="63" spans="1:28">
      <c r="A63" s="1" t="s">
        <v>66</v>
      </c>
      <c r="B63" s="1">
        <v>2020</v>
      </c>
      <c r="C63" s="1">
        <v>6948.4448240000002</v>
      </c>
      <c r="D63" s="1">
        <v>75.685997009999994</v>
      </c>
      <c r="E63" s="1">
        <v>99.011416940000004</v>
      </c>
      <c r="F63" s="1">
        <v>0</v>
      </c>
      <c r="G63" s="1">
        <v>0.98858306070000002</v>
      </c>
      <c r="H63" s="1">
        <v>0</v>
      </c>
      <c r="I63" s="1">
        <v>97.401287969999998</v>
      </c>
      <c r="J63" s="1">
        <v>0</v>
      </c>
      <c r="K63" s="1">
        <v>2.5987120309999998</v>
      </c>
      <c r="L63" s="1">
        <v>0</v>
      </c>
      <c r="M63" s="1">
        <v>99.528670399999996</v>
      </c>
      <c r="N63" s="1">
        <v>0</v>
      </c>
      <c r="O63" s="1">
        <v>0.47132960070000002</v>
      </c>
      <c r="P63" s="1">
        <v>0</v>
      </c>
      <c r="Q63" s="2" t="str">
        <f t="shared" si="0"/>
        <v/>
      </c>
      <c r="R63" s="1" t="str">
        <f t="shared" si="1"/>
        <v/>
      </c>
      <c r="S63" s="1" t="str">
        <f t="shared" si="2"/>
        <v/>
      </c>
      <c r="T63" s="1" t="str">
        <f t="shared" si="3"/>
        <v/>
      </c>
      <c r="U63" s="1">
        <f t="shared" si="4"/>
        <v>99</v>
      </c>
      <c r="V63" s="3">
        <f t="shared" si="5"/>
        <v>97</v>
      </c>
      <c r="W63" s="3">
        <f t="shared" si="6"/>
        <v>100</v>
      </c>
      <c r="X63" s="3" t="str">
        <f t="shared" si="7"/>
        <v/>
      </c>
      <c r="Y63" s="3" t="str">
        <f t="shared" si="8"/>
        <v/>
      </c>
      <c r="Z63" s="1" t="str">
        <f t="shared" si="9"/>
        <v/>
      </c>
      <c r="AA63" s="3" t="str">
        <f t="shared" si="10"/>
        <v/>
      </c>
      <c r="AB63" s="3" t="str">
        <f>LOOKUP($A63,Sheet2!$A$1:$B$233)</f>
        <v>Europe &amp; Central Asia</v>
      </c>
    </row>
    <row r="64" spans="1:28">
      <c r="A64" s="1" t="s">
        <v>67</v>
      </c>
      <c r="B64" s="1">
        <v>2015</v>
      </c>
      <c r="C64" s="1">
        <v>18110.615229999999</v>
      </c>
      <c r="D64" s="1">
        <v>27.530000690000001</v>
      </c>
      <c r="E64" s="1">
        <v>50.137131089999997</v>
      </c>
      <c r="F64" s="1">
        <v>25.67354095</v>
      </c>
      <c r="G64" s="1">
        <v>22.430178909999999</v>
      </c>
      <c r="H64" s="1">
        <v>1.7591490430000001</v>
      </c>
      <c r="I64" s="1">
        <v>38.855163699999999</v>
      </c>
      <c r="J64" s="1">
        <v>30.202184890000002</v>
      </c>
      <c r="K64" s="1">
        <v>28.648694299999999</v>
      </c>
      <c r="L64" s="1">
        <v>2.2939571060000001</v>
      </c>
      <c r="M64" s="1">
        <v>79.835792159999997</v>
      </c>
      <c r="N64" s="1">
        <v>13.75233459</v>
      </c>
      <c r="O64" s="1">
        <v>6.0605534319999999</v>
      </c>
      <c r="P64" s="1">
        <v>0.35131981779999999</v>
      </c>
      <c r="Q64" s="2">
        <f t="shared" si="0"/>
        <v>5</v>
      </c>
      <c r="R64" s="1">
        <f t="shared" si="1"/>
        <v>-0.58445532599999983</v>
      </c>
      <c r="S64" s="1">
        <f t="shared" si="2"/>
        <v>-1.2273809599999992</v>
      </c>
      <c r="T64" s="1">
        <f t="shared" si="3"/>
        <v>4.9225276000001372E-2</v>
      </c>
      <c r="U64" s="1">
        <f t="shared" si="4"/>
        <v>50</v>
      </c>
      <c r="V64" s="3">
        <f t="shared" si="5"/>
        <v>39</v>
      </c>
      <c r="W64" s="3">
        <f t="shared" si="6"/>
        <v>80</v>
      </c>
      <c r="X64" s="3" t="str">
        <f t="shared" si="7"/>
        <v/>
      </c>
      <c r="Y64" s="3" t="str">
        <f t="shared" si="8"/>
        <v/>
      </c>
      <c r="Z64" s="1" t="str">
        <f t="shared" si="9"/>
        <v/>
      </c>
      <c r="AA64" s="3">
        <f t="shared" si="10"/>
        <v>-1.2766062360000006</v>
      </c>
      <c r="AB64" s="3" t="str">
        <f>LOOKUP($A64,Sheet2!$A$1:$B$233)</f>
        <v>Sub-Saharan Africa</v>
      </c>
    </row>
    <row r="65" spans="1:28">
      <c r="A65" s="1" t="s">
        <v>67</v>
      </c>
      <c r="B65" s="1">
        <v>2020</v>
      </c>
      <c r="C65" s="1">
        <v>20903.277340000001</v>
      </c>
      <c r="D65" s="1">
        <v>30.60700035</v>
      </c>
      <c r="E65" s="1">
        <v>47.214854459999998</v>
      </c>
      <c r="F65" s="1">
        <v>31.2730034</v>
      </c>
      <c r="G65" s="1">
        <v>21.15863263</v>
      </c>
      <c r="H65" s="1">
        <v>0.35350950240000001</v>
      </c>
      <c r="I65" s="1">
        <v>32.718258900000002</v>
      </c>
      <c r="J65" s="1">
        <v>38.626902540000003</v>
      </c>
      <c r="K65" s="1">
        <v>28.3404457</v>
      </c>
      <c r="L65" s="1">
        <v>0.31439286259999999</v>
      </c>
      <c r="M65" s="1">
        <v>80.081918540000004</v>
      </c>
      <c r="N65" s="1">
        <v>14.60004919</v>
      </c>
      <c r="O65" s="1">
        <v>4.8758364869999999</v>
      </c>
      <c r="P65" s="1">
        <v>0.44219578050000002</v>
      </c>
      <c r="Q65" s="2" t="str">
        <f t="shared" si="0"/>
        <v/>
      </c>
      <c r="R65" s="1" t="str">
        <f t="shared" si="1"/>
        <v/>
      </c>
      <c r="S65" s="1" t="str">
        <f t="shared" si="2"/>
        <v/>
      </c>
      <c r="T65" s="1" t="str">
        <f t="shared" si="3"/>
        <v/>
      </c>
      <c r="U65" s="1">
        <f t="shared" si="4"/>
        <v>47</v>
      </c>
      <c r="V65" s="3">
        <f t="shared" si="5"/>
        <v>33</v>
      </c>
      <c r="W65" s="3">
        <f t="shared" si="6"/>
        <v>80</v>
      </c>
      <c r="X65" s="3" t="str">
        <f t="shared" si="7"/>
        <v/>
      </c>
      <c r="Y65" s="3" t="str">
        <f t="shared" si="8"/>
        <v/>
      </c>
      <c r="Z65" s="1" t="str">
        <f t="shared" si="9"/>
        <v/>
      </c>
      <c r="AA65" s="3" t="str">
        <f t="shared" si="10"/>
        <v/>
      </c>
      <c r="AB65" s="3" t="str">
        <f>LOOKUP($A65,Sheet2!$A$1:$B$233)</f>
        <v>Sub-Saharan Africa</v>
      </c>
    </row>
    <row r="66" spans="1:28">
      <c r="A66" s="1" t="s">
        <v>68</v>
      </c>
      <c r="B66" s="1">
        <v>2015</v>
      </c>
      <c r="C66" s="1">
        <v>10160.034180000001</v>
      </c>
      <c r="D66" s="1">
        <v>12.07800007</v>
      </c>
      <c r="E66" s="1">
        <v>59.581469249999998</v>
      </c>
      <c r="F66" s="1">
        <v>19.538891840000002</v>
      </c>
      <c r="G66" s="1">
        <v>14.864992579999999</v>
      </c>
      <c r="H66" s="1">
        <v>6.0146463399999996</v>
      </c>
      <c r="I66" s="1">
        <v>55.55826691</v>
      </c>
      <c r="J66" s="1">
        <v>21.166795570000001</v>
      </c>
      <c r="K66" s="1">
        <v>16.594144570000001</v>
      </c>
      <c r="L66" s="1">
        <v>6.6807929509999999</v>
      </c>
      <c r="M66" s="1">
        <v>88.868437589999999</v>
      </c>
      <c r="N66" s="1">
        <v>7.6885395340000002</v>
      </c>
      <c r="O66" s="1">
        <v>2.2776018659999999</v>
      </c>
      <c r="P66" s="1">
        <v>1.1654210119999999</v>
      </c>
      <c r="Q66" s="2">
        <f t="shared" si="0"/>
        <v>5</v>
      </c>
      <c r="R66" s="1">
        <f t="shared" si="1"/>
        <v>0.5251306</v>
      </c>
      <c r="S66" s="1">
        <f t="shared" si="2"/>
        <v>0.42549967199999938</v>
      </c>
      <c r="T66" s="1">
        <f t="shared" si="3"/>
        <v>0.36013465400000089</v>
      </c>
      <c r="U66" s="1">
        <f t="shared" si="4"/>
        <v>60</v>
      </c>
      <c r="V66" s="3">
        <f t="shared" si="5"/>
        <v>56</v>
      </c>
      <c r="W66" s="3">
        <f t="shared" si="6"/>
        <v>89</v>
      </c>
      <c r="X66" s="3" t="str">
        <f t="shared" si="7"/>
        <v/>
      </c>
      <c r="Y66" s="3" t="str">
        <f t="shared" si="8"/>
        <v/>
      </c>
      <c r="Z66" s="1" t="str">
        <f t="shared" si="9"/>
        <v/>
      </c>
      <c r="AA66" s="3">
        <f t="shared" si="10"/>
        <v>6.5365017999998498E-2</v>
      </c>
      <c r="AB66" s="3" t="str">
        <f>LOOKUP($A66,Sheet2!$A$1:$B$233)</f>
        <v>Sub-Saharan Africa</v>
      </c>
    </row>
    <row r="67" spans="1:28">
      <c r="A67" s="1" t="s">
        <v>68</v>
      </c>
      <c r="B67" s="1">
        <v>2020</v>
      </c>
      <c r="C67" s="1">
        <v>11890.78125</v>
      </c>
      <c r="D67" s="1">
        <v>13.708000180000001</v>
      </c>
      <c r="E67" s="1">
        <v>62.207122249999998</v>
      </c>
      <c r="F67" s="1">
        <v>19.439693139999999</v>
      </c>
      <c r="G67" s="1">
        <v>14.758259689999999</v>
      </c>
      <c r="H67" s="1">
        <v>3.5949249129999998</v>
      </c>
      <c r="I67" s="1">
        <v>57.685765269999997</v>
      </c>
      <c r="J67" s="1">
        <v>21.251482129999999</v>
      </c>
      <c r="K67" s="1">
        <v>16.896752379999999</v>
      </c>
      <c r="L67" s="1">
        <v>4.1660002189999998</v>
      </c>
      <c r="M67" s="1">
        <v>90.669110860000004</v>
      </c>
      <c r="N67" s="1">
        <v>8.0344628690000004</v>
      </c>
      <c r="O67" s="1">
        <v>1.2964262689999999</v>
      </c>
      <c r="P67" s="1">
        <v>0</v>
      </c>
      <c r="Q67" s="2" t="str">
        <f t="shared" si="0"/>
        <v/>
      </c>
      <c r="R67" s="1" t="str">
        <f t="shared" si="1"/>
        <v/>
      </c>
      <c r="S67" s="1" t="str">
        <f t="shared" si="2"/>
        <v/>
      </c>
      <c r="T67" s="1" t="str">
        <f t="shared" si="3"/>
        <v/>
      </c>
      <c r="U67" s="1">
        <f t="shared" si="4"/>
        <v>62</v>
      </c>
      <c r="V67" s="3">
        <f t="shared" si="5"/>
        <v>58</v>
      </c>
      <c r="W67" s="3">
        <f t="shared" si="6"/>
        <v>91</v>
      </c>
      <c r="X67" s="3" t="str">
        <f t="shared" si="7"/>
        <v/>
      </c>
      <c r="Y67" s="3" t="str">
        <f t="shared" si="8"/>
        <v/>
      </c>
      <c r="Z67" s="1" t="str">
        <f t="shared" si="9"/>
        <v/>
      </c>
      <c r="AA67" s="3" t="str">
        <f t="shared" si="10"/>
        <v/>
      </c>
      <c r="AB67" s="3" t="str">
        <f>LOOKUP($A67,Sheet2!$A$1:$B$233)</f>
        <v>Sub-Saharan Africa</v>
      </c>
    </row>
    <row r="68" spans="1:28">
      <c r="A68" s="1" t="s">
        <v>69</v>
      </c>
      <c r="B68" s="1">
        <v>2015</v>
      </c>
      <c r="C68" s="1">
        <v>524.73999019999997</v>
      </c>
      <c r="D68" s="1">
        <v>64.299995420000002</v>
      </c>
      <c r="E68" s="1">
        <v>85.443342369999996</v>
      </c>
      <c r="F68" s="1">
        <v>10.253077619999999</v>
      </c>
      <c r="G68" s="1">
        <v>4.1519483189999997</v>
      </c>
      <c r="H68" s="1">
        <v>0.15163169109999999</v>
      </c>
      <c r="I68" s="1">
        <v>72.832314109999999</v>
      </c>
      <c r="J68" s="1">
        <v>16.379794579999999</v>
      </c>
      <c r="K68" s="1">
        <v>10.436760769999999</v>
      </c>
      <c r="L68" s="1">
        <v>0.35113053970000002</v>
      </c>
      <c r="M68" s="1">
        <v>92.445114509999996</v>
      </c>
      <c r="N68" s="1">
        <v>6.8514639109999997</v>
      </c>
      <c r="O68" s="1">
        <v>0.66255362809999996</v>
      </c>
      <c r="P68" s="1">
        <v>4.0867953800000002E-2</v>
      </c>
      <c r="Q68" s="2">
        <f t="shared" si="0"/>
        <v>5</v>
      </c>
      <c r="R68" s="1">
        <f t="shared" si="1"/>
        <v>0.66525281000000125</v>
      </c>
      <c r="S68" s="1">
        <f t="shared" si="2"/>
        <v>1.4564422659999992</v>
      </c>
      <c r="T68" s="1">
        <f t="shared" si="3"/>
        <v>0.13097709799999963</v>
      </c>
      <c r="U68" s="1">
        <f t="shared" si="4"/>
        <v>85</v>
      </c>
      <c r="V68" s="3">
        <f t="shared" si="5"/>
        <v>73</v>
      </c>
      <c r="W68" s="3">
        <f t="shared" si="6"/>
        <v>92</v>
      </c>
      <c r="X68" s="3" t="str">
        <f t="shared" si="7"/>
        <v/>
      </c>
      <c r="Y68" s="3" t="str">
        <f t="shared" si="8"/>
        <v/>
      </c>
      <c r="Z68" s="1" t="str">
        <f t="shared" si="9"/>
        <v/>
      </c>
      <c r="AA68" s="3">
        <f t="shared" si="10"/>
        <v>1.3254651679999996</v>
      </c>
      <c r="AB68" s="3" t="str">
        <f>LOOKUP($A68,Sheet2!$A$1:$B$233)</f>
        <v>Sub-Saharan Africa</v>
      </c>
    </row>
    <row r="69" spans="1:28">
      <c r="A69" s="1" t="s">
        <v>69</v>
      </c>
      <c r="B69" s="1">
        <v>2020</v>
      </c>
      <c r="C69" s="1">
        <v>555.98797609999997</v>
      </c>
      <c r="D69" s="1">
        <v>66.652000430000001</v>
      </c>
      <c r="E69" s="1">
        <v>88.769606420000002</v>
      </c>
      <c r="F69" s="1">
        <v>7.9041508460000003</v>
      </c>
      <c r="G69" s="1">
        <v>3.2091477159999999</v>
      </c>
      <c r="H69" s="1">
        <v>0.1170950144</v>
      </c>
      <c r="I69" s="1">
        <v>80.114525439999994</v>
      </c>
      <c r="J69" s="1">
        <v>9.9111270220000005</v>
      </c>
      <c r="K69" s="1">
        <v>9.6232170030000006</v>
      </c>
      <c r="L69" s="1">
        <v>0.35113053970000002</v>
      </c>
      <c r="M69" s="1">
        <v>93.1</v>
      </c>
      <c r="N69" s="1">
        <v>6.9</v>
      </c>
      <c r="O69" s="1">
        <v>0</v>
      </c>
      <c r="P69" s="1">
        <v>0</v>
      </c>
      <c r="Q69" s="2" t="str">
        <f t="shared" si="0"/>
        <v/>
      </c>
      <c r="R69" s="1" t="str">
        <f t="shared" si="1"/>
        <v/>
      </c>
      <c r="S69" s="1" t="str">
        <f t="shared" si="2"/>
        <v/>
      </c>
      <c r="T69" s="1" t="str">
        <f t="shared" si="3"/>
        <v/>
      </c>
      <c r="U69" s="1">
        <f t="shared" si="4"/>
        <v>89</v>
      </c>
      <c r="V69" s="3">
        <f t="shared" si="5"/>
        <v>80</v>
      </c>
      <c r="W69" s="3">
        <f t="shared" si="6"/>
        <v>93</v>
      </c>
      <c r="X69" s="3" t="str">
        <f t="shared" si="7"/>
        <v/>
      </c>
      <c r="Y69" s="3" t="str">
        <f t="shared" si="8"/>
        <v/>
      </c>
      <c r="Z69" s="1" t="str">
        <f t="shared" si="9"/>
        <v/>
      </c>
      <c r="AA69" s="3" t="str">
        <f t="shared" si="10"/>
        <v/>
      </c>
      <c r="AB69" s="3" t="str">
        <f>LOOKUP($A69,Sheet2!$A$1:$B$233)</f>
        <v>Sub-Saharan Africa</v>
      </c>
    </row>
    <row r="70" spans="1:28">
      <c r="A70" s="1" t="s">
        <v>70</v>
      </c>
      <c r="B70" s="1">
        <v>2015</v>
      </c>
      <c r="C70" s="1">
        <v>15521.434569999999</v>
      </c>
      <c r="D70" s="1">
        <v>22.187999730000001</v>
      </c>
      <c r="E70" s="1">
        <v>68.443848959999997</v>
      </c>
      <c r="F70" s="1">
        <v>8.6032481930000007</v>
      </c>
      <c r="G70" s="1">
        <v>9.6029948170000008</v>
      </c>
      <c r="H70" s="1">
        <v>13.34990803</v>
      </c>
      <c r="I70" s="1">
        <v>62.711116680000003</v>
      </c>
      <c r="J70" s="1">
        <v>9.432045638</v>
      </c>
      <c r="K70" s="1">
        <v>11.750895959999999</v>
      </c>
      <c r="L70" s="1">
        <v>16.105941720000001</v>
      </c>
      <c r="M70" s="1">
        <v>88.548191439999997</v>
      </c>
      <c r="N70" s="1">
        <v>5.6967034720000003</v>
      </c>
      <c r="O70" s="1">
        <v>2.0704456869999999</v>
      </c>
      <c r="P70" s="1">
        <v>3.6846594000000001</v>
      </c>
      <c r="Q70" s="2">
        <f t="shared" si="0"/>
        <v>5</v>
      </c>
      <c r="R70" s="1">
        <f t="shared" si="1"/>
        <v>0.55520720199999973</v>
      </c>
      <c r="S70" s="1">
        <f t="shared" si="2"/>
        <v>0.47120783000000016</v>
      </c>
      <c r="T70" s="1">
        <f t="shared" si="3"/>
        <v>0.38197714599999982</v>
      </c>
      <c r="U70" s="1">
        <f t="shared" si="4"/>
        <v>68</v>
      </c>
      <c r="V70" s="3">
        <f t="shared" si="5"/>
        <v>63</v>
      </c>
      <c r="W70" s="3">
        <f t="shared" si="6"/>
        <v>89</v>
      </c>
      <c r="X70" s="3" t="str">
        <f t="shared" si="7"/>
        <v/>
      </c>
      <c r="Y70" s="3" t="str">
        <f t="shared" si="8"/>
        <v/>
      </c>
      <c r="Z70" s="1" t="str">
        <f t="shared" si="9"/>
        <v/>
      </c>
      <c r="AA70" s="3">
        <f t="shared" si="10"/>
        <v>8.9230684000000338E-2</v>
      </c>
      <c r="AB70" s="3" t="str">
        <f>LOOKUP($A70,Sheet2!$A$1:$B$233)</f>
        <v>East Asia &amp; Pacific</v>
      </c>
    </row>
    <row r="71" spans="1:28">
      <c r="A71" s="1" t="s">
        <v>70</v>
      </c>
      <c r="B71" s="1">
        <v>2020</v>
      </c>
      <c r="C71" s="1">
        <v>16718.970700000002</v>
      </c>
      <c r="D71" s="1">
        <v>24.23200035</v>
      </c>
      <c r="E71" s="1">
        <v>71.219884969999995</v>
      </c>
      <c r="F71" s="1">
        <v>13.90222204</v>
      </c>
      <c r="G71" s="1">
        <v>5.6772185579999999</v>
      </c>
      <c r="H71" s="1">
        <v>9.2006744339999997</v>
      </c>
      <c r="I71" s="1">
        <v>65.067155830000004</v>
      </c>
      <c r="J71" s="1">
        <v>15.51772278</v>
      </c>
      <c r="K71" s="1">
        <v>7.4928993070000001</v>
      </c>
      <c r="L71" s="1">
        <v>11.92222209</v>
      </c>
      <c r="M71" s="1">
        <v>90.458077169999996</v>
      </c>
      <c r="N71" s="1">
        <v>8.8509147200000005</v>
      </c>
      <c r="O71" s="1">
        <v>0</v>
      </c>
      <c r="P71" s="1">
        <v>0.69100811439999998</v>
      </c>
      <c r="Q71" s="2" t="str">
        <f t="shared" si="0"/>
        <v/>
      </c>
      <c r="R71" s="1" t="str">
        <f t="shared" si="1"/>
        <v/>
      </c>
      <c r="S71" s="1" t="str">
        <f t="shared" si="2"/>
        <v/>
      </c>
      <c r="T71" s="1" t="str">
        <f t="shared" si="3"/>
        <v/>
      </c>
      <c r="U71" s="1">
        <f t="shared" si="4"/>
        <v>71</v>
      </c>
      <c r="V71" s="3">
        <f t="shared" si="5"/>
        <v>65</v>
      </c>
      <c r="W71" s="3">
        <f t="shared" si="6"/>
        <v>90</v>
      </c>
      <c r="X71" s="3" t="str">
        <f t="shared" si="7"/>
        <v/>
      </c>
      <c r="Y71" s="3" t="str">
        <f t="shared" si="8"/>
        <v/>
      </c>
      <c r="Z71" s="1" t="str">
        <f t="shared" si="9"/>
        <v/>
      </c>
      <c r="AA71" s="3" t="str">
        <f t="shared" si="10"/>
        <v/>
      </c>
      <c r="AB71" s="3" t="str">
        <f>LOOKUP($A71,Sheet2!$A$1:$B$233)</f>
        <v>East Asia &amp; Pacific</v>
      </c>
    </row>
    <row r="72" spans="1:28">
      <c r="A72" s="1" t="s">
        <v>71</v>
      </c>
      <c r="B72" s="1">
        <v>2015</v>
      </c>
      <c r="C72" s="1">
        <v>23298.376950000002</v>
      </c>
      <c r="D72" s="1">
        <v>54.57799911</v>
      </c>
      <c r="E72" s="1">
        <v>63.973990120000003</v>
      </c>
      <c r="F72" s="1">
        <v>11.23827056</v>
      </c>
      <c r="G72" s="1">
        <v>17.651358330000001</v>
      </c>
      <c r="H72" s="1">
        <v>7.1363809839999996</v>
      </c>
      <c r="I72" s="1">
        <v>42.005669210000001</v>
      </c>
      <c r="J72" s="1">
        <v>11.073386409999999</v>
      </c>
      <c r="K72" s="1">
        <v>32.39404459</v>
      </c>
      <c r="L72" s="1">
        <v>14.52689979</v>
      </c>
      <c r="M72" s="1">
        <v>82.256907909999995</v>
      </c>
      <c r="N72" s="1">
        <v>11.37549377</v>
      </c>
      <c r="O72" s="1">
        <v>5.3819035130000001</v>
      </c>
      <c r="P72" s="1">
        <v>0.98569480279999999</v>
      </c>
      <c r="Q72" s="2">
        <f t="shared" si="0"/>
        <v>5</v>
      </c>
      <c r="R72" s="1">
        <f t="shared" si="1"/>
        <v>0.34928561199999847</v>
      </c>
      <c r="S72" s="1">
        <f t="shared" si="2"/>
        <v>0.30438238200000001</v>
      </c>
      <c r="T72" s="1">
        <f t="shared" si="3"/>
        <v>-3.4664609999998673E-2</v>
      </c>
      <c r="U72" s="1">
        <f t="shared" si="4"/>
        <v>64</v>
      </c>
      <c r="V72" s="3">
        <f t="shared" si="5"/>
        <v>42</v>
      </c>
      <c r="W72" s="3">
        <f t="shared" si="6"/>
        <v>82</v>
      </c>
      <c r="X72" s="3" t="str">
        <f t="shared" si="7"/>
        <v/>
      </c>
      <c r="Y72" s="3" t="str">
        <f t="shared" si="8"/>
        <v/>
      </c>
      <c r="Z72" s="1" t="str">
        <f t="shared" si="9"/>
        <v/>
      </c>
      <c r="AA72" s="3">
        <f t="shared" si="10"/>
        <v>0.33904699199999866</v>
      </c>
      <c r="AB72" s="3" t="str">
        <f>LOOKUP($A72,Sheet2!$A$1:$B$233)</f>
        <v>Sub-Saharan Africa</v>
      </c>
    </row>
    <row r="73" spans="1:28">
      <c r="A73" s="1" t="s">
        <v>71</v>
      </c>
      <c r="B73" s="1">
        <v>2020</v>
      </c>
      <c r="C73" s="1">
        <v>26545.863280000001</v>
      </c>
      <c r="D73" s="1">
        <v>57.560005189999998</v>
      </c>
      <c r="E73" s="1">
        <v>65.720418179999996</v>
      </c>
      <c r="F73" s="1">
        <v>12.874748629999999</v>
      </c>
      <c r="G73" s="1">
        <v>15.00100626</v>
      </c>
      <c r="H73" s="1">
        <v>6.4038269269999999</v>
      </c>
      <c r="I73" s="1">
        <v>43.527581120000001</v>
      </c>
      <c r="J73" s="1">
        <v>12.67259943</v>
      </c>
      <c r="K73" s="1">
        <v>30.12380645</v>
      </c>
      <c r="L73" s="1">
        <v>13.676012999999999</v>
      </c>
      <c r="M73" s="1">
        <v>82.083584860000002</v>
      </c>
      <c r="N73" s="1">
        <v>13.023796770000001</v>
      </c>
      <c r="O73" s="1">
        <v>3.8507013510000001</v>
      </c>
      <c r="P73" s="1">
        <v>1.041917019</v>
      </c>
      <c r="Q73" s="2" t="str">
        <f t="shared" si="0"/>
        <v/>
      </c>
      <c r="R73" s="1" t="str">
        <f t="shared" si="1"/>
        <v/>
      </c>
      <c r="S73" s="1" t="str">
        <f t="shared" si="2"/>
        <v/>
      </c>
      <c r="T73" s="1" t="str">
        <f t="shared" si="3"/>
        <v/>
      </c>
      <c r="U73" s="1">
        <f t="shared" si="4"/>
        <v>66</v>
      </c>
      <c r="V73" s="3">
        <f t="shared" si="5"/>
        <v>44</v>
      </c>
      <c r="W73" s="3">
        <f t="shared" si="6"/>
        <v>82</v>
      </c>
      <c r="X73" s="3" t="str">
        <f t="shared" si="7"/>
        <v/>
      </c>
      <c r="Y73" s="3" t="str">
        <f t="shared" si="8"/>
        <v/>
      </c>
      <c r="Z73" s="1" t="str">
        <f t="shared" si="9"/>
        <v/>
      </c>
      <c r="AA73" s="3" t="str">
        <f t="shared" si="10"/>
        <v/>
      </c>
      <c r="AB73" s="3" t="str">
        <f>LOOKUP($A73,Sheet2!$A$1:$B$233)</f>
        <v>Sub-Saharan Africa</v>
      </c>
    </row>
    <row r="74" spans="1:28">
      <c r="A74" s="1" t="s">
        <v>72</v>
      </c>
      <c r="B74" s="1">
        <v>2015</v>
      </c>
      <c r="C74" s="1">
        <v>36026.667970000002</v>
      </c>
      <c r="D74" s="1">
        <v>81.259002690000003</v>
      </c>
      <c r="E74" s="1">
        <v>99.229221390000006</v>
      </c>
      <c r="F74" s="1">
        <v>0</v>
      </c>
      <c r="G74" s="1">
        <v>0.77077860909999996</v>
      </c>
      <c r="H74" s="1">
        <v>0</v>
      </c>
      <c r="I74" s="1">
        <v>98.81619508</v>
      </c>
      <c r="J74" s="1">
        <v>0</v>
      </c>
      <c r="K74" s="1">
        <v>1.183804922</v>
      </c>
      <c r="L74" s="1">
        <v>0</v>
      </c>
      <c r="M74" s="1">
        <v>99.324478850000006</v>
      </c>
      <c r="N74" s="1">
        <v>0</v>
      </c>
      <c r="O74" s="1">
        <v>0.67552114730000001</v>
      </c>
      <c r="P74" s="1">
        <v>0</v>
      </c>
      <c r="Q74" s="2">
        <f t="shared" si="0"/>
        <v>5</v>
      </c>
      <c r="R74" s="1">
        <f t="shared" si="1"/>
        <v>-1.4821460000007391E-3</v>
      </c>
      <c r="S74" s="1">
        <f t="shared" si="2"/>
        <v>4.8860164000001302E-2</v>
      </c>
      <c r="T74" s="1">
        <f t="shared" si="3"/>
        <v>-1.3240238000000204E-2</v>
      </c>
      <c r="U74" s="1">
        <f t="shared" si="4"/>
        <v>99</v>
      </c>
      <c r="V74" s="3">
        <f t="shared" si="5"/>
        <v>99</v>
      </c>
      <c r="W74" s="3">
        <f t="shared" si="6"/>
        <v>99</v>
      </c>
      <c r="X74" s="3" t="str">
        <f t="shared" si="7"/>
        <v/>
      </c>
      <c r="Y74" s="3" t="str">
        <f t="shared" si="8"/>
        <v/>
      </c>
      <c r="Z74" s="1" t="str">
        <f t="shared" si="9"/>
        <v/>
      </c>
      <c r="AA74" s="3">
        <f t="shared" si="10"/>
        <v>6.2100402000001505E-2</v>
      </c>
      <c r="AB74" s="3" t="str">
        <f>LOOKUP($A74,Sheet2!$A$1:$B$233)</f>
        <v>North America</v>
      </c>
    </row>
    <row r="75" spans="1:28">
      <c r="A75" s="1" t="s">
        <v>72</v>
      </c>
      <c r="B75" s="1">
        <v>2020</v>
      </c>
      <c r="C75" s="1">
        <v>37742.15625</v>
      </c>
      <c r="D75" s="1">
        <v>81.562004090000002</v>
      </c>
      <c r="E75" s="1">
        <v>99.221810660000003</v>
      </c>
      <c r="F75" s="1">
        <v>0</v>
      </c>
      <c r="G75" s="1">
        <v>0.77818933690000003</v>
      </c>
      <c r="H75" s="1">
        <v>0</v>
      </c>
      <c r="I75" s="1">
        <v>99.060495900000006</v>
      </c>
      <c r="J75" s="1">
        <v>0</v>
      </c>
      <c r="K75" s="1">
        <v>0.9395041006</v>
      </c>
      <c r="L75" s="1">
        <v>0</v>
      </c>
      <c r="M75" s="1">
        <v>99.258277660000005</v>
      </c>
      <c r="N75" s="1">
        <v>0</v>
      </c>
      <c r="O75" s="1">
        <v>0.74172233710000002</v>
      </c>
      <c r="P75" s="1">
        <v>0</v>
      </c>
      <c r="Q75" s="2" t="str">
        <f t="shared" si="0"/>
        <v/>
      </c>
      <c r="R75" s="1" t="str">
        <f t="shared" si="1"/>
        <v/>
      </c>
      <c r="S75" s="1" t="str">
        <f t="shared" si="2"/>
        <v/>
      </c>
      <c r="T75" s="1" t="str">
        <f t="shared" si="3"/>
        <v/>
      </c>
      <c r="U75" s="1">
        <f t="shared" si="4"/>
        <v>99</v>
      </c>
      <c r="V75" s="3">
        <f t="shared" si="5"/>
        <v>99</v>
      </c>
      <c r="W75" s="3">
        <f t="shared" si="6"/>
        <v>99</v>
      </c>
      <c r="X75" s="3" t="str">
        <f t="shared" si="7"/>
        <v/>
      </c>
      <c r="Y75" s="3" t="str">
        <f t="shared" si="8"/>
        <v/>
      </c>
      <c r="Z75" s="1" t="str">
        <f t="shared" si="9"/>
        <v/>
      </c>
      <c r="AA75" s="3" t="str">
        <f t="shared" si="10"/>
        <v/>
      </c>
      <c r="AB75" s="3" t="str">
        <f>LOOKUP($A75,Sheet2!$A$1:$B$233)</f>
        <v>North America</v>
      </c>
    </row>
    <row r="76" spans="1:28">
      <c r="A76" s="1" t="s">
        <v>73</v>
      </c>
      <c r="B76" s="1">
        <v>2015</v>
      </c>
      <c r="C76" s="1">
        <v>61.721000670000002</v>
      </c>
      <c r="D76" s="1">
        <v>100</v>
      </c>
      <c r="E76" s="1">
        <v>96.125</v>
      </c>
      <c r="F76" s="1">
        <v>0</v>
      </c>
      <c r="G76" s="1">
        <v>3.875</v>
      </c>
      <c r="H76" s="1">
        <v>0</v>
      </c>
      <c r="I76" s="1" t="s">
        <v>272</v>
      </c>
      <c r="J76" s="1" t="s">
        <v>272</v>
      </c>
      <c r="K76" s="1" t="s">
        <v>272</v>
      </c>
      <c r="L76" s="1" t="s">
        <v>272</v>
      </c>
      <c r="M76" s="1">
        <v>96.125</v>
      </c>
      <c r="N76" s="1">
        <v>0</v>
      </c>
      <c r="O76" s="1">
        <v>3.875</v>
      </c>
      <c r="P76" s="1">
        <v>0</v>
      </c>
      <c r="Q76" s="2">
        <f t="shared" si="0"/>
        <v>1</v>
      </c>
      <c r="R76" s="1">
        <f t="shared" si="1"/>
        <v>0</v>
      </c>
      <c r="S76" s="1" t="str">
        <f t="shared" si="2"/>
        <v>null</v>
      </c>
      <c r="T76" s="1">
        <f t="shared" si="3"/>
        <v>0</v>
      </c>
      <c r="U76" s="1">
        <f t="shared" si="4"/>
        <v>96</v>
      </c>
      <c r="V76" s="3" t="str">
        <f t="shared" si="5"/>
        <v>null</v>
      </c>
      <c r="W76" s="3">
        <f t="shared" si="6"/>
        <v>96</v>
      </c>
      <c r="X76" s="3" t="str">
        <f t="shared" si="7"/>
        <v/>
      </c>
      <c r="Y76" s="3" t="str">
        <f t="shared" si="8"/>
        <v/>
      </c>
      <c r="Z76" s="1" t="str">
        <f t="shared" si="9"/>
        <v/>
      </c>
      <c r="AA76" s="3" t="str">
        <f t="shared" si="10"/>
        <v>null</v>
      </c>
      <c r="AB76" s="3" t="str">
        <f>LOOKUP($A76,Sheet2!$A$1:$B$233)</f>
        <v>Latin America &amp; Caribbean</v>
      </c>
    </row>
    <row r="77" spans="1:28">
      <c r="A77" s="1" t="s">
        <v>73</v>
      </c>
      <c r="B77" s="1">
        <v>2016</v>
      </c>
      <c r="C77" s="1">
        <v>62.563999180000003</v>
      </c>
      <c r="D77" s="1">
        <v>100</v>
      </c>
      <c r="E77" s="1">
        <v>96.125</v>
      </c>
      <c r="F77" s="1">
        <v>0</v>
      </c>
      <c r="G77" s="1">
        <v>3.875</v>
      </c>
      <c r="H77" s="1">
        <v>0</v>
      </c>
      <c r="I77" s="1" t="s">
        <v>272</v>
      </c>
      <c r="J77" s="1" t="s">
        <v>272</v>
      </c>
      <c r="K77" s="1" t="s">
        <v>272</v>
      </c>
      <c r="L77" s="1" t="s">
        <v>272</v>
      </c>
      <c r="M77" s="1">
        <v>96.125</v>
      </c>
      <c r="N77" s="1">
        <v>0</v>
      </c>
      <c r="O77" s="1">
        <v>3.875</v>
      </c>
      <c r="P77" s="1">
        <v>0</v>
      </c>
      <c r="Q77" s="2" t="str">
        <f t="shared" si="0"/>
        <v/>
      </c>
      <c r="R77" s="1" t="str">
        <f t="shared" si="1"/>
        <v/>
      </c>
      <c r="S77" s="1" t="str">
        <f t="shared" si="2"/>
        <v/>
      </c>
      <c r="T77" s="1" t="str">
        <f t="shared" si="3"/>
        <v/>
      </c>
      <c r="U77" s="1">
        <f t="shared" si="4"/>
        <v>96</v>
      </c>
      <c r="V77" s="3" t="str">
        <f t="shared" si="5"/>
        <v>null</v>
      </c>
      <c r="W77" s="3">
        <f t="shared" si="6"/>
        <v>96</v>
      </c>
      <c r="X77" s="3" t="str">
        <f t="shared" si="7"/>
        <v/>
      </c>
      <c r="Y77" s="3" t="str">
        <f t="shared" si="8"/>
        <v/>
      </c>
      <c r="Z77" s="1" t="str">
        <f t="shared" si="9"/>
        <v/>
      </c>
      <c r="AA77" s="3" t="str">
        <f t="shared" si="10"/>
        <v/>
      </c>
      <c r="AB77" s="3" t="str">
        <f>LOOKUP($A77,Sheet2!$A$1:$B$233)</f>
        <v>Latin America &amp; Caribbean</v>
      </c>
    </row>
    <row r="78" spans="1:28">
      <c r="A78" s="1" t="s">
        <v>74</v>
      </c>
      <c r="B78" s="1">
        <v>2015</v>
      </c>
      <c r="C78" s="1">
        <v>4493.1708980000003</v>
      </c>
      <c r="D78" s="1">
        <v>40.277000430000001</v>
      </c>
      <c r="E78" s="1">
        <v>42.311345420000002</v>
      </c>
      <c r="F78" s="1">
        <v>21.343997179999999</v>
      </c>
      <c r="G78" s="1">
        <v>32.010174079999999</v>
      </c>
      <c r="H78" s="1">
        <v>4.3344833180000002</v>
      </c>
      <c r="I78" s="1">
        <v>31.891407789999999</v>
      </c>
      <c r="J78" s="1">
        <v>17.35785358</v>
      </c>
      <c r="K78" s="1">
        <v>43.702609250000002</v>
      </c>
      <c r="L78" s="1">
        <v>7.0481293919999999</v>
      </c>
      <c r="M78" s="1">
        <v>57.76209901</v>
      </c>
      <c r="N78" s="1">
        <v>27.25467806</v>
      </c>
      <c r="O78" s="1">
        <v>14.67255123</v>
      </c>
      <c r="P78" s="1">
        <v>0.31067170900000002</v>
      </c>
      <c r="Q78" s="2">
        <f t="shared" si="0"/>
        <v>5</v>
      </c>
      <c r="R78" s="1">
        <f t="shared" si="1"/>
        <v>-1.0217886739999997</v>
      </c>
      <c r="S78" s="1">
        <f t="shared" si="2"/>
        <v>-0.75696272799999986</v>
      </c>
      <c r="T78" s="1">
        <f t="shared" si="3"/>
        <v>-1.6200868119999996</v>
      </c>
      <c r="U78" s="1">
        <f t="shared" si="4"/>
        <v>42</v>
      </c>
      <c r="V78" s="3">
        <f t="shared" si="5"/>
        <v>32</v>
      </c>
      <c r="W78" s="3">
        <f t="shared" si="6"/>
        <v>58</v>
      </c>
      <c r="X78" s="3" t="str">
        <f t="shared" si="7"/>
        <v/>
      </c>
      <c r="Y78" s="3" t="str">
        <f t="shared" si="8"/>
        <v/>
      </c>
      <c r="Z78" s="1" t="str">
        <f t="shared" si="9"/>
        <v/>
      </c>
      <c r="AA78" s="3">
        <f t="shared" si="10"/>
        <v>0.86312408399999974</v>
      </c>
      <c r="AB78" s="3" t="str">
        <f>LOOKUP($A78,Sheet2!$A$1:$B$233)</f>
        <v>Sub-Saharan Africa</v>
      </c>
    </row>
    <row r="79" spans="1:28">
      <c r="A79" s="1" t="s">
        <v>74</v>
      </c>
      <c r="B79" s="1">
        <v>2020</v>
      </c>
      <c r="C79" s="1">
        <v>4829.7641599999997</v>
      </c>
      <c r="D79" s="1">
        <v>42.197998050000002</v>
      </c>
      <c r="E79" s="1">
        <v>37.202402050000003</v>
      </c>
      <c r="F79" s="1">
        <v>25.682373479999999</v>
      </c>
      <c r="G79" s="1">
        <v>33.53911377</v>
      </c>
      <c r="H79" s="1">
        <v>3.5761107079999999</v>
      </c>
      <c r="I79" s="1">
        <v>28.106594149999999</v>
      </c>
      <c r="J79" s="1">
        <v>19.405889899999998</v>
      </c>
      <c r="K79" s="1">
        <v>46.373073009999999</v>
      </c>
      <c r="L79" s="1">
        <v>6.1144429440000003</v>
      </c>
      <c r="M79" s="1">
        <v>49.661664950000002</v>
      </c>
      <c r="N79" s="1">
        <v>34.279780090000003</v>
      </c>
      <c r="O79" s="1">
        <v>15.95940214</v>
      </c>
      <c r="P79" s="1">
        <v>9.915281712E-2</v>
      </c>
      <c r="Q79" s="2" t="str">
        <f t="shared" si="0"/>
        <v/>
      </c>
      <c r="R79" s="1" t="str">
        <f t="shared" si="1"/>
        <v/>
      </c>
      <c r="S79" s="1" t="str">
        <f t="shared" si="2"/>
        <v/>
      </c>
      <c r="T79" s="1" t="str">
        <f t="shared" si="3"/>
        <v/>
      </c>
      <c r="U79" s="1">
        <f t="shared" si="4"/>
        <v>37</v>
      </c>
      <c r="V79" s="3">
        <f t="shared" si="5"/>
        <v>28</v>
      </c>
      <c r="W79" s="3">
        <f t="shared" si="6"/>
        <v>50</v>
      </c>
      <c r="X79" s="3" t="str">
        <f t="shared" si="7"/>
        <v/>
      </c>
      <c r="Y79" s="3" t="str">
        <f t="shared" si="8"/>
        <v/>
      </c>
      <c r="Z79" s="1" t="str">
        <f t="shared" si="9"/>
        <v/>
      </c>
      <c r="AA79" s="3" t="str">
        <f t="shared" si="10"/>
        <v/>
      </c>
      <c r="AB79" s="3" t="str">
        <f>LOOKUP($A79,Sheet2!$A$1:$B$233)</f>
        <v>Sub-Saharan Africa</v>
      </c>
    </row>
    <row r="80" spans="1:28">
      <c r="A80" s="1" t="s">
        <v>75</v>
      </c>
      <c r="B80" s="1">
        <v>2015</v>
      </c>
      <c r="C80" s="1">
        <v>14110.9707</v>
      </c>
      <c r="D80" s="1">
        <v>22.515001300000002</v>
      </c>
      <c r="E80" s="1">
        <v>44.399096970000002</v>
      </c>
      <c r="F80" s="1">
        <v>13.51638311</v>
      </c>
      <c r="G80" s="1">
        <v>34.702739940000001</v>
      </c>
      <c r="H80" s="1">
        <v>7.3817799820000003</v>
      </c>
      <c r="I80" s="1">
        <v>35.578900740000002</v>
      </c>
      <c r="J80" s="1">
        <v>13.876413980000001</v>
      </c>
      <c r="K80" s="1">
        <v>41.266156469999999</v>
      </c>
      <c r="L80" s="1">
        <v>9.2785288060000006</v>
      </c>
      <c r="M80" s="1">
        <v>74.753651779999998</v>
      </c>
      <c r="N80" s="1">
        <v>12.27734182</v>
      </c>
      <c r="O80" s="1">
        <v>12.11485643</v>
      </c>
      <c r="P80" s="1">
        <v>0.85414997150000005</v>
      </c>
      <c r="Q80" s="2">
        <f t="shared" si="0"/>
        <v>5</v>
      </c>
      <c r="R80" s="1">
        <f t="shared" si="1"/>
        <v>0.35768756399999974</v>
      </c>
      <c r="S80" s="1">
        <f t="shared" si="2"/>
        <v>0.39926290199999953</v>
      </c>
      <c r="T80" s="1">
        <f t="shared" si="3"/>
        <v>-0.11228573799999993</v>
      </c>
      <c r="U80" s="1">
        <f t="shared" si="4"/>
        <v>44</v>
      </c>
      <c r="V80" s="3">
        <f t="shared" si="5"/>
        <v>36</v>
      </c>
      <c r="W80" s="3">
        <f t="shared" si="6"/>
        <v>75</v>
      </c>
      <c r="X80" s="3" t="str">
        <f t="shared" si="7"/>
        <v/>
      </c>
      <c r="Y80" s="3" t="str">
        <f t="shared" si="8"/>
        <v/>
      </c>
      <c r="Z80" s="1" t="str">
        <f t="shared" si="9"/>
        <v/>
      </c>
      <c r="AA80" s="3">
        <f t="shared" si="10"/>
        <v>0.51154863999999944</v>
      </c>
      <c r="AB80" s="3" t="str">
        <f>LOOKUP($A80,Sheet2!$A$1:$B$233)</f>
        <v>Sub-Saharan Africa</v>
      </c>
    </row>
    <row r="81" spans="1:28">
      <c r="A81" s="1" t="s">
        <v>75</v>
      </c>
      <c r="B81" s="1">
        <v>2020</v>
      </c>
      <c r="C81" s="1">
        <v>16425.859380000002</v>
      </c>
      <c r="D81" s="1">
        <v>23.520000459999999</v>
      </c>
      <c r="E81" s="1">
        <v>46.187534790000001</v>
      </c>
      <c r="F81" s="1">
        <v>14.74028929</v>
      </c>
      <c r="G81" s="1">
        <v>31.562457139999999</v>
      </c>
      <c r="H81" s="1">
        <v>7.5097187840000004</v>
      </c>
      <c r="I81" s="1">
        <v>37.575215249999999</v>
      </c>
      <c r="J81" s="1">
        <v>14.35396111</v>
      </c>
      <c r="K81" s="1">
        <v>38.524967609999997</v>
      </c>
      <c r="L81" s="1">
        <v>9.5458560269999992</v>
      </c>
      <c r="M81" s="1">
        <v>74.192223089999999</v>
      </c>
      <c r="N81" s="1">
        <v>15.99651381</v>
      </c>
      <c r="O81" s="1">
        <v>8.9224527210000009</v>
      </c>
      <c r="P81" s="1">
        <v>0.88881038430000003</v>
      </c>
      <c r="Q81" s="2" t="str">
        <f t="shared" si="0"/>
        <v/>
      </c>
      <c r="R81" s="1" t="str">
        <f t="shared" si="1"/>
        <v/>
      </c>
      <c r="S81" s="1" t="str">
        <f t="shared" si="2"/>
        <v/>
      </c>
      <c r="T81" s="1" t="str">
        <f t="shared" si="3"/>
        <v/>
      </c>
      <c r="U81" s="1">
        <f t="shared" si="4"/>
        <v>46</v>
      </c>
      <c r="V81" s="3">
        <f t="shared" si="5"/>
        <v>38</v>
      </c>
      <c r="W81" s="3">
        <f t="shared" si="6"/>
        <v>74</v>
      </c>
      <c r="X81" s="3" t="str">
        <f t="shared" si="7"/>
        <v/>
      </c>
      <c r="Y81" s="3" t="str">
        <f t="shared" si="8"/>
        <v/>
      </c>
      <c r="Z81" s="1" t="str">
        <f t="shared" si="9"/>
        <v/>
      </c>
      <c r="AA81" s="3" t="str">
        <f t="shared" si="10"/>
        <v/>
      </c>
      <c r="AB81" s="3" t="str">
        <f>LOOKUP($A81,Sheet2!$A$1:$B$233)</f>
        <v>Sub-Saharan Africa</v>
      </c>
    </row>
    <row r="82" spans="1:28">
      <c r="A82" s="1" t="s">
        <v>76</v>
      </c>
      <c r="B82" s="1">
        <v>2015</v>
      </c>
      <c r="C82" s="1">
        <v>165.38699339999999</v>
      </c>
      <c r="D82" s="1">
        <v>30.96199799</v>
      </c>
      <c r="E82" s="1">
        <v>94.15</v>
      </c>
      <c r="F82" s="1">
        <v>0</v>
      </c>
      <c r="G82" s="1">
        <v>5.85</v>
      </c>
      <c r="H82" s="1">
        <v>0</v>
      </c>
      <c r="I82" s="1" t="s">
        <v>272</v>
      </c>
      <c r="J82" s="1" t="s">
        <v>272</v>
      </c>
      <c r="K82" s="1" t="s">
        <v>272</v>
      </c>
      <c r="L82" s="1" t="s">
        <v>272</v>
      </c>
      <c r="M82" s="1" t="s">
        <v>272</v>
      </c>
      <c r="N82" s="1" t="s">
        <v>272</v>
      </c>
      <c r="O82" s="1" t="s">
        <v>272</v>
      </c>
      <c r="P82" s="1" t="s">
        <v>272</v>
      </c>
      <c r="Q82" s="2">
        <f t="shared" si="0"/>
        <v>2</v>
      </c>
      <c r="R82" s="1">
        <f t="shared" si="1"/>
        <v>0</v>
      </c>
      <c r="S82" s="1" t="str">
        <f t="shared" si="2"/>
        <v>null</v>
      </c>
      <c r="T82" s="1" t="str">
        <f t="shared" si="3"/>
        <v>null</v>
      </c>
      <c r="U82" s="1">
        <f t="shared" si="4"/>
        <v>94</v>
      </c>
      <c r="V82" s="3" t="str">
        <f t="shared" si="5"/>
        <v>null</v>
      </c>
      <c r="W82" s="3" t="str">
        <f t="shared" si="6"/>
        <v>null</v>
      </c>
      <c r="X82" s="3" t="str">
        <f t="shared" si="7"/>
        <v/>
      </c>
      <c r="Y82" s="3" t="str">
        <f t="shared" si="8"/>
        <v/>
      </c>
      <c r="Z82" s="1" t="str">
        <f t="shared" si="9"/>
        <v/>
      </c>
      <c r="AA82" s="3" t="str">
        <f t="shared" si="10"/>
        <v>null</v>
      </c>
      <c r="AB82" s="3" t="str">
        <f>LOOKUP($A82,Sheet2!$A$1:$B$233)</f>
        <v>Europe &amp; Central Asia</v>
      </c>
    </row>
    <row r="83" spans="1:28">
      <c r="A83" s="1" t="s">
        <v>76</v>
      </c>
      <c r="B83" s="1">
        <v>2017</v>
      </c>
      <c r="C83" s="1">
        <v>168.6660004</v>
      </c>
      <c r="D83" s="1">
        <v>30.913999560000001</v>
      </c>
      <c r="E83" s="1">
        <v>94.15</v>
      </c>
      <c r="F83" s="1">
        <v>0</v>
      </c>
      <c r="G83" s="1">
        <v>5.85</v>
      </c>
      <c r="H83" s="1">
        <v>0</v>
      </c>
      <c r="I83" s="1" t="s">
        <v>272</v>
      </c>
      <c r="J83" s="1" t="s">
        <v>272</v>
      </c>
      <c r="K83" s="1" t="s">
        <v>272</v>
      </c>
      <c r="L83" s="1" t="s">
        <v>272</v>
      </c>
      <c r="M83" s="1" t="s">
        <v>272</v>
      </c>
      <c r="N83" s="1" t="s">
        <v>272</v>
      </c>
      <c r="O83" s="1" t="s">
        <v>272</v>
      </c>
      <c r="P83" s="1" t="s">
        <v>272</v>
      </c>
      <c r="Q83" s="2" t="str">
        <f t="shared" si="0"/>
        <v/>
      </c>
      <c r="R83" s="1" t="str">
        <f t="shared" si="1"/>
        <v/>
      </c>
      <c r="S83" s="1" t="str">
        <f t="shared" si="2"/>
        <v/>
      </c>
      <c r="T83" s="1" t="str">
        <f t="shared" si="3"/>
        <v/>
      </c>
      <c r="U83" s="1">
        <f t="shared" si="4"/>
        <v>94</v>
      </c>
      <c r="V83" s="3" t="str">
        <f t="shared" si="5"/>
        <v>null</v>
      </c>
      <c r="W83" s="3" t="str">
        <f t="shared" si="6"/>
        <v>null</v>
      </c>
      <c r="X83" s="3" t="str">
        <f t="shared" si="7"/>
        <v/>
      </c>
      <c r="Y83" s="3" t="str">
        <f t="shared" si="8"/>
        <v/>
      </c>
      <c r="Z83" s="1" t="str">
        <f t="shared" si="9"/>
        <v/>
      </c>
      <c r="AA83" s="3" t="str">
        <f t="shared" si="10"/>
        <v/>
      </c>
      <c r="AB83" s="3" t="str">
        <f>LOOKUP($A83,Sheet2!$A$1:$B$233)</f>
        <v>Europe &amp; Central Asia</v>
      </c>
    </row>
    <row r="84" spans="1:28">
      <c r="A84" s="1" t="s">
        <v>77</v>
      </c>
      <c r="B84" s="1">
        <v>2015</v>
      </c>
      <c r="C84" s="1">
        <v>17969.355469999999</v>
      </c>
      <c r="D84" s="1">
        <v>87.36000061</v>
      </c>
      <c r="E84" s="1">
        <v>99.506492719999997</v>
      </c>
      <c r="F84" s="1">
        <v>0</v>
      </c>
      <c r="G84" s="1">
        <v>0.49350727579999998</v>
      </c>
      <c r="H84" s="1">
        <v>0</v>
      </c>
      <c r="I84" s="1">
        <v>97.067698500000006</v>
      </c>
      <c r="J84" s="1">
        <v>0</v>
      </c>
      <c r="K84" s="1">
        <v>2.9323014980000002</v>
      </c>
      <c r="L84" s="1">
        <v>0</v>
      </c>
      <c r="M84" s="1">
        <v>99.859356980000001</v>
      </c>
      <c r="N84" s="1">
        <v>0</v>
      </c>
      <c r="O84" s="1">
        <v>0.1406430186</v>
      </c>
      <c r="P84" s="1">
        <v>0</v>
      </c>
      <c r="Q84" s="2">
        <f t="shared" si="0"/>
        <v>5</v>
      </c>
      <c r="R84" s="1">
        <f t="shared" si="1"/>
        <v>9.8701199999999295E-2</v>
      </c>
      <c r="S84" s="1">
        <f t="shared" si="2"/>
        <v>0.58646029999999882</v>
      </c>
      <c r="T84" s="1">
        <f t="shared" si="3"/>
        <v>2.8128603999999769E-2</v>
      </c>
      <c r="U84" s="1">
        <f t="shared" si="4"/>
        <v>100</v>
      </c>
      <c r="V84" s="3">
        <f t="shared" si="5"/>
        <v>97</v>
      </c>
      <c r="W84" s="3">
        <f t="shared" si="6"/>
        <v>100</v>
      </c>
      <c r="X84" s="3" t="str">
        <f t="shared" si="7"/>
        <v>fullaccesss</v>
      </c>
      <c r="Y84" s="3" t="str">
        <f t="shared" si="8"/>
        <v/>
      </c>
      <c r="Z84" s="1" t="str">
        <f t="shared" si="9"/>
        <v>fullaccesss</v>
      </c>
      <c r="AA84" s="3">
        <f t="shared" si="10"/>
        <v>0.5583316959999991</v>
      </c>
      <c r="AB84" s="3" t="str">
        <f>LOOKUP($A84,Sheet2!$A$1:$B$233)</f>
        <v>Latin America &amp; Caribbean</v>
      </c>
    </row>
    <row r="85" spans="1:28">
      <c r="A85" s="1" t="s">
        <v>77</v>
      </c>
      <c r="B85" s="1">
        <v>2020</v>
      </c>
      <c r="C85" s="1">
        <v>19116.208979999999</v>
      </c>
      <c r="D85" s="1">
        <v>87.72699738</v>
      </c>
      <c r="E85" s="1">
        <v>99.999998719999994</v>
      </c>
      <c r="F85" s="1">
        <v>0</v>
      </c>
      <c r="G85" s="1">
        <v>1.2771393330000001E-6</v>
      </c>
      <c r="H85" s="1">
        <v>0</v>
      </c>
      <c r="I85" s="1">
        <v>100</v>
      </c>
      <c r="J85" s="1">
        <v>0</v>
      </c>
      <c r="K85" s="1">
        <v>0</v>
      </c>
      <c r="L85" s="1">
        <v>0</v>
      </c>
      <c r="M85" s="1">
        <v>100</v>
      </c>
      <c r="N85" s="1">
        <v>0</v>
      </c>
      <c r="O85" s="1">
        <v>0</v>
      </c>
      <c r="P85" s="1">
        <v>0</v>
      </c>
      <c r="Q85" s="2" t="str">
        <f t="shared" si="0"/>
        <v/>
      </c>
      <c r="R85" s="1" t="str">
        <f t="shared" si="1"/>
        <v/>
      </c>
      <c r="S85" s="1" t="str">
        <f t="shared" si="2"/>
        <v/>
      </c>
      <c r="T85" s="1" t="str">
        <f t="shared" si="3"/>
        <v/>
      </c>
      <c r="U85" s="1">
        <f t="shared" si="4"/>
        <v>100</v>
      </c>
      <c r="V85" s="3">
        <f t="shared" si="5"/>
        <v>100</v>
      </c>
      <c r="W85" s="3">
        <f t="shared" si="6"/>
        <v>100</v>
      </c>
      <c r="X85" s="3" t="str">
        <f t="shared" si="7"/>
        <v/>
      </c>
      <c r="Y85" s="3" t="str">
        <f t="shared" si="8"/>
        <v/>
      </c>
      <c r="Z85" s="1" t="str">
        <f t="shared" si="9"/>
        <v/>
      </c>
      <c r="AA85" s="3" t="str">
        <f t="shared" si="10"/>
        <v/>
      </c>
      <c r="AB85" s="3" t="str">
        <f>LOOKUP($A85,Sheet2!$A$1:$B$233)</f>
        <v>Latin America &amp; Caribbean</v>
      </c>
    </row>
    <row r="86" spans="1:28">
      <c r="A86" s="1" t="s">
        <v>78</v>
      </c>
      <c r="B86" s="1">
        <v>2015</v>
      </c>
      <c r="C86" s="1">
        <v>1430405.375</v>
      </c>
      <c r="D86" s="1">
        <v>55.852706910000002</v>
      </c>
      <c r="E86" s="1">
        <v>91.76264123</v>
      </c>
      <c r="F86" s="1">
        <v>0.81876266180000001</v>
      </c>
      <c r="G86" s="1">
        <v>6.7820774070000001</v>
      </c>
      <c r="H86" s="1">
        <v>0.63651870079999995</v>
      </c>
      <c r="I86" s="1">
        <v>84.479187920000001</v>
      </c>
      <c r="J86" s="1">
        <v>1.51186307</v>
      </c>
      <c r="K86" s="1">
        <v>12.952949009999999</v>
      </c>
      <c r="L86" s="1">
        <v>1.056</v>
      </c>
      <c r="M86" s="1">
        <v>97.519653969999993</v>
      </c>
      <c r="N86" s="1">
        <v>0.27091980389999998</v>
      </c>
      <c r="O86" s="1">
        <v>1.9044754100000001</v>
      </c>
      <c r="P86" s="1">
        <v>0.30495081969999999</v>
      </c>
      <c r="Q86" s="2">
        <f t="shared" si="0"/>
        <v>5</v>
      </c>
      <c r="R86" s="1">
        <f t="shared" si="1"/>
        <v>0.49969387200000026</v>
      </c>
      <c r="S86" s="1">
        <f t="shared" si="2"/>
        <v>1.0364091180000004</v>
      </c>
      <c r="T86" s="1">
        <f t="shared" si="3"/>
        <v>-8.0954259999998612E-2</v>
      </c>
      <c r="U86" s="1">
        <f t="shared" si="4"/>
        <v>92</v>
      </c>
      <c r="V86" s="3">
        <f t="shared" si="5"/>
        <v>84</v>
      </c>
      <c r="W86" s="3">
        <f t="shared" si="6"/>
        <v>98</v>
      </c>
      <c r="X86" s="3" t="str">
        <f t="shared" si="7"/>
        <v/>
      </c>
      <c r="Y86" s="3" t="str">
        <f t="shared" si="8"/>
        <v/>
      </c>
      <c r="Z86" s="1" t="str">
        <f t="shared" si="9"/>
        <v/>
      </c>
      <c r="AA86" s="3">
        <f t="shared" si="10"/>
        <v>1.117363377999999</v>
      </c>
      <c r="AB86" s="3" t="str">
        <f>LOOKUP($A86,Sheet2!$A$1:$B$233)</f>
        <v>East Asia &amp; Pacific</v>
      </c>
    </row>
    <row r="87" spans="1:28">
      <c r="A87" s="1" t="s">
        <v>78</v>
      </c>
      <c r="B87" s="1">
        <v>2020</v>
      </c>
      <c r="C87" s="1">
        <v>1463140.5</v>
      </c>
      <c r="D87" s="1">
        <v>61.713088990000003</v>
      </c>
      <c r="E87" s="1">
        <v>94.261110590000001</v>
      </c>
      <c r="F87" s="1">
        <v>0.8147213297</v>
      </c>
      <c r="G87" s="1">
        <v>4.725451938</v>
      </c>
      <c r="H87" s="1">
        <v>0.19871614409999999</v>
      </c>
      <c r="I87" s="1">
        <v>89.661233510000002</v>
      </c>
      <c r="J87" s="1">
        <v>1.832679086</v>
      </c>
      <c r="K87" s="1">
        <v>8.5060874089999992</v>
      </c>
      <c r="L87" s="1">
        <v>0</v>
      </c>
      <c r="M87" s="1">
        <v>97.11488267</v>
      </c>
      <c r="N87" s="1">
        <v>0.1831784927</v>
      </c>
      <c r="O87" s="1">
        <v>2.3799388399999999</v>
      </c>
      <c r="P87" s="1">
        <v>0.32200000000000001</v>
      </c>
      <c r="Q87" s="2" t="str">
        <f t="shared" si="0"/>
        <v/>
      </c>
      <c r="R87" s="1" t="str">
        <f t="shared" si="1"/>
        <v/>
      </c>
      <c r="S87" s="1" t="str">
        <f t="shared" si="2"/>
        <v/>
      </c>
      <c r="T87" s="1" t="str">
        <f t="shared" si="3"/>
        <v/>
      </c>
      <c r="U87" s="1">
        <f t="shared" si="4"/>
        <v>94</v>
      </c>
      <c r="V87" s="3">
        <f t="shared" si="5"/>
        <v>90</v>
      </c>
      <c r="W87" s="3">
        <f t="shared" si="6"/>
        <v>97</v>
      </c>
      <c r="X87" s="3" t="str">
        <f t="shared" si="7"/>
        <v/>
      </c>
      <c r="Y87" s="3" t="str">
        <f t="shared" si="8"/>
        <v/>
      </c>
      <c r="Z87" s="1" t="str">
        <f t="shared" si="9"/>
        <v/>
      </c>
      <c r="AA87" s="3" t="str">
        <f t="shared" si="10"/>
        <v/>
      </c>
      <c r="AB87" s="3" t="str">
        <f>LOOKUP($A87,Sheet2!$A$1:$B$233)</f>
        <v>East Asia &amp; Pacific</v>
      </c>
    </row>
    <row r="88" spans="1:28">
      <c r="A88" s="1" t="s">
        <v>79</v>
      </c>
      <c r="B88" s="1">
        <v>2015</v>
      </c>
      <c r="C88" s="1">
        <v>7185.9921880000002</v>
      </c>
      <c r="D88" s="1">
        <v>100</v>
      </c>
      <c r="E88" s="1">
        <v>100</v>
      </c>
      <c r="F88" s="1">
        <v>0</v>
      </c>
      <c r="G88" s="1">
        <v>0</v>
      </c>
      <c r="H88" s="1">
        <v>0</v>
      </c>
      <c r="I88" s="1" t="s">
        <v>272</v>
      </c>
      <c r="J88" s="1" t="s">
        <v>272</v>
      </c>
      <c r="K88" s="1" t="s">
        <v>272</v>
      </c>
      <c r="L88" s="1" t="s">
        <v>272</v>
      </c>
      <c r="M88" s="1">
        <v>100</v>
      </c>
      <c r="N88" s="1">
        <v>0</v>
      </c>
      <c r="O88" s="1">
        <v>0</v>
      </c>
      <c r="P88" s="1">
        <v>0</v>
      </c>
      <c r="Q88" s="2">
        <f t="shared" si="0"/>
        <v>5</v>
      </c>
      <c r="R88" s="1">
        <f t="shared" si="1"/>
        <v>0</v>
      </c>
      <c r="S88" s="1" t="str">
        <f t="shared" si="2"/>
        <v>null</v>
      </c>
      <c r="T88" s="1">
        <f t="shared" si="3"/>
        <v>0</v>
      </c>
      <c r="U88" s="1">
        <f t="shared" si="4"/>
        <v>100</v>
      </c>
      <c r="V88" s="3" t="str">
        <f t="shared" si="5"/>
        <v>null</v>
      </c>
      <c r="W88" s="3">
        <f t="shared" si="6"/>
        <v>100</v>
      </c>
      <c r="X88" s="3" t="str">
        <f t="shared" si="7"/>
        <v>fullaccesss</v>
      </c>
      <c r="Y88" s="3" t="str">
        <f t="shared" si="8"/>
        <v/>
      </c>
      <c r="Z88" s="1" t="str">
        <f t="shared" si="9"/>
        <v>fullaccesss</v>
      </c>
      <c r="AA88" s="3" t="str">
        <f t="shared" si="10"/>
        <v>null</v>
      </c>
      <c r="AB88" s="3" t="str">
        <f>LOOKUP($A88,Sheet2!$A$1:$B$233)</f>
        <v>East Asia &amp; Pacific</v>
      </c>
    </row>
    <row r="89" spans="1:28">
      <c r="A89" s="1" t="s">
        <v>79</v>
      </c>
      <c r="B89" s="1">
        <v>2020</v>
      </c>
      <c r="C89" s="1">
        <v>7496.9877930000002</v>
      </c>
      <c r="D89" s="1">
        <v>100</v>
      </c>
      <c r="E89" s="1">
        <v>100</v>
      </c>
      <c r="F89" s="1">
        <v>0</v>
      </c>
      <c r="G89" s="1">
        <v>0</v>
      </c>
      <c r="H89" s="1">
        <v>0</v>
      </c>
      <c r="I89" s="1" t="s">
        <v>272</v>
      </c>
      <c r="J89" s="1" t="s">
        <v>272</v>
      </c>
      <c r="K89" s="1" t="s">
        <v>272</v>
      </c>
      <c r="L89" s="1" t="s">
        <v>272</v>
      </c>
      <c r="M89" s="1">
        <v>100</v>
      </c>
      <c r="N89" s="1">
        <v>0</v>
      </c>
      <c r="O89" s="1">
        <v>0</v>
      </c>
      <c r="P89" s="1">
        <v>0</v>
      </c>
      <c r="Q89" s="2" t="str">
        <f t="shared" si="0"/>
        <v/>
      </c>
      <c r="R89" s="1" t="str">
        <f t="shared" si="1"/>
        <v/>
      </c>
      <c r="S89" s="1" t="str">
        <f t="shared" si="2"/>
        <v/>
      </c>
      <c r="T89" s="1" t="str">
        <f t="shared" si="3"/>
        <v/>
      </c>
      <c r="U89" s="1">
        <f t="shared" si="4"/>
        <v>100</v>
      </c>
      <c r="V89" s="3" t="str">
        <f t="shared" si="5"/>
        <v>null</v>
      </c>
      <c r="W89" s="3">
        <f t="shared" si="6"/>
        <v>100</v>
      </c>
      <c r="X89" s="3" t="str">
        <f t="shared" si="7"/>
        <v/>
      </c>
      <c r="Y89" s="3" t="str">
        <f t="shared" si="8"/>
        <v/>
      </c>
      <c r="Z89" s="1" t="str">
        <f t="shared" si="9"/>
        <v/>
      </c>
      <c r="AA89" s="3" t="str">
        <f t="shared" si="10"/>
        <v/>
      </c>
      <c r="AB89" s="3" t="str">
        <f>LOOKUP($A89,Sheet2!$A$1:$B$233)</f>
        <v>East Asia &amp; Pacific</v>
      </c>
    </row>
    <row r="90" spans="1:28">
      <c r="A90" s="1" t="s">
        <v>80</v>
      </c>
      <c r="B90" s="1">
        <v>2015</v>
      </c>
      <c r="C90" s="1">
        <v>602.09301760000005</v>
      </c>
      <c r="D90" s="1">
        <v>100</v>
      </c>
      <c r="E90" s="1">
        <v>100</v>
      </c>
      <c r="F90" s="1">
        <v>0</v>
      </c>
      <c r="G90" s="1">
        <v>0</v>
      </c>
      <c r="H90" s="1">
        <v>0</v>
      </c>
      <c r="I90" s="1" t="s">
        <v>272</v>
      </c>
      <c r="J90" s="1" t="s">
        <v>272</v>
      </c>
      <c r="K90" s="1" t="s">
        <v>272</v>
      </c>
      <c r="L90" s="1" t="s">
        <v>272</v>
      </c>
      <c r="M90" s="1">
        <v>100</v>
      </c>
      <c r="N90" s="1">
        <v>0</v>
      </c>
      <c r="O90" s="1">
        <v>0</v>
      </c>
      <c r="P90" s="1">
        <v>0</v>
      </c>
      <c r="Q90" s="2">
        <f t="shared" si="0"/>
        <v>5</v>
      </c>
      <c r="R90" s="1">
        <f t="shared" si="1"/>
        <v>0</v>
      </c>
      <c r="S90" s="1" t="str">
        <f t="shared" si="2"/>
        <v>null</v>
      </c>
      <c r="T90" s="1">
        <f t="shared" si="3"/>
        <v>0</v>
      </c>
      <c r="U90" s="1">
        <f t="shared" si="4"/>
        <v>100</v>
      </c>
      <c r="V90" s="3" t="str">
        <f t="shared" si="5"/>
        <v>null</v>
      </c>
      <c r="W90" s="3">
        <f t="shared" si="6"/>
        <v>100</v>
      </c>
      <c r="X90" s="3" t="str">
        <f t="shared" si="7"/>
        <v>fullaccesss</v>
      </c>
      <c r="Y90" s="3" t="str">
        <f t="shared" si="8"/>
        <v/>
      </c>
      <c r="Z90" s="1" t="str">
        <f t="shared" si="9"/>
        <v>fullaccesss</v>
      </c>
      <c r="AA90" s="3" t="str">
        <f t="shared" si="10"/>
        <v>null</v>
      </c>
      <c r="AB90" s="3" t="str">
        <f>LOOKUP($A90,Sheet2!$A$1:$B$233)</f>
        <v>East Asia &amp; Pacific</v>
      </c>
    </row>
    <row r="91" spans="1:28">
      <c r="A91" s="1" t="s">
        <v>80</v>
      </c>
      <c r="B91" s="1">
        <v>2020</v>
      </c>
      <c r="C91" s="1">
        <v>649.34198000000004</v>
      </c>
      <c r="D91" s="1">
        <v>100</v>
      </c>
      <c r="E91" s="1">
        <v>100</v>
      </c>
      <c r="F91" s="1">
        <v>0</v>
      </c>
      <c r="G91" s="1">
        <v>0</v>
      </c>
      <c r="H91" s="1">
        <v>0</v>
      </c>
      <c r="I91" s="1" t="s">
        <v>272</v>
      </c>
      <c r="J91" s="1" t="s">
        <v>272</v>
      </c>
      <c r="K91" s="1" t="s">
        <v>272</v>
      </c>
      <c r="L91" s="1" t="s">
        <v>272</v>
      </c>
      <c r="M91" s="1">
        <v>100</v>
      </c>
      <c r="N91" s="1">
        <v>0</v>
      </c>
      <c r="O91" s="1">
        <v>0</v>
      </c>
      <c r="P91" s="1">
        <v>0</v>
      </c>
      <c r="Q91" s="2" t="str">
        <f t="shared" si="0"/>
        <v/>
      </c>
      <c r="R91" s="1" t="str">
        <f t="shared" si="1"/>
        <v/>
      </c>
      <c r="S91" s="1" t="str">
        <f t="shared" si="2"/>
        <v/>
      </c>
      <c r="T91" s="1" t="str">
        <f t="shared" si="3"/>
        <v/>
      </c>
      <c r="U91" s="1">
        <f t="shared" si="4"/>
        <v>100</v>
      </c>
      <c r="V91" s="3" t="str">
        <f t="shared" si="5"/>
        <v>null</v>
      </c>
      <c r="W91" s="3">
        <f t="shared" si="6"/>
        <v>100</v>
      </c>
      <c r="X91" s="3" t="str">
        <f t="shared" si="7"/>
        <v/>
      </c>
      <c r="Y91" s="3" t="str">
        <f t="shared" si="8"/>
        <v/>
      </c>
      <c r="Z91" s="1" t="str">
        <f t="shared" si="9"/>
        <v/>
      </c>
      <c r="AA91" s="3" t="str">
        <f t="shared" si="10"/>
        <v/>
      </c>
      <c r="AB91" s="3" t="str">
        <f>LOOKUP($A91,Sheet2!$A$1:$B$233)</f>
        <v>East Asia &amp; Pacific</v>
      </c>
    </row>
    <row r="92" spans="1:28">
      <c r="A92" s="1" t="s">
        <v>81</v>
      </c>
      <c r="B92" s="1">
        <v>2015</v>
      </c>
      <c r="C92" s="1">
        <v>47520.667970000002</v>
      </c>
      <c r="D92" s="1">
        <v>79.763999940000005</v>
      </c>
      <c r="E92" s="1">
        <v>96.335868120000001</v>
      </c>
      <c r="F92" s="1">
        <v>0.1840519904</v>
      </c>
      <c r="G92" s="1">
        <v>1.7034450619999999</v>
      </c>
      <c r="H92" s="1">
        <v>1.7766348270000001</v>
      </c>
      <c r="I92" s="1">
        <v>83.273725850000005</v>
      </c>
      <c r="J92" s="1">
        <v>0.68766562610000004</v>
      </c>
      <c r="K92" s="1">
        <v>7.2590323550000004</v>
      </c>
      <c r="L92" s="1">
        <v>8.7795761720000005</v>
      </c>
      <c r="M92" s="1">
        <v>99.649712370000003</v>
      </c>
      <c r="N92" s="1">
        <v>5.6286030219999998E-2</v>
      </c>
      <c r="O92" s="1">
        <v>0.29400160289999999</v>
      </c>
      <c r="P92" s="1">
        <v>0</v>
      </c>
      <c r="Q92" s="2">
        <f t="shared" si="0"/>
        <v>5</v>
      </c>
      <c r="R92" s="1">
        <f t="shared" si="1"/>
        <v>0.23115779800000097</v>
      </c>
      <c r="S92" s="1">
        <f t="shared" si="2"/>
        <v>0.69866939399999806</v>
      </c>
      <c r="T92" s="1">
        <f t="shared" si="3"/>
        <v>5.7696085999998557E-2</v>
      </c>
      <c r="U92" s="1">
        <f t="shared" si="4"/>
        <v>96</v>
      </c>
      <c r="V92" s="3">
        <f t="shared" si="5"/>
        <v>83</v>
      </c>
      <c r="W92" s="3">
        <f t="shared" si="6"/>
        <v>100</v>
      </c>
      <c r="X92" s="3" t="str">
        <f t="shared" si="7"/>
        <v/>
      </c>
      <c r="Y92" s="3" t="str">
        <f t="shared" si="8"/>
        <v/>
      </c>
      <c r="Z92" s="1" t="str">
        <f t="shared" si="9"/>
        <v>fullaccesss</v>
      </c>
      <c r="AA92" s="3">
        <f t="shared" si="10"/>
        <v>0.64097330799999952</v>
      </c>
      <c r="AB92" s="3" t="str">
        <f>LOOKUP($A92,Sheet2!$A$1:$B$233)</f>
        <v>Latin America &amp; Caribbean</v>
      </c>
    </row>
    <row r="93" spans="1:28">
      <c r="A93" s="1" t="s">
        <v>81</v>
      </c>
      <c r="B93" s="1">
        <v>2020</v>
      </c>
      <c r="C93" s="1">
        <v>50882.882810000003</v>
      </c>
      <c r="D93" s="1">
        <v>81.424995420000002</v>
      </c>
      <c r="E93" s="1">
        <v>97.491657110000006</v>
      </c>
      <c r="F93" s="1">
        <v>0.18615215909999999</v>
      </c>
      <c r="G93" s="1">
        <v>0.95361622280000002</v>
      </c>
      <c r="H93" s="1">
        <v>1.3685745119999999</v>
      </c>
      <c r="I93" s="1">
        <v>86.767072819999996</v>
      </c>
      <c r="J93" s="1">
        <v>0.73122820160000002</v>
      </c>
      <c r="K93" s="1">
        <v>5.13386897</v>
      </c>
      <c r="L93" s="1">
        <v>7.3678300050000001</v>
      </c>
      <c r="M93" s="1">
        <v>99.938192799999996</v>
      </c>
      <c r="N93" s="1">
        <v>6.18072E-2</v>
      </c>
      <c r="O93" s="1">
        <v>0</v>
      </c>
      <c r="P93" s="1">
        <v>0</v>
      </c>
      <c r="Q93" s="2" t="str">
        <f t="shared" si="0"/>
        <v/>
      </c>
      <c r="R93" s="1" t="str">
        <f t="shared" si="1"/>
        <v/>
      </c>
      <c r="S93" s="1" t="str">
        <f t="shared" si="2"/>
        <v/>
      </c>
      <c r="T93" s="1" t="str">
        <f t="shared" si="3"/>
        <v/>
      </c>
      <c r="U93" s="1">
        <f t="shared" si="4"/>
        <v>97</v>
      </c>
      <c r="V93" s="3">
        <f t="shared" si="5"/>
        <v>87</v>
      </c>
      <c r="W93" s="3">
        <f t="shared" si="6"/>
        <v>100</v>
      </c>
      <c r="X93" s="3" t="str">
        <f t="shared" si="7"/>
        <v/>
      </c>
      <c r="Y93" s="3" t="str">
        <f t="shared" si="8"/>
        <v/>
      </c>
      <c r="Z93" s="1" t="str">
        <f t="shared" si="9"/>
        <v/>
      </c>
      <c r="AA93" s="3" t="str">
        <f t="shared" si="10"/>
        <v/>
      </c>
      <c r="AB93" s="3" t="str">
        <f>LOOKUP($A93,Sheet2!$A$1:$B$233)</f>
        <v>Latin America &amp; Caribbean</v>
      </c>
    </row>
    <row r="94" spans="1:28">
      <c r="A94" s="1" t="s">
        <v>82</v>
      </c>
      <c r="B94" s="1">
        <v>2015</v>
      </c>
      <c r="C94" s="1">
        <v>777.43499759999997</v>
      </c>
      <c r="D94" s="1">
        <v>28.47000122</v>
      </c>
      <c r="E94" s="1">
        <v>80.132000079999997</v>
      </c>
      <c r="F94" s="1">
        <v>10.877265</v>
      </c>
      <c r="G94" s="1">
        <v>8.3951934319999992</v>
      </c>
      <c r="H94" s="1">
        <v>0.59554149119999999</v>
      </c>
      <c r="I94" s="1">
        <v>76.911723449999997</v>
      </c>
      <c r="J94" s="1">
        <v>11.568647240000001</v>
      </c>
      <c r="K94" s="1">
        <v>10.82245445</v>
      </c>
      <c r="L94" s="1">
        <v>0.69717485830000003</v>
      </c>
      <c r="M94" s="1">
        <v>88.222845579999998</v>
      </c>
      <c r="N94" s="1">
        <v>9.1401884950000003</v>
      </c>
      <c r="O94" s="1">
        <v>2.2967751299999999</v>
      </c>
      <c r="P94" s="1">
        <v>0.34019079699999999</v>
      </c>
      <c r="Q94" s="2">
        <f t="shared" si="0"/>
        <v>4</v>
      </c>
      <c r="R94" s="1">
        <f t="shared" si="1"/>
        <v>1.9624432500002342E-2</v>
      </c>
      <c r="S94" s="1">
        <f t="shared" si="2"/>
        <v>0</v>
      </c>
      <c r="T94" s="1">
        <f t="shared" si="3"/>
        <v>0</v>
      </c>
      <c r="U94" s="1">
        <f t="shared" si="4"/>
        <v>80</v>
      </c>
      <c r="V94" s="3">
        <f t="shared" si="5"/>
        <v>77</v>
      </c>
      <c r="W94" s="3">
        <f t="shared" si="6"/>
        <v>88</v>
      </c>
      <c r="X94" s="3" t="str">
        <f t="shared" si="7"/>
        <v/>
      </c>
      <c r="Y94" s="3" t="str">
        <f t="shared" si="8"/>
        <v/>
      </c>
      <c r="Z94" s="1" t="str">
        <f t="shared" si="9"/>
        <v/>
      </c>
      <c r="AA94" s="3">
        <f t="shared" si="10"/>
        <v>0</v>
      </c>
      <c r="AB94" s="3" t="str">
        <f>LOOKUP($A94,Sheet2!$A$1:$B$233)</f>
        <v>Sub-Saharan Africa</v>
      </c>
    </row>
    <row r="95" spans="1:28">
      <c r="A95" s="1" t="s">
        <v>82</v>
      </c>
      <c r="B95" s="1">
        <v>2019</v>
      </c>
      <c r="C95" s="1">
        <v>850.89099120000003</v>
      </c>
      <c r="D95" s="1">
        <v>29.164001460000001</v>
      </c>
      <c r="E95" s="1">
        <v>80.210497810000007</v>
      </c>
      <c r="F95" s="1">
        <v>10.86041131</v>
      </c>
      <c r="G95" s="1">
        <v>8.9290908879999993</v>
      </c>
      <c r="H95" s="1" t="s">
        <v>272</v>
      </c>
      <c r="I95" s="1">
        <v>76.911723449999997</v>
      </c>
      <c r="J95" s="1">
        <v>11.568647240000001</v>
      </c>
      <c r="K95" s="1">
        <v>11.519629309999999</v>
      </c>
      <c r="L95" s="1" t="s">
        <v>272</v>
      </c>
      <c r="M95" s="1">
        <v>88.222845579999998</v>
      </c>
      <c r="N95" s="1">
        <v>9.1401884950000003</v>
      </c>
      <c r="O95" s="1">
        <v>2.2967751299999999</v>
      </c>
      <c r="P95" s="1">
        <v>0.34019079699999999</v>
      </c>
      <c r="Q95" s="2" t="str">
        <f t="shared" si="0"/>
        <v/>
      </c>
      <c r="R95" s="1" t="str">
        <f t="shared" si="1"/>
        <v/>
      </c>
      <c r="S95" s="1" t="str">
        <f t="shared" si="2"/>
        <v/>
      </c>
      <c r="T95" s="1" t="str">
        <f t="shared" si="3"/>
        <v/>
      </c>
      <c r="U95" s="1">
        <f t="shared" si="4"/>
        <v>80</v>
      </c>
      <c r="V95" s="3">
        <f t="shared" si="5"/>
        <v>77</v>
      </c>
      <c r="W95" s="3">
        <f t="shared" si="6"/>
        <v>88</v>
      </c>
      <c r="X95" s="3" t="str">
        <f t="shared" si="7"/>
        <v/>
      </c>
      <c r="Y95" s="3" t="str">
        <f t="shared" si="8"/>
        <v/>
      </c>
      <c r="Z95" s="1" t="str">
        <f t="shared" si="9"/>
        <v/>
      </c>
      <c r="AA95" s="3" t="str">
        <f t="shared" si="10"/>
        <v/>
      </c>
      <c r="AB95" s="3" t="str">
        <f>LOOKUP($A95,Sheet2!$A$1:$B$233)</f>
        <v>Sub-Saharan Africa</v>
      </c>
    </row>
    <row r="96" spans="1:28">
      <c r="A96" s="1" t="s">
        <v>83</v>
      </c>
      <c r="B96" s="1">
        <v>2015</v>
      </c>
      <c r="C96" s="1">
        <v>4856.0927730000003</v>
      </c>
      <c r="D96" s="1">
        <v>65.542999269999996</v>
      </c>
      <c r="E96" s="1">
        <v>71.149581769999998</v>
      </c>
      <c r="F96" s="1">
        <v>10.510526049999999</v>
      </c>
      <c r="G96" s="1">
        <v>11.662046309999999</v>
      </c>
      <c r="H96" s="1">
        <v>6.6778458760000001</v>
      </c>
      <c r="I96" s="1">
        <v>41.39183594</v>
      </c>
      <c r="J96" s="1">
        <v>10.739572649999999</v>
      </c>
      <c r="K96" s="1">
        <v>28.501848710000001</v>
      </c>
      <c r="L96" s="1">
        <v>19.366742689999999</v>
      </c>
      <c r="M96" s="1">
        <v>86.793705160000002</v>
      </c>
      <c r="N96" s="1">
        <v>10.390112999999999</v>
      </c>
      <c r="O96" s="1">
        <v>2.809090742</v>
      </c>
      <c r="P96" s="1">
        <v>7.0910958900000003E-3</v>
      </c>
      <c r="Q96" s="2">
        <f t="shared" si="0"/>
        <v>5</v>
      </c>
      <c r="R96" s="1">
        <f t="shared" si="1"/>
        <v>0.52698596200000059</v>
      </c>
      <c r="S96" s="1">
        <f t="shared" si="2"/>
        <v>0.8665154479999998</v>
      </c>
      <c r="T96" s="1">
        <f t="shared" si="3"/>
        <v>5.9918199999998478E-2</v>
      </c>
      <c r="U96" s="1">
        <f t="shared" si="4"/>
        <v>71</v>
      </c>
      <c r="V96" s="3">
        <f t="shared" si="5"/>
        <v>41</v>
      </c>
      <c r="W96" s="3">
        <f t="shared" si="6"/>
        <v>87</v>
      </c>
      <c r="X96" s="3" t="str">
        <f t="shared" si="7"/>
        <v/>
      </c>
      <c r="Y96" s="3" t="str">
        <f t="shared" si="8"/>
        <v/>
      </c>
      <c r="Z96" s="1" t="str">
        <f t="shared" si="9"/>
        <v/>
      </c>
      <c r="AA96" s="3">
        <f t="shared" si="10"/>
        <v>0.80659724800000132</v>
      </c>
      <c r="AB96" s="3" t="str">
        <f>LOOKUP($A96,Sheet2!$A$1:$B$233)</f>
        <v>Sub-Saharan Africa</v>
      </c>
    </row>
    <row r="97" spans="1:28">
      <c r="A97" s="1" t="s">
        <v>83</v>
      </c>
      <c r="B97" s="1">
        <v>2020</v>
      </c>
      <c r="C97" s="1">
        <v>5518.091797</v>
      </c>
      <c r="D97" s="1">
        <v>67.829002380000006</v>
      </c>
      <c r="E97" s="1">
        <v>73.78451158</v>
      </c>
      <c r="F97" s="1">
        <v>10.46117203</v>
      </c>
      <c r="G97" s="1">
        <v>9.5591807220000007</v>
      </c>
      <c r="H97" s="1">
        <v>6.1951356640000004</v>
      </c>
      <c r="I97" s="1">
        <v>45.724413179999999</v>
      </c>
      <c r="J97" s="1">
        <v>10.6323901</v>
      </c>
      <c r="K97" s="1">
        <v>24.405169730000001</v>
      </c>
      <c r="L97" s="1">
        <v>19.238026990000002</v>
      </c>
      <c r="M97" s="1">
        <v>87.093296159999994</v>
      </c>
      <c r="N97" s="1">
        <v>10.37996439</v>
      </c>
      <c r="O97" s="1">
        <v>2.5177899969999999</v>
      </c>
      <c r="P97" s="1">
        <v>8.9494520549999994E-3</v>
      </c>
      <c r="Q97" s="2" t="str">
        <f t="shared" si="0"/>
        <v/>
      </c>
      <c r="R97" s="1" t="str">
        <f t="shared" si="1"/>
        <v/>
      </c>
      <c r="S97" s="1" t="str">
        <f t="shared" si="2"/>
        <v/>
      </c>
      <c r="T97" s="1" t="str">
        <f t="shared" si="3"/>
        <v/>
      </c>
      <c r="U97" s="1">
        <f t="shared" si="4"/>
        <v>74</v>
      </c>
      <c r="V97" s="3">
        <f t="shared" si="5"/>
        <v>46</v>
      </c>
      <c r="W97" s="3">
        <f t="shared" si="6"/>
        <v>87</v>
      </c>
      <c r="X97" s="3" t="str">
        <f t="shared" si="7"/>
        <v/>
      </c>
      <c r="Y97" s="3" t="str">
        <f t="shared" si="8"/>
        <v/>
      </c>
      <c r="Z97" s="1" t="str">
        <f t="shared" si="9"/>
        <v/>
      </c>
      <c r="AA97" s="3" t="str">
        <f t="shared" si="10"/>
        <v/>
      </c>
      <c r="AB97" s="3" t="str">
        <f>LOOKUP($A97,Sheet2!$A$1:$B$233)</f>
        <v>Sub-Saharan Africa</v>
      </c>
    </row>
    <row r="98" spans="1:28">
      <c r="A98" s="1" t="s">
        <v>84</v>
      </c>
      <c r="B98" s="1">
        <v>2015</v>
      </c>
      <c r="C98" s="1">
        <v>17.580999370000001</v>
      </c>
      <c r="D98" s="1">
        <v>74.403999330000005</v>
      </c>
      <c r="E98" s="1">
        <v>99.953671020000002</v>
      </c>
      <c r="F98" s="1">
        <v>0</v>
      </c>
      <c r="G98" s="1">
        <v>4.6328976289999997E-2</v>
      </c>
      <c r="H98" s="1">
        <v>0</v>
      </c>
      <c r="I98" s="1" t="s">
        <v>272</v>
      </c>
      <c r="J98" s="1" t="s">
        <v>272</v>
      </c>
      <c r="K98" s="1" t="s">
        <v>272</v>
      </c>
      <c r="L98" s="1" t="s">
        <v>272</v>
      </c>
      <c r="M98" s="1" t="s">
        <v>272</v>
      </c>
      <c r="N98" s="1" t="s">
        <v>272</v>
      </c>
      <c r="O98" s="1" t="s">
        <v>272</v>
      </c>
      <c r="P98" s="1" t="s">
        <v>272</v>
      </c>
      <c r="Q98" s="2">
        <f t="shared" si="0"/>
        <v>5</v>
      </c>
      <c r="R98" s="1">
        <f t="shared" si="1"/>
        <v>3.5878400000001419E-3</v>
      </c>
      <c r="S98" s="1" t="str">
        <f t="shared" si="2"/>
        <v>null</v>
      </c>
      <c r="T98" s="1" t="str">
        <f t="shared" si="3"/>
        <v>null</v>
      </c>
      <c r="U98" s="1">
        <f t="shared" si="4"/>
        <v>100</v>
      </c>
      <c r="V98" s="3" t="str">
        <f t="shared" si="5"/>
        <v>null</v>
      </c>
      <c r="W98" s="3" t="str">
        <f t="shared" si="6"/>
        <v>null</v>
      </c>
      <c r="X98" s="3" t="str">
        <f t="shared" si="7"/>
        <v>fullaccesss</v>
      </c>
      <c r="Y98" s="3" t="str">
        <f t="shared" si="8"/>
        <v/>
      </c>
      <c r="Z98" s="1" t="str">
        <f t="shared" si="9"/>
        <v/>
      </c>
      <c r="AA98" s="3" t="str">
        <f t="shared" si="10"/>
        <v>null</v>
      </c>
      <c r="AB98" s="3" t="str">
        <f>LOOKUP($A98,Sheet2!$A$1:$B$233)</f>
        <v>East Asia &amp; Pacific</v>
      </c>
    </row>
    <row r="99" spans="1:28">
      <c r="A99" s="1" t="s">
        <v>84</v>
      </c>
      <c r="B99" s="1">
        <v>2020</v>
      </c>
      <c r="C99" s="1">
        <v>17.56399918</v>
      </c>
      <c r="D99" s="1">
        <v>75.495002749999998</v>
      </c>
      <c r="E99" s="1">
        <v>99.971610220000002</v>
      </c>
      <c r="F99" s="1">
        <v>0</v>
      </c>
      <c r="G99" s="1">
        <v>2.8389782700000001E-2</v>
      </c>
      <c r="H99" s="1">
        <v>0</v>
      </c>
      <c r="I99" s="1" t="s">
        <v>272</v>
      </c>
      <c r="J99" s="1" t="s">
        <v>272</v>
      </c>
      <c r="K99" s="1" t="s">
        <v>272</v>
      </c>
      <c r="L99" s="1" t="s">
        <v>272</v>
      </c>
      <c r="M99" s="1" t="s">
        <v>272</v>
      </c>
      <c r="N99" s="1" t="s">
        <v>272</v>
      </c>
      <c r="O99" s="1" t="s">
        <v>272</v>
      </c>
      <c r="P99" s="1" t="s">
        <v>272</v>
      </c>
      <c r="Q99" s="2" t="str">
        <f t="shared" si="0"/>
        <v/>
      </c>
      <c r="R99" s="1" t="str">
        <f t="shared" si="1"/>
        <v/>
      </c>
      <c r="S99" s="1" t="str">
        <f t="shared" si="2"/>
        <v/>
      </c>
      <c r="T99" s="1" t="str">
        <f t="shared" si="3"/>
        <v/>
      </c>
      <c r="U99" s="1">
        <f t="shared" si="4"/>
        <v>100</v>
      </c>
      <c r="V99" s="3" t="str">
        <f t="shared" si="5"/>
        <v>null</v>
      </c>
      <c r="W99" s="3" t="str">
        <f t="shared" si="6"/>
        <v>null</v>
      </c>
      <c r="X99" s="3" t="str">
        <f t="shared" si="7"/>
        <v/>
      </c>
      <c r="Y99" s="3" t="str">
        <f t="shared" si="8"/>
        <v/>
      </c>
      <c r="Z99" s="1" t="str">
        <f t="shared" si="9"/>
        <v/>
      </c>
      <c r="AA99" s="3" t="str">
        <f t="shared" si="10"/>
        <v/>
      </c>
      <c r="AB99" s="3" t="str">
        <f>LOOKUP($A99,Sheet2!$A$1:$B$233)</f>
        <v>East Asia &amp; Pacific</v>
      </c>
    </row>
    <row r="100" spans="1:28">
      <c r="A100" s="1" t="s">
        <v>85</v>
      </c>
      <c r="B100" s="1">
        <v>2015</v>
      </c>
      <c r="C100" s="1">
        <v>4847.8051759999998</v>
      </c>
      <c r="D100" s="1">
        <v>76.861999510000004</v>
      </c>
      <c r="E100" s="1">
        <v>99.378686819999999</v>
      </c>
      <c r="F100" s="1">
        <v>0.25413037840000002</v>
      </c>
      <c r="G100" s="1">
        <v>0.21133501860000001</v>
      </c>
      <c r="H100" s="1">
        <v>0.15584778429999999</v>
      </c>
      <c r="I100" s="1">
        <v>98.186032490000002</v>
      </c>
      <c r="J100" s="1">
        <v>0.4100611535</v>
      </c>
      <c r="K100" s="1">
        <v>0.73034857679999998</v>
      </c>
      <c r="L100" s="1">
        <v>0.67355777780000003</v>
      </c>
      <c r="M100" s="1">
        <v>99.737715109999996</v>
      </c>
      <c r="N100" s="1">
        <v>0.20719007179999999</v>
      </c>
      <c r="O100" s="1">
        <v>5.5094818300000001E-2</v>
      </c>
      <c r="P100" s="1">
        <v>0</v>
      </c>
      <c r="Q100" s="2">
        <f t="shared" si="0"/>
        <v>5</v>
      </c>
      <c r="R100" s="1">
        <f t="shared" si="1"/>
        <v>8.6370021999999838E-2</v>
      </c>
      <c r="S100" s="1">
        <f t="shared" si="2"/>
        <v>0.29204350199999851</v>
      </c>
      <c r="T100" s="1">
        <f t="shared" si="3"/>
        <v>2.2387550000001966E-2</v>
      </c>
      <c r="U100" s="1">
        <f t="shared" si="4"/>
        <v>99</v>
      </c>
      <c r="V100" s="3">
        <f t="shared" si="5"/>
        <v>98</v>
      </c>
      <c r="W100" s="3">
        <f t="shared" si="6"/>
        <v>100</v>
      </c>
      <c r="X100" s="3" t="str">
        <f t="shared" si="7"/>
        <v/>
      </c>
      <c r="Y100" s="3" t="str">
        <f t="shared" si="8"/>
        <v/>
      </c>
      <c r="Z100" s="1" t="str">
        <f t="shared" si="9"/>
        <v>fullaccesss</v>
      </c>
      <c r="AA100" s="3">
        <f t="shared" si="10"/>
        <v>0.26965595199999653</v>
      </c>
      <c r="AB100" s="3" t="str">
        <f>LOOKUP($A100,Sheet2!$A$1:$B$233)</f>
        <v>Latin America &amp; Caribbean</v>
      </c>
    </row>
    <row r="101" spans="1:28">
      <c r="A101" s="1" t="s">
        <v>85</v>
      </c>
      <c r="B101" s="1">
        <v>2020</v>
      </c>
      <c r="C101" s="1">
        <v>5094.1137699999999</v>
      </c>
      <c r="D101" s="1">
        <v>80.770996089999997</v>
      </c>
      <c r="E101" s="1">
        <v>99.810536929999998</v>
      </c>
      <c r="F101" s="1">
        <v>0.18945947460000001</v>
      </c>
      <c r="G101" s="1">
        <v>3.5944518969999999E-6</v>
      </c>
      <c r="H101" s="1">
        <v>0</v>
      </c>
      <c r="I101" s="1">
        <v>99.646249999999995</v>
      </c>
      <c r="J101" s="1">
        <v>0.35375000000000001</v>
      </c>
      <c r="K101" s="1">
        <v>0</v>
      </c>
      <c r="L101" s="1">
        <v>0</v>
      </c>
      <c r="M101" s="1">
        <v>99.849652860000006</v>
      </c>
      <c r="N101" s="1">
        <v>0.15034714290000001</v>
      </c>
      <c r="O101" s="1">
        <v>0</v>
      </c>
      <c r="P101" s="1">
        <v>0</v>
      </c>
      <c r="Q101" s="2" t="str">
        <f t="shared" si="0"/>
        <v/>
      </c>
      <c r="R101" s="1" t="str">
        <f t="shared" si="1"/>
        <v/>
      </c>
      <c r="S101" s="1" t="str">
        <f t="shared" si="2"/>
        <v/>
      </c>
      <c r="T101" s="1" t="str">
        <f t="shared" si="3"/>
        <v/>
      </c>
      <c r="U101" s="1">
        <f t="shared" si="4"/>
        <v>100</v>
      </c>
      <c r="V101" s="3">
        <f t="shared" si="5"/>
        <v>100</v>
      </c>
      <c r="W101" s="3">
        <f t="shared" si="6"/>
        <v>100</v>
      </c>
      <c r="X101" s="3" t="str">
        <f t="shared" si="7"/>
        <v/>
      </c>
      <c r="Y101" s="3" t="str">
        <f t="shared" si="8"/>
        <v/>
      </c>
      <c r="Z101" s="1" t="str">
        <f t="shared" si="9"/>
        <v/>
      </c>
      <c r="AA101" s="3" t="str">
        <f t="shared" si="10"/>
        <v/>
      </c>
      <c r="AB101" s="3" t="str">
        <f>LOOKUP($A101,Sheet2!$A$1:$B$233)</f>
        <v>Latin America &amp; Caribbean</v>
      </c>
    </row>
    <row r="102" spans="1:28">
      <c r="A102" s="1" t="s">
        <v>86</v>
      </c>
      <c r="B102" s="1">
        <v>2015</v>
      </c>
      <c r="C102" s="1">
        <v>23226.148440000001</v>
      </c>
      <c r="D102" s="1">
        <v>49.444000240000001</v>
      </c>
      <c r="E102" s="1">
        <v>71.075766900000005</v>
      </c>
      <c r="F102" s="1">
        <v>8.7671364589999996</v>
      </c>
      <c r="G102" s="1">
        <v>14.417680539999999</v>
      </c>
      <c r="H102" s="1">
        <v>5.7394160950000002</v>
      </c>
      <c r="I102" s="1">
        <v>55.843171720000001</v>
      </c>
      <c r="J102" s="1">
        <v>13.188467299999999</v>
      </c>
      <c r="K102" s="1">
        <v>22.631284709999999</v>
      </c>
      <c r="L102" s="1">
        <v>8.3370762729999992</v>
      </c>
      <c r="M102" s="1">
        <v>86.650945350000001</v>
      </c>
      <c r="N102" s="1">
        <v>4.2463692540000002</v>
      </c>
      <c r="O102" s="1">
        <v>6.0193512360000003</v>
      </c>
      <c r="P102" s="1">
        <v>3.083334164</v>
      </c>
      <c r="Q102" s="2">
        <f t="shared" si="0"/>
        <v>5</v>
      </c>
      <c r="R102" s="1">
        <f t="shared" si="1"/>
        <v>-3.333930200000168E-2</v>
      </c>
      <c r="S102" s="1">
        <f t="shared" si="2"/>
        <v>-2.4144972000000563E-2</v>
      </c>
      <c r="T102" s="1">
        <f t="shared" si="3"/>
        <v>-0.31147841199999959</v>
      </c>
      <c r="U102" s="1">
        <f t="shared" si="4"/>
        <v>71</v>
      </c>
      <c r="V102" s="3">
        <f t="shared" si="5"/>
        <v>56</v>
      </c>
      <c r="W102" s="3">
        <f t="shared" si="6"/>
        <v>87</v>
      </c>
      <c r="X102" s="3" t="str">
        <f t="shared" si="7"/>
        <v/>
      </c>
      <c r="Y102" s="3" t="str">
        <f t="shared" si="8"/>
        <v/>
      </c>
      <c r="Z102" s="1" t="str">
        <f t="shared" si="9"/>
        <v/>
      </c>
      <c r="AA102" s="3">
        <f t="shared" si="10"/>
        <v>0.28733343999999905</v>
      </c>
      <c r="AB102" s="3" t="str">
        <f>LOOKUP($A102,Sheet2!$A$1:$B$233)</f>
        <v>Sub-Saharan Africa</v>
      </c>
    </row>
    <row r="103" spans="1:28">
      <c r="A103" s="1" t="s">
        <v>86</v>
      </c>
      <c r="B103" s="1">
        <v>2020</v>
      </c>
      <c r="C103" s="1">
        <v>26378.275389999999</v>
      </c>
      <c r="D103" s="1">
        <v>51.70599747</v>
      </c>
      <c r="E103" s="1">
        <v>70.909070389999997</v>
      </c>
      <c r="F103" s="1">
        <v>8.9354217019999993</v>
      </c>
      <c r="G103" s="1">
        <v>14.192441609999999</v>
      </c>
      <c r="H103" s="1">
        <v>5.9630662929999998</v>
      </c>
      <c r="I103" s="1">
        <v>55.722446859999998</v>
      </c>
      <c r="J103" s="1">
        <v>13.343168289999999</v>
      </c>
      <c r="K103" s="1">
        <v>23.17527956</v>
      </c>
      <c r="L103" s="1">
        <v>7.7591052889999998</v>
      </c>
      <c r="M103" s="1">
        <v>85.093553290000003</v>
      </c>
      <c r="N103" s="1">
        <v>4.8185351560000003</v>
      </c>
      <c r="O103" s="1">
        <v>5.8023665600000003</v>
      </c>
      <c r="P103" s="1">
        <v>4.2855449940000003</v>
      </c>
      <c r="Q103" s="2" t="str">
        <f t="shared" si="0"/>
        <v/>
      </c>
      <c r="R103" s="1" t="str">
        <f t="shared" si="1"/>
        <v/>
      </c>
      <c r="S103" s="1" t="str">
        <f t="shared" si="2"/>
        <v/>
      </c>
      <c r="T103" s="1" t="str">
        <f t="shared" si="3"/>
        <v/>
      </c>
      <c r="U103" s="1">
        <f t="shared" si="4"/>
        <v>71</v>
      </c>
      <c r="V103" s="3">
        <f t="shared" si="5"/>
        <v>56</v>
      </c>
      <c r="W103" s="3">
        <f t="shared" si="6"/>
        <v>85</v>
      </c>
      <c r="X103" s="3" t="str">
        <f t="shared" si="7"/>
        <v/>
      </c>
      <c r="Y103" s="3" t="str">
        <f t="shared" si="8"/>
        <v/>
      </c>
      <c r="Z103" s="1" t="str">
        <f t="shared" si="9"/>
        <v/>
      </c>
      <c r="AA103" s="3" t="str">
        <f t="shared" si="10"/>
        <v/>
      </c>
      <c r="AB103" s="3" t="str">
        <f>LOOKUP($A103,Sheet2!$A$1:$B$233)</f>
        <v>Sub-Saharan Africa</v>
      </c>
    </row>
    <row r="104" spans="1:28">
      <c r="A104" s="1" t="s">
        <v>87</v>
      </c>
      <c r="B104" s="1">
        <v>2015</v>
      </c>
      <c r="C104" s="1">
        <v>4232.8740230000003</v>
      </c>
      <c r="D104" s="1">
        <v>56.155002590000002</v>
      </c>
      <c r="E104" s="1" t="s">
        <v>272</v>
      </c>
      <c r="F104" s="1" t="s">
        <v>272</v>
      </c>
      <c r="G104" s="1" t="s">
        <v>272</v>
      </c>
      <c r="H104" s="1" t="s">
        <v>272</v>
      </c>
      <c r="I104" s="1" t="s">
        <v>272</v>
      </c>
      <c r="J104" s="1" t="s">
        <v>272</v>
      </c>
      <c r="K104" s="1" t="s">
        <v>272</v>
      </c>
      <c r="L104" s="1" t="s">
        <v>272</v>
      </c>
      <c r="M104" s="1">
        <v>100</v>
      </c>
      <c r="N104" s="1">
        <v>0</v>
      </c>
      <c r="O104" s="1">
        <v>0</v>
      </c>
      <c r="P104" s="1">
        <v>0</v>
      </c>
      <c r="Q104" s="2">
        <f t="shared" si="0"/>
        <v>5</v>
      </c>
      <c r="R104" s="1" t="str">
        <f t="shared" si="1"/>
        <v>null</v>
      </c>
      <c r="S104" s="1" t="str">
        <f t="shared" si="2"/>
        <v>null</v>
      </c>
      <c r="T104" s="1">
        <f t="shared" si="3"/>
        <v>0</v>
      </c>
      <c r="U104" s="1" t="str">
        <f t="shared" si="4"/>
        <v>null</v>
      </c>
      <c r="V104" s="3" t="str">
        <f t="shared" si="5"/>
        <v>null</v>
      </c>
      <c r="W104" s="3">
        <f t="shared" si="6"/>
        <v>100</v>
      </c>
      <c r="X104" s="3" t="str">
        <f t="shared" si="7"/>
        <v/>
      </c>
      <c r="Y104" s="3" t="str">
        <f t="shared" si="8"/>
        <v/>
      </c>
      <c r="Z104" s="1" t="str">
        <f t="shared" si="9"/>
        <v>fullaccesss</v>
      </c>
      <c r="AA104" s="3" t="str">
        <f t="shared" si="10"/>
        <v>null</v>
      </c>
      <c r="AB104" s="3" t="str">
        <f>LOOKUP($A104,Sheet2!$A$1:$B$233)</f>
        <v>Europe &amp; Central Asia</v>
      </c>
    </row>
    <row r="105" spans="1:28">
      <c r="A105" s="1" t="s">
        <v>87</v>
      </c>
      <c r="B105" s="1">
        <v>2020</v>
      </c>
      <c r="C105" s="1">
        <v>4105.2680659999996</v>
      </c>
      <c r="D105" s="1">
        <v>57.552997589999997</v>
      </c>
      <c r="E105" s="1" t="s">
        <v>272</v>
      </c>
      <c r="F105" s="1" t="s">
        <v>272</v>
      </c>
      <c r="G105" s="1" t="s">
        <v>272</v>
      </c>
      <c r="H105" s="1" t="s">
        <v>272</v>
      </c>
      <c r="I105" s="1" t="s">
        <v>272</v>
      </c>
      <c r="J105" s="1" t="s">
        <v>272</v>
      </c>
      <c r="K105" s="1" t="s">
        <v>272</v>
      </c>
      <c r="L105" s="1" t="s">
        <v>272</v>
      </c>
      <c r="M105" s="1">
        <v>100</v>
      </c>
      <c r="N105" s="1">
        <v>0</v>
      </c>
      <c r="O105" s="1">
        <v>0</v>
      </c>
      <c r="P105" s="1">
        <v>0</v>
      </c>
      <c r="Q105" s="2" t="str">
        <f t="shared" si="0"/>
        <v/>
      </c>
      <c r="R105" s="1" t="str">
        <f t="shared" si="1"/>
        <v/>
      </c>
      <c r="S105" s="1" t="str">
        <f t="shared" si="2"/>
        <v/>
      </c>
      <c r="T105" s="1" t="str">
        <f t="shared" si="3"/>
        <v/>
      </c>
      <c r="U105" s="1" t="str">
        <f t="shared" si="4"/>
        <v>null</v>
      </c>
      <c r="V105" s="3" t="str">
        <f t="shared" si="5"/>
        <v>null</v>
      </c>
      <c r="W105" s="3">
        <f t="shared" si="6"/>
        <v>100</v>
      </c>
      <c r="X105" s="3" t="str">
        <f t="shared" si="7"/>
        <v/>
      </c>
      <c r="Y105" s="3" t="str">
        <f t="shared" si="8"/>
        <v/>
      </c>
      <c r="Z105" s="1" t="str">
        <f t="shared" si="9"/>
        <v/>
      </c>
      <c r="AA105" s="3" t="str">
        <f t="shared" si="10"/>
        <v/>
      </c>
      <c r="AB105" s="3" t="str">
        <f>LOOKUP($A105,Sheet2!$A$1:$B$233)</f>
        <v>Europe &amp; Central Asia</v>
      </c>
    </row>
    <row r="106" spans="1:28">
      <c r="A106" s="1" t="s">
        <v>88</v>
      </c>
      <c r="B106" s="1">
        <v>2015</v>
      </c>
      <c r="C106" s="1">
        <v>11324.777340000001</v>
      </c>
      <c r="D106" s="1">
        <v>76.896003719999996</v>
      </c>
      <c r="E106" s="1">
        <v>95.871796470000007</v>
      </c>
      <c r="F106" s="1">
        <v>1.7502537890000001</v>
      </c>
      <c r="G106" s="1">
        <v>1.99464</v>
      </c>
      <c r="H106" s="1">
        <v>0.38330973619999997</v>
      </c>
      <c r="I106" s="1">
        <v>90.445060659999996</v>
      </c>
      <c r="J106" s="1">
        <v>3.3621971309999998</v>
      </c>
      <c r="K106" s="1">
        <v>4.747322467</v>
      </c>
      <c r="L106" s="1">
        <v>1.445419738</v>
      </c>
      <c r="M106" s="1">
        <v>97.502301369999998</v>
      </c>
      <c r="N106" s="1">
        <v>1.2659328999999999</v>
      </c>
      <c r="O106" s="1">
        <v>1.167575187</v>
      </c>
      <c r="P106" s="1">
        <v>6.4190542059999994E-2</v>
      </c>
      <c r="Q106" s="2">
        <f t="shared" si="0"/>
        <v>5</v>
      </c>
      <c r="R106" s="1">
        <f t="shared" si="1"/>
        <v>0.22617993799999853</v>
      </c>
      <c r="S106" s="1">
        <f t="shared" si="2"/>
        <v>0.78831809600000047</v>
      </c>
      <c r="T106" s="1">
        <f t="shared" si="3"/>
        <v>5.4655053999999835E-2</v>
      </c>
      <c r="U106" s="1">
        <f t="shared" si="4"/>
        <v>96</v>
      </c>
      <c r="V106" s="3">
        <f t="shared" si="5"/>
        <v>90</v>
      </c>
      <c r="W106" s="3">
        <f t="shared" si="6"/>
        <v>98</v>
      </c>
      <c r="X106" s="3" t="str">
        <f t="shared" si="7"/>
        <v/>
      </c>
      <c r="Y106" s="3" t="str">
        <f t="shared" si="8"/>
        <v/>
      </c>
      <c r="Z106" s="1" t="str">
        <f t="shared" si="9"/>
        <v/>
      </c>
      <c r="AA106" s="3">
        <f t="shared" si="10"/>
        <v>0.73366304200000065</v>
      </c>
      <c r="AB106" s="3" t="str">
        <f>LOOKUP($A106,Sheet2!$A$1:$B$233)</f>
        <v>Latin America &amp; Caribbean</v>
      </c>
    </row>
    <row r="107" spans="1:28">
      <c r="A107" s="1" t="s">
        <v>88</v>
      </c>
      <c r="B107" s="1">
        <v>2020</v>
      </c>
      <c r="C107" s="1">
        <v>11326.61621</v>
      </c>
      <c r="D107" s="1">
        <v>77.194000239999994</v>
      </c>
      <c r="E107" s="1">
        <v>97.002696159999999</v>
      </c>
      <c r="F107" s="1">
        <v>1.471384542</v>
      </c>
      <c r="G107" s="1">
        <v>1.252811506</v>
      </c>
      <c r="H107" s="1">
        <v>0.27310779629999998</v>
      </c>
      <c r="I107" s="1">
        <v>94.386651139999998</v>
      </c>
      <c r="J107" s="1">
        <v>2.591752445</v>
      </c>
      <c r="K107" s="1">
        <v>1.9059729350000001</v>
      </c>
      <c r="L107" s="1">
        <v>1.115623477</v>
      </c>
      <c r="M107" s="1">
        <v>97.775576639999997</v>
      </c>
      <c r="N107" s="1">
        <v>1.1403859000000001</v>
      </c>
      <c r="O107" s="1">
        <v>1.059840374</v>
      </c>
      <c r="P107" s="1">
        <v>2.4197084109999999E-2</v>
      </c>
      <c r="Q107" s="2" t="str">
        <f t="shared" si="0"/>
        <v/>
      </c>
      <c r="R107" s="1" t="str">
        <f t="shared" si="1"/>
        <v/>
      </c>
      <c r="S107" s="1" t="str">
        <f t="shared" si="2"/>
        <v/>
      </c>
      <c r="T107" s="1" t="str">
        <f t="shared" si="3"/>
        <v/>
      </c>
      <c r="U107" s="1">
        <f t="shared" si="4"/>
        <v>97</v>
      </c>
      <c r="V107" s="3">
        <f t="shared" si="5"/>
        <v>94</v>
      </c>
      <c r="W107" s="3">
        <f t="shared" si="6"/>
        <v>98</v>
      </c>
      <c r="X107" s="3" t="str">
        <f t="shared" si="7"/>
        <v/>
      </c>
      <c r="Y107" s="3" t="str">
        <f t="shared" si="8"/>
        <v/>
      </c>
      <c r="Z107" s="1" t="str">
        <f t="shared" si="9"/>
        <v/>
      </c>
      <c r="AA107" s="3" t="str">
        <f t="shared" si="10"/>
        <v/>
      </c>
      <c r="AB107" s="3" t="str">
        <f>LOOKUP($A107,Sheet2!$A$1:$B$233)</f>
        <v>Latin America &amp; Caribbean</v>
      </c>
    </row>
    <row r="108" spans="1:28">
      <c r="A108" s="1" t="s">
        <v>89</v>
      </c>
      <c r="B108" s="1">
        <v>2015</v>
      </c>
      <c r="C108" s="1">
        <v>159.8500061</v>
      </c>
      <c r="D108" s="1">
        <v>89.35199738</v>
      </c>
      <c r="E108" s="1">
        <v>99.49775185</v>
      </c>
      <c r="F108" s="1">
        <v>0</v>
      </c>
      <c r="G108" s="1">
        <v>0.50224815249999999</v>
      </c>
      <c r="H108" s="1">
        <v>0</v>
      </c>
      <c r="I108" s="1" t="s">
        <v>272</v>
      </c>
      <c r="J108" s="1" t="s">
        <v>272</v>
      </c>
      <c r="K108" s="1" t="s">
        <v>272</v>
      </c>
      <c r="L108" s="1" t="s">
        <v>272</v>
      </c>
      <c r="M108" s="1" t="s">
        <v>272</v>
      </c>
      <c r="N108" s="1" t="s">
        <v>272</v>
      </c>
      <c r="O108" s="1" t="s">
        <v>272</v>
      </c>
      <c r="P108" s="1" t="s">
        <v>272</v>
      </c>
      <c r="Q108" s="2">
        <f t="shared" si="0"/>
        <v>2</v>
      </c>
      <c r="R108" s="1">
        <f t="shared" si="1"/>
        <v>0</v>
      </c>
      <c r="S108" s="1" t="str">
        <f t="shared" si="2"/>
        <v>null</v>
      </c>
      <c r="T108" s="1" t="str">
        <f t="shared" si="3"/>
        <v>null</v>
      </c>
      <c r="U108" s="1">
        <f t="shared" si="4"/>
        <v>99</v>
      </c>
      <c r="V108" s="3" t="str">
        <f t="shared" si="5"/>
        <v>null</v>
      </c>
      <c r="W108" s="3" t="str">
        <f t="shared" si="6"/>
        <v>null</v>
      </c>
      <c r="X108" s="3" t="str">
        <f t="shared" si="7"/>
        <v/>
      </c>
      <c r="Y108" s="3" t="str">
        <f t="shared" si="8"/>
        <v/>
      </c>
      <c r="Z108" s="1" t="str">
        <f t="shared" si="9"/>
        <v/>
      </c>
      <c r="AA108" s="3" t="str">
        <f t="shared" si="10"/>
        <v>null</v>
      </c>
      <c r="AB108" s="3" t="str">
        <f>LOOKUP($A108,Sheet2!$A$1:$B$233)</f>
        <v>Latin America &amp; Caribbean</v>
      </c>
    </row>
    <row r="109" spans="1:28">
      <c r="A109" s="1" t="s">
        <v>89</v>
      </c>
      <c r="B109" s="1">
        <v>2017</v>
      </c>
      <c r="C109" s="1">
        <v>161.98599239999999</v>
      </c>
      <c r="D109" s="1">
        <v>89.203002929999997</v>
      </c>
      <c r="E109" s="1">
        <v>99.49775185</v>
      </c>
      <c r="F109" s="1">
        <v>0</v>
      </c>
      <c r="G109" s="1">
        <v>0.50224815249999999</v>
      </c>
      <c r="H109" s="1">
        <v>0</v>
      </c>
      <c r="I109" s="1" t="s">
        <v>272</v>
      </c>
      <c r="J109" s="1" t="s">
        <v>272</v>
      </c>
      <c r="K109" s="1" t="s">
        <v>272</v>
      </c>
      <c r="L109" s="1" t="s">
        <v>272</v>
      </c>
      <c r="M109" s="1" t="s">
        <v>272</v>
      </c>
      <c r="N109" s="1" t="s">
        <v>272</v>
      </c>
      <c r="O109" s="1" t="s">
        <v>272</v>
      </c>
      <c r="P109" s="1" t="s">
        <v>272</v>
      </c>
      <c r="Q109" s="2" t="str">
        <f t="shared" si="0"/>
        <v/>
      </c>
      <c r="R109" s="1" t="str">
        <f t="shared" si="1"/>
        <v/>
      </c>
      <c r="S109" s="1" t="str">
        <f t="shared" si="2"/>
        <v/>
      </c>
      <c r="T109" s="1" t="str">
        <f t="shared" si="3"/>
        <v/>
      </c>
      <c r="U109" s="1">
        <f t="shared" si="4"/>
        <v>99</v>
      </c>
      <c r="V109" s="3" t="str">
        <f t="shared" si="5"/>
        <v>null</v>
      </c>
      <c r="W109" s="3" t="str">
        <f t="shared" si="6"/>
        <v>null</v>
      </c>
      <c r="X109" s="3" t="str">
        <f t="shared" si="7"/>
        <v/>
      </c>
      <c r="Y109" s="3" t="str">
        <f t="shared" si="8"/>
        <v/>
      </c>
      <c r="Z109" s="1" t="str">
        <f t="shared" si="9"/>
        <v/>
      </c>
      <c r="AA109" s="3" t="str">
        <f t="shared" si="10"/>
        <v/>
      </c>
      <c r="AB109" s="3" t="str">
        <f>LOOKUP($A109,Sheet2!$A$1:$B$233)</f>
        <v>Latin America &amp; Caribbean</v>
      </c>
    </row>
    <row r="110" spans="1:28">
      <c r="A110" s="1" t="s">
        <v>90</v>
      </c>
      <c r="B110" s="1">
        <v>2015</v>
      </c>
      <c r="C110" s="1">
        <v>1160.987061</v>
      </c>
      <c r="D110" s="1">
        <v>66.945999150000006</v>
      </c>
      <c r="E110" s="1">
        <v>99.788517569999996</v>
      </c>
      <c r="F110" s="1">
        <v>0</v>
      </c>
      <c r="G110" s="1">
        <v>0.21148243489999999</v>
      </c>
      <c r="H110" s="1">
        <v>0</v>
      </c>
      <c r="I110" s="1">
        <v>99.861185539999994</v>
      </c>
      <c r="J110" s="1">
        <v>0</v>
      </c>
      <c r="K110" s="1">
        <v>0.1388144553</v>
      </c>
      <c r="L110" s="1">
        <v>0</v>
      </c>
      <c r="M110" s="1">
        <v>99.752642309999999</v>
      </c>
      <c r="N110" s="1">
        <v>0</v>
      </c>
      <c r="O110" s="1">
        <v>0.24735769429999999</v>
      </c>
      <c r="P110" s="1">
        <v>0</v>
      </c>
      <c r="Q110" s="2">
        <f t="shared" si="0"/>
        <v>5</v>
      </c>
      <c r="R110" s="1">
        <f t="shared" si="1"/>
        <v>-4.668877999998244E-3</v>
      </c>
      <c r="S110" s="1">
        <f t="shared" si="2"/>
        <v>-3.0847639999990405E-3</v>
      </c>
      <c r="T110" s="1">
        <f t="shared" si="3"/>
        <v>-5.4968379999991157E-3</v>
      </c>
      <c r="U110" s="1">
        <f t="shared" si="4"/>
        <v>100</v>
      </c>
      <c r="V110" s="3">
        <f t="shared" si="5"/>
        <v>100</v>
      </c>
      <c r="W110" s="3">
        <f t="shared" si="6"/>
        <v>100</v>
      </c>
      <c r="X110" s="3" t="str">
        <f t="shared" si="7"/>
        <v>fullaccesss</v>
      </c>
      <c r="Y110" s="3" t="str">
        <f t="shared" si="8"/>
        <v>fullaccesss</v>
      </c>
      <c r="Z110" s="1" t="str">
        <f t="shared" si="9"/>
        <v>fullaccesss</v>
      </c>
      <c r="AA110" s="3">
        <f t="shared" si="10"/>
        <v>2.4120740000000752E-3</v>
      </c>
      <c r="AB110" s="3" t="str">
        <f>LOOKUP($A110,Sheet2!$A$1:$B$233)</f>
        <v>Europe &amp; Central Asia</v>
      </c>
    </row>
    <row r="111" spans="1:28">
      <c r="A111" s="1" t="s">
        <v>90</v>
      </c>
      <c r="B111" s="1">
        <v>2020</v>
      </c>
      <c r="C111" s="1">
        <v>1207.360962</v>
      </c>
      <c r="D111" s="1">
        <v>66.820999150000006</v>
      </c>
      <c r="E111" s="1">
        <v>99.765173180000005</v>
      </c>
      <c r="F111" s="1">
        <v>0</v>
      </c>
      <c r="G111" s="1">
        <v>0.2348268167</v>
      </c>
      <c r="H111" s="1">
        <v>0</v>
      </c>
      <c r="I111" s="1">
        <v>99.845761719999999</v>
      </c>
      <c r="J111" s="1">
        <v>0</v>
      </c>
      <c r="K111" s="1">
        <v>0.1542382836</v>
      </c>
      <c r="L111" s="1">
        <v>0</v>
      </c>
      <c r="M111" s="1">
        <v>99.725158120000003</v>
      </c>
      <c r="N111" s="1">
        <v>0</v>
      </c>
      <c r="O111" s="1">
        <v>0.27484188250000002</v>
      </c>
      <c r="P111" s="1">
        <v>0</v>
      </c>
      <c r="Q111" s="2" t="str">
        <f t="shared" si="0"/>
        <v/>
      </c>
      <c r="R111" s="1" t="str">
        <f t="shared" si="1"/>
        <v/>
      </c>
      <c r="S111" s="1" t="str">
        <f t="shared" si="2"/>
        <v/>
      </c>
      <c r="T111" s="1" t="str">
        <f t="shared" si="3"/>
        <v/>
      </c>
      <c r="U111" s="1">
        <f t="shared" si="4"/>
        <v>100</v>
      </c>
      <c r="V111" s="3">
        <f t="shared" si="5"/>
        <v>100</v>
      </c>
      <c r="W111" s="3">
        <f t="shared" si="6"/>
        <v>100</v>
      </c>
      <c r="X111" s="3" t="str">
        <f t="shared" si="7"/>
        <v/>
      </c>
      <c r="Y111" s="3" t="str">
        <f t="shared" si="8"/>
        <v/>
      </c>
      <c r="Z111" s="1" t="str">
        <f t="shared" si="9"/>
        <v/>
      </c>
      <c r="AA111" s="3" t="str">
        <f t="shared" si="10"/>
        <v/>
      </c>
      <c r="AB111" s="3" t="str">
        <f>LOOKUP($A111,Sheet2!$A$1:$B$233)</f>
        <v>Europe &amp; Central Asia</v>
      </c>
    </row>
    <row r="112" spans="1:28">
      <c r="A112" s="1" t="s">
        <v>91</v>
      </c>
      <c r="B112" s="1">
        <v>2015</v>
      </c>
      <c r="C112" s="1">
        <v>10601.389649999999</v>
      </c>
      <c r="D112" s="1">
        <v>73.47699738</v>
      </c>
      <c r="E112" s="1">
        <v>99.880092689999998</v>
      </c>
      <c r="F112" s="1">
        <v>0</v>
      </c>
      <c r="G112" s="1">
        <v>0.11990731189999999</v>
      </c>
      <c r="H112" s="1">
        <v>0</v>
      </c>
      <c r="I112" s="1">
        <v>99.817599299999998</v>
      </c>
      <c r="J112" s="1">
        <v>0</v>
      </c>
      <c r="K112" s="1">
        <v>0.18240069649999999</v>
      </c>
      <c r="L112" s="1">
        <v>0</v>
      </c>
      <c r="M112" s="1">
        <v>99.902650929999993</v>
      </c>
      <c r="N112" s="1">
        <v>0</v>
      </c>
      <c r="O112" s="1">
        <v>9.7349067900000003E-2</v>
      </c>
      <c r="P112" s="1">
        <v>0</v>
      </c>
      <c r="Q112" s="2">
        <f t="shared" si="0"/>
        <v>5</v>
      </c>
      <c r="R112" s="1">
        <f t="shared" si="1"/>
        <v>9.9796000000651475E-5</v>
      </c>
      <c r="S112" s="1">
        <f t="shared" si="2"/>
        <v>0</v>
      </c>
      <c r="T112" s="1">
        <f t="shared" si="3"/>
        <v>0</v>
      </c>
      <c r="U112" s="1">
        <f t="shared" si="4"/>
        <v>100</v>
      </c>
      <c r="V112" s="3">
        <f t="shared" si="5"/>
        <v>100</v>
      </c>
      <c r="W112" s="3">
        <f t="shared" si="6"/>
        <v>100</v>
      </c>
      <c r="X112" s="3" t="str">
        <f t="shared" si="7"/>
        <v>fullaccesss</v>
      </c>
      <c r="Y112" s="3" t="str">
        <f t="shared" si="8"/>
        <v>fullaccesss</v>
      </c>
      <c r="Z112" s="1" t="str">
        <f t="shared" si="9"/>
        <v>fullaccesss</v>
      </c>
      <c r="AA112" s="3">
        <f t="shared" si="10"/>
        <v>0</v>
      </c>
      <c r="AB112" s="3" t="str">
        <f>LOOKUP($A112,Sheet2!$A$1:$B$233)</f>
        <v>Europe &amp; Central Asia</v>
      </c>
    </row>
    <row r="113" spans="1:28">
      <c r="A113" s="1" t="s">
        <v>91</v>
      </c>
      <c r="B113" s="1">
        <v>2020</v>
      </c>
      <c r="C113" s="1">
        <v>10708.98242</v>
      </c>
      <c r="D113" s="1">
        <v>74.061004639999993</v>
      </c>
      <c r="E113" s="1">
        <v>99.880591670000001</v>
      </c>
      <c r="F113" s="1">
        <v>0</v>
      </c>
      <c r="G113" s="1">
        <v>0.11940833250000001</v>
      </c>
      <c r="H113" s="1">
        <v>0</v>
      </c>
      <c r="I113" s="1">
        <v>99.817599299999998</v>
      </c>
      <c r="J113" s="1">
        <v>0</v>
      </c>
      <c r="K113" s="1">
        <v>0.18240069649999999</v>
      </c>
      <c r="L113" s="1">
        <v>0</v>
      </c>
      <c r="M113" s="1">
        <v>99.902650929999993</v>
      </c>
      <c r="N113" s="1">
        <v>0</v>
      </c>
      <c r="O113" s="1">
        <v>9.7349067900000003E-2</v>
      </c>
      <c r="P113" s="1">
        <v>0</v>
      </c>
      <c r="Q113" s="2" t="str">
        <f t="shared" si="0"/>
        <v/>
      </c>
      <c r="R113" s="1" t="str">
        <f t="shared" si="1"/>
        <v/>
      </c>
      <c r="S113" s="1" t="str">
        <f t="shared" si="2"/>
        <v/>
      </c>
      <c r="T113" s="1" t="str">
        <f t="shared" si="3"/>
        <v/>
      </c>
      <c r="U113" s="1">
        <f t="shared" si="4"/>
        <v>100</v>
      </c>
      <c r="V113" s="3">
        <f t="shared" si="5"/>
        <v>100</v>
      </c>
      <c r="W113" s="3">
        <f t="shared" si="6"/>
        <v>100</v>
      </c>
      <c r="X113" s="3" t="str">
        <f t="shared" si="7"/>
        <v/>
      </c>
      <c r="Y113" s="3" t="str">
        <f t="shared" si="8"/>
        <v/>
      </c>
      <c r="Z113" s="1" t="str">
        <f t="shared" si="9"/>
        <v/>
      </c>
      <c r="AA113" s="3" t="str">
        <f t="shared" si="10"/>
        <v/>
      </c>
      <c r="AB113" s="3" t="str">
        <f>LOOKUP($A113,Sheet2!$A$1:$B$233)</f>
        <v>Europe &amp; Central Asia</v>
      </c>
    </row>
    <row r="114" spans="1:28">
      <c r="A114" s="1" t="s">
        <v>92</v>
      </c>
      <c r="B114" s="1">
        <v>2015</v>
      </c>
      <c r="C114" s="1">
        <v>25183.832030000001</v>
      </c>
      <c r="D114" s="1">
        <v>61.277004239999997</v>
      </c>
      <c r="E114" s="1">
        <v>95.21488171</v>
      </c>
      <c r="F114" s="1">
        <v>0.68500239009999997</v>
      </c>
      <c r="G114" s="1">
        <v>3.8290549180000002</v>
      </c>
      <c r="H114" s="1">
        <v>0.27106098029999998</v>
      </c>
      <c r="I114" s="1">
        <v>91.616968420000006</v>
      </c>
      <c r="J114" s="1">
        <v>0.36793963219999998</v>
      </c>
      <c r="K114" s="1">
        <v>7.3150919439999997</v>
      </c>
      <c r="L114" s="1">
        <v>0.7</v>
      </c>
      <c r="M114" s="1">
        <v>97.48852402</v>
      </c>
      <c r="N114" s="1">
        <v>0.88536500119999995</v>
      </c>
      <c r="O114" s="1">
        <v>1.626110978</v>
      </c>
      <c r="P114" s="1">
        <v>0</v>
      </c>
      <c r="Q114" s="2">
        <f t="shared" si="0"/>
        <v>5</v>
      </c>
      <c r="R114" s="1">
        <f t="shared" si="1"/>
        <v>-0.27420773599999959</v>
      </c>
      <c r="S114" s="1">
        <f t="shared" si="2"/>
        <v>-0.57266870800000047</v>
      </c>
      <c r="T114" s="1">
        <f t="shared" si="3"/>
        <v>-0.11500271600000075</v>
      </c>
      <c r="U114" s="1">
        <f t="shared" si="4"/>
        <v>95</v>
      </c>
      <c r="V114" s="3">
        <f t="shared" si="5"/>
        <v>92</v>
      </c>
      <c r="W114" s="3">
        <f t="shared" si="6"/>
        <v>97</v>
      </c>
      <c r="X114" s="3" t="str">
        <f t="shared" si="7"/>
        <v/>
      </c>
      <c r="Y114" s="3" t="str">
        <f t="shared" si="8"/>
        <v/>
      </c>
      <c r="Z114" s="1" t="str">
        <f t="shared" si="9"/>
        <v/>
      </c>
      <c r="AA114" s="3">
        <f t="shared" si="10"/>
        <v>-0.45766599199999969</v>
      </c>
      <c r="AB114" s="3" t="str">
        <f>LOOKUP($A114,Sheet2!$A$1:$B$233)</f>
        <v>East Asia &amp; Pacific</v>
      </c>
    </row>
    <row r="115" spans="1:28">
      <c r="A115" s="1" t="s">
        <v>92</v>
      </c>
      <c r="B115" s="1">
        <v>2020</v>
      </c>
      <c r="C115" s="1">
        <v>25778.814450000002</v>
      </c>
      <c r="D115" s="1">
        <v>62.381000520000001</v>
      </c>
      <c r="E115" s="1">
        <v>93.843843030000002</v>
      </c>
      <c r="F115" s="1">
        <v>0.68313118719999999</v>
      </c>
      <c r="G115" s="1">
        <v>5.2096927800000001</v>
      </c>
      <c r="H115" s="1">
        <v>0.26333300580000002</v>
      </c>
      <c r="I115" s="1">
        <v>88.753624880000004</v>
      </c>
      <c r="J115" s="1">
        <v>0.3564402606</v>
      </c>
      <c r="K115" s="1">
        <v>10.189934859999999</v>
      </c>
      <c r="L115" s="1">
        <v>0.7</v>
      </c>
      <c r="M115" s="1">
        <v>96.913510439999996</v>
      </c>
      <c r="N115" s="1">
        <v>0.88014287989999995</v>
      </c>
      <c r="O115" s="1">
        <v>2.206346677</v>
      </c>
      <c r="P115" s="1">
        <v>0</v>
      </c>
      <c r="Q115" s="2" t="str">
        <f t="shared" si="0"/>
        <v/>
      </c>
      <c r="R115" s="1" t="str">
        <f t="shared" si="1"/>
        <v/>
      </c>
      <c r="S115" s="1" t="str">
        <f t="shared" si="2"/>
        <v/>
      </c>
      <c r="T115" s="1" t="str">
        <f t="shared" si="3"/>
        <v/>
      </c>
      <c r="U115" s="1">
        <f t="shared" si="4"/>
        <v>94</v>
      </c>
      <c r="V115" s="3">
        <f t="shared" si="5"/>
        <v>89</v>
      </c>
      <c r="W115" s="3">
        <f t="shared" si="6"/>
        <v>97</v>
      </c>
      <c r="X115" s="3" t="str">
        <f t="shared" si="7"/>
        <v/>
      </c>
      <c r="Y115" s="3" t="str">
        <f t="shared" si="8"/>
        <v/>
      </c>
      <c r="Z115" s="1" t="str">
        <f t="shared" si="9"/>
        <v/>
      </c>
      <c r="AA115" s="3" t="str">
        <f t="shared" si="10"/>
        <v/>
      </c>
      <c r="AB115" s="3" t="str">
        <f>LOOKUP($A115,Sheet2!$A$1:$B$233)</f>
        <v>East Asia &amp; Pacific</v>
      </c>
    </row>
    <row r="116" spans="1:28">
      <c r="A116" s="1" t="s">
        <v>93</v>
      </c>
      <c r="B116" s="1">
        <v>2015</v>
      </c>
      <c r="C116" s="1">
        <v>76244.53125</v>
      </c>
      <c r="D116" s="1">
        <v>42.739997860000003</v>
      </c>
      <c r="E116" s="1">
        <v>42.718179970000001</v>
      </c>
      <c r="F116" s="1">
        <v>12.68729907</v>
      </c>
      <c r="G116" s="1">
        <v>34.284024770000002</v>
      </c>
      <c r="H116" s="1">
        <v>10.31049619</v>
      </c>
      <c r="I116" s="1">
        <v>20.6225138</v>
      </c>
      <c r="J116" s="1">
        <v>11.51689397</v>
      </c>
      <c r="K116" s="1">
        <v>51.009840029999999</v>
      </c>
      <c r="L116" s="1">
        <v>16.850752199999999</v>
      </c>
      <c r="M116" s="1">
        <v>72.320377789999995</v>
      </c>
      <c r="N116" s="1">
        <v>14.255324979999999</v>
      </c>
      <c r="O116" s="1">
        <v>11.87596826</v>
      </c>
      <c r="P116" s="1">
        <v>1.548328967</v>
      </c>
      <c r="Q116" s="2">
        <f t="shared" si="0"/>
        <v>5</v>
      </c>
      <c r="R116" s="1">
        <f t="shared" si="1"/>
        <v>0.6467893979999999</v>
      </c>
      <c r="S116" s="1">
        <f t="shared" si="2"/>
        <v>0.2720557079999999</v>
      </c>
      <c r="T116" s="1">
        <f t="shared" si="3"/>
        <v>0.43659539800000002</v>
      </c>
      <c r="U116" s="1">
        <f t="shared" si="4"/>
        <v>43</v>
      </c>
      <c r="V116" s="3">
        <f t="shared" si="5"/>
        <v>21</v>
      </c>
      <c r="W116" s="3">
        <f t="shared" si="6"/>
        <v>72</v>
      </c>
      <c r="X116" s="3" t="str">
        <f t="shared" si="7"/>
        <v/>
      </c>
      <c r="Y116" s="3" t="str">
        <f t="shared" si="8"/>
        <v/>
      </c>
      <c r="Z116" s="1" t="str">
        <f t="shared" si="9"/>
        <v/>
      </c>
      <c r="AA116" s="3">
        <f t="shared" si="10"/>
        <v>-0.16453969000000013</v>
      </c>
      <c r="AB116" s="3" t="str">
        <f>LOOKUP($A116,Sheet2!$A$1:$B$233)</f>
        <v>Sub-Saharan Africa</v>
      </c>
    </row>
    <row r="117" spans="1:28">
      <c r="A117" s="1" t="s">
        <v>93</v>
      </c>
      <c r="B117" s="1">
        <v>2020</v>
      </c>
      <c r="C117" s="1">
        <v>89561.40625</v>
      </c>
      <c r="D117" s="1">
        <v>45.638000490000003</v>
      </c>
      <c r="E117" s="1">
        <v>45.952126960000001</v>
      </c>
      <c r="F117" s="1">
        <v>13.44122447</v>
      </c>
      <c r="G117" s="1">
        <v>32.542316069999998</v>
      </c>
      <c r="H117" s="1">
        <v>8.0643324950000004</v>
      </c>
      <c r="I117" s="1">
        <v>21.98279234</v>
      </c>
      <c r="J117" s="1">
        <v>12.68294146</v>
      </c>
      <c r="K117" s="1">
        <v>51.215981669999998</v>
      </c>
      <c r="L117" s="1">
        <v>14.11828453</v>
      </c>
      <c r="M117" s="1">
        <v>74.503354779999995</v>
      </c>
      <c r="N117" s="1">
        <v>14.34445818</v>
      </c>
      <c r="O117" s="1">
        <v>10.29905862</v>
      </c>
      <c r="P117" s="1">
        <v>0.85312841309999998</v>
      </c>
      <c r="Q117" s="2" t="str">
        <f t="shared" si="0"/>
        <v/>
      </c>
      <c r="R117" s="1" t="str">
        <f t="shared" si="1"/>
        <v/>
      </c>
      <c r="S117" s="1" t="str">
        <f t="shared" si="2"/>
        <v/>
      </c>
      <c r="T117" s="1" t="str">
        <f t="shared" si="3"/>
        <v/>
      </c>
      <c r="U117" s="1">
        <f t="shared" si="4"/>
        <v>46</v>
      </c>
      <c r="V117" s="3">
        <f t="shared" si="5"/>
        <v>22</v>
      </c>
      <c r="W117" s="3">
        <f t="shared" si="6"/>
        <v>75</v>
      </c>
      <c r="X117" s="3" t="str">
        <f t="shared" si="7"/>
        <v/>
      </c>
      <c r="Y117" s="3" t="str">
        <f t="shared" si="8"/>
        <v/>
      </c>
      <c r="Z117" s="1" t="str">
        <f t="shared" si="9"/>
        <v/>
      </c>
      <c r="AA117" s="3" t="str">
        <f t="shared" si="10"/>
        <v/>
      </c>
      <c r="AB117" s="3" t="str">
        <f>LOOKUP($A117,Sheet2!$A$1:$B$233)</f>
        <v>Sub-Saharan Africa</v>
      </c>
    </row>
    <row r="118" spans="1:28">
      <c r="A118" s="1" t="s">
        <v>94</v>
      </c>
      <c r="B118" s="1">
        <v>2015</v>
      </c>
      <c r="C118" s="1">
        <v>5688.6948240000002</v>
      </c>
      <c r="D118" s="1">
        <v>87.526000980000006</v>
      </c>
      <c r="E118" s="1">
        <v>99.99999785</v>
      </c>
      <c r="F118" s="1">
        <v>0</v>
      </c>
      <c r="G118" s="1">
        <v>2.1458404119999999E-6</v>
      </c>
      <c r="H118" s="1">
        <v>0</v>
      </c>
      <c r="I118" s="1">
        <v>100</v>
      </c>
      <c r="J118" s="1">
        <v>0</v>
      </c>
      <c r="K118" s="1">
        <v>0</v>
      </c>
      <c r="L118" s="1">
        <v>0</v>
      </c>
      <c r="M118" s="1">
        <v>100</v>
      </c>
      <c r="N118" s="1">
        <v>0</v>
      </c>
      <c r="O118" s="1">
        <v>0</v>
      </c>
      <c r="P118" s="1">
        <v>0</v>
      </c>
      <c r="Q118" s="2">
        <f t="shared" si="0"/>
        <v>5</v>
      </c>
      <c r="R118" s="1">
        <f t="shared" si="1"/>
        <v>6.5000000120107866E-7</v>
      </c>
      <c r="S118" s="1">
        <f t="shared" si="2"/>
        <v>0</v>
      </c>
      <c r="T118" s="1">
        <f t="shared" si="3"/>
        <v>0</v>
      </c>
      <c r="U118" s="1">
        <f t="shared" si="4"/>
        <v>100</v>
      </c>
      <c r="V118" s="3">
        <f t="shared" si="5"/>
        <v>100</v>
      </c>
      <c r="W118" s="3">
        <f t="shared" si="6"/>
        <v>100</v>
      </c>
      <c r="X118" s="3" t="str">
        <f t="shared" si="7"/>
        <v>fullaccesss</v>
      </c>
      <c r="Y118" s="3" t="str">
        <f t="shared" si="8"/>
        <v>fullaccesss</v>
      </c>
      <c r="Z118" s="1" t="str">
        <f t="shared" si="9"/>
        <v>fullaccesss</v>
      </c>
      <c r="AA118" s="3">
        <f t="shared" si="10"/>
        <v>0</v>
      </c>
      <c r="AB118" s="3" t="str">
        <f>LOOKUP($A118,Sheet2!$A$1:$B$233)</f>
        <v>Europe &amp; Central Asia</v>
      </c>
    </row>
    <row r="119" spans="1:28">
      <c r="A119" s="1" t="s">
        <v>94</v>
      </c>
      <c r="B119" s="1">
        <v>2020</v>
      </c>
      <c r="C119" s="1">
        <v>5792.203125</v>
      </c>
      <c r="D119" s="1">
        <v>88.116004939999996</v>
      </c>
      <c r="E119" s="1">
        <v>100.00000110000001</v>
      </c>
      <c r="F119" s="1">
        <v>0</v>
      </c>
      <c r="G119" s="1">
        <v>0</v>
      </c>
      <c r="H119" s="1">
        <v>0</v>
      </c>
      <c r="I119" s="1">
        <v>100</v>
      </c>
      <c r="J119" s="1">
        <v>0</v>
      </c>
      <c r="K119" s="1">
        <v>0</v>
      </c>
      <c r="L119" s="1">
        <v>0</v>
      </c>
      <c r="M119" s="1">
        <v>100</v>
      </c>
      <c r="N119" s="1">
        <v>0</v>
      </c>
      <c r="O119" s="1">
        <v>0</v>
      </c>
      <c r="P119" s="1">
        <v>0</v>
      </c>
      <c r="Q119" s="2" t="str">
        <f t="shared" si="0"/>
        <v/>
      </c>
      <c r="R119" s="1" t="str">
        <f t="shared" si="1"/>
        <v/>
      </c>
      <c r="S119" s="1" t="str">
        <f t="shared" si="2"/>
        <v/>
      </c>
      <c r="T119" s="1" t="str">
        <f t="shared" si="3"/>
        <v/>
      </c>
      <c r="U119" s="1">
        <f t="shared" si="4"/>
        <v>100</v>
      </c>
      <c r="V119" s="3">
        <f t="shared" si="5"/>
        <v>100</v>
      </c>
      <c r="W119" s="3">
        <f t="shared" si="6"/>
        <v>100</v>
      </c>
      <c r="X119" s="3" t="str">
        <f t="shared" si="7"/>
        <v/>
      </c>
      <c r="Y119" s="3" t="str">
        <f t="shared" si="8"/>
        <v/>
      </c>
      <c r="Z119" s="1" t="str">
        <f t="shared" si="9"/>
        <v/>
      </c>
      <c r="AA119" s="3" t="str">
        <f t="shared" si="10"/>
        <v/>
      </c>
      <c r="AB119" s="3" t="str">
        <f>LOOKUP($A119,Sheet2!$A$1:$B$233)</f>
        <v>Europe &amp; Central Asia</v>
      </c>
    </row>
    <row r="120" spans="1:28">
      <c r="A120" s="1" t="s">
        <v>95</v>
      </c>
      <c r="B120" s="1">
        <v>2015</v>
      </c>
      <c r="C120" s="1">
        <v>913.99798580000004</v>
      </c>
      <c r="D120" s="1">
        <v>77.416992190000002</v>
      </c>
      <c r="E120" s="1">
        <v>75.787045030000002</v>
      </c>
      <c r="F120" s="1">
        <v>14.754171189999999</v>
      </c>
      <c r="G120" s="1">
        <v>7.3949239499999999</v>
      </c>
      <c r="H120" s="1">
        <v>2.0638598250000002</v>
      </c>
      <c r="I120" s="1">
        <v>48.759205090000002</v>
      </c>
      <c r="J120" s="1">
        <v>12.43877762</v>
      </c>
      <c r="K120" s="1">
        <v>30.377002539999999</v>
      </c>
      <c r="L120" s="1">
        <v>8.4250147539999993</v>
      </c>
      <c r="M120" s="1">
        <v>83.671229850000003</v>
      </c>
      <c r="N120" s="1">
        <v>15.42958572</v>
      </c>
      <c r="O120" s="1">
        <v>0.69091164790000004</v>
      </c>
      <c r="P120" s="1">
        <v>0.20827278539999999</v>
      </c>
      <c r="Q120" s="2">
        <f t="shared" si="0"/>
        <v>5</v>
      </c>
      <c r="R120" s="1">
        <f t="shared" si="1"/>
        <v>5.257503599999893E-2</v>
      </c>
      <c r="S120" s="1">
        <f t="shared" si="2"/>
        <v>-0.29569443200000051</v>
      </c>
      <c r="T120" s="1">
        <f t="shared" si="3"/>
        <v>9.2757015999998776E-2</v>
      </c>
      <c r="U120" s="1">
        <f t="shared" si="4"/>
        <v>76</v>
      </c>
      <c r="V120" s="3">
        <f t="shared" si="5"/>
        <v>49</v>
      </c>
      <c r="W120" s="3">
        <f t="shared" si="6"/>
        <v>84</v>
      </c>
      <c r="X120" s="3" t="str">
        <f t="shared" si="7"/>
        <v/>
      </c>
      <c r="Y120" s="3" t="str">
        <f t="shared" si="8"/>
        <v/>
      </c>
      <c r="Z120" s="1" t="str">
        <f t="shared" si="9"/>
        <v/>
      </c>
      <c r="AA120" s="3">
        <f t="shared" si="10"/>
        <v>-0.38845144799999931</v>
      </c>
      <c r="AB120" s="3" t="str">
        <f>LOOKUP($A120,Sheet2!$A$1:$B$233)</f>
        <v>Sub-Saharan Africa</v>
      </c>
    </row>
    <row r="121" spans="1:28">
      <c r="A121" s="1" t="s">
        <v>95</v>
      </c>
      <c r="B121" s="1">
        <v>2020</v>
      </c>
      <c r="C121" s="1">
        <v>988.00201419999996</v>
      </c>
      <c r="D121" s="1">
        <v>78.061996460000003</v>
      </c>
      <c r="E121" s="1">
        <v>76.049920209999996</v>
      </c>
      <c r="F121" s="1">
        <v>14.7574817</v>
      </c>
      <c r="G121" s="1">
        <v>7.0158760510000002</v>
      </c>
      <c r="H121" s="1">
        <v>2.1767220379999999</v>
      </c>
      <c r="I121" s="1">
        <v>47.280732929999999</v>
      </c>
      <c r="J121" s="1">
        <v>12.061610140000001</v>
      </c>
      <c r="K121" s="1">
        <v>30.735504679999998</v>
      </c>
      <c r="L121" s="1">
        <v>9.9221522489999998</v>
      </c>
      <c r="M121" s="1">
        <v>84.135014929999997</v>
      </c>
      <c r="N121" s="1">
        <v>15.51511107</v>
      </c>
      <c r="O121" s="1">
        <v>0.34987400289999998</v>
      </c>
      <c r="P121" s="1">
        <v>0</v>
      </c>
      <c r="Q121" s="2" t="str">
        <f t="shared" si="0"/>
        <v/>
      </c>
      <c r="R121" s="1" t="str">
        <f t="shared" si="1"/>
        <v/>
      </c>
      <c r="S121" s="1" t="str">
        <f t="shared" si="2"/>
        <v/>
      </c>
      <c r="T121" s="1" t="str">
        <f t="shared" si="3"/>
        <v/>
      </c>
      <c r="U121" s="1">
        <f t="shared" si="4"/>
        <v>76</v>
      </c>
      <c r="V121" s="3">
        <f t="shared" si="5"/>
        <v>47</v>
      </c>
      <c r="W121" s="3">
        <f t="shared" si="6"/>
        <v>84</v>
      </c>
      <c r="X121" s="3" t="str">
        <f t="shared" si="7"/>
        <v/>
      </c>
      <c r="Y121" s="3" t="str">
        <f t="shared" si="8"/>
        <v/>
      </c>
      <c r="Z121" s="1" t="str">
        <f t="shared" si="9"/>
        <v/>
      </c>
      <c r="AA121" s="3" t="str">
        <f t="shared" si="10"/>
        <v/>
      </c>
      <c r="AB121" s="3" t="str">
        <f>LOOKUP($A121,Sheet2!$A$1:$B$233)</f>
        <v>Sub-Saharan Africa</v>
      </c>
    </row>
    <row r="122" spans="1:28">
      <c r="A122" s="1" t="s">
        <v>96</v>
      </c>
      <c r="B122" s="1">
        <v>2015</v>
      </c>
      <c r="C122" s="1">
        <v>71.175003050000001</v>
      </c>
      <c r="D122" s="1">
        <v>69.578994750000007</v>
      </c>
      <c r="E122" s="1">
        <v>95.420656059999999</v>
      </c>
      <c r="F122" s="1">
        <v>0</v>
      </c>
      <c r="G122" s="1">
        <v>4.579343937</v>
      </c>
      <c r="H122" s="1">
        <v>0</v>
      </c>
      <c r="I122" s="1" t="s">
        <v>272</v>
      </c>
      <c r="J122" s="1" t="s">
        <v>272</v>
      </c>
      <c r="K122" s="1" t="s">
        <v>272</v>
      </c>
      <c r="L122" s="1" t="s">
        <v>272</v>
      </c>
      <c r="M122" s="1" t="s">
        <v>272</v>
      </c>
      <c r="N122" s="1" t="s">
        <v>272</v>
      </c>
      <c r="O122" s="1" t="s">
        <v>272</v>
      </c>
      <c r="P122" s="1" t="s">
        <v>272</v>
      </c>
      <c r="Q122" s="2">
        <f t="shared" si="0"/>
        <v>2</v>
      </c>
      <c r="R122" s="1">
        <f t="shared" si="1"/>
        <v>0</v>
      </c>
      <c r="S122" s="1" t="str">
        <f t="shared" si="2"/>
        <v>null</v>
      </c>
      <c r="T122" s="1" t="str">
        <f t="shared" si="3"/>
        <v>null</v>
      </c>
      <c r="U122" s="1">
        <f t="shared" si="4"/>
        <v>95</v>
      </c>
      <c r="V122" s="3" t="str">
        <f t="shared" si="5"/>
        <v>null</v>
      </c>
      <c r="W122" s="3" t="str">
        <f t="shared" si="6"/>
        <v>null</v>
      </c>
      <c r="X122" s="3" t="str">
        <f t="shared" si="7"/>
        <v/>
      </c>
      <c r="Y122" s="3" t="str">
        <f t="shared" si="8"/>
        <v/>
      </c>
      <c r="Z122" s="1" t="str">
        <f t="shared" si="9"/>
        <v/>
      </c>
      <c r="AA122" s="3" t="str">
        <f t="shared" si="10"/>
        <v>null</v>
      </c>
      <c r="AB122" s="3" t="str">
        <f>LOOKUP($A122,Sheet2!$A$1:$B$233)</f>
        <v>Latin America &amp; Caribbean</v>
      </c>
    </row>
    <row r="123" spans="1:28">
      <c r="A123" s="1" t="s">
        <v>96</v>
      </c>
      <c r="B123" s="1">
        <v>2017</v>
      </c>
      <c r="C123" s="1">
        <v>71.459999080000003</v>
      </c>
      <c r="D123" s="1">
        <v>70.180999760000006</v>
      </c>
      <c r="E123" s="1">
        <v>95.420656059999999</v>
      </c>
      <c r="F123" s="1">
        <v>0</v>
      </c>
      <c r="G123" s="1">
        <v>4.579343937</v>
      </c>
      <c r="H123" s="1">
        <v>0</v>
      </c>
      <c r="I123" s="1" t="s">
        <v>272</v>
      </c>
      <c r="J123" s="1" t="s">
        <v>272</v>
      </c>
      <c r="K123" s="1" t="s">
        <v>272</v>
      </c>
      <c r="L123" s="1" t="s">
        <v>272</v>
      </c>
      <c r="M123" s="1" t="s">
        <v>272</v>
      </c>
      <c r="N123" s="1" t="s">
        <v>272</v>
      </c>
      <c r="O123" s="1" t="s">
        <v>272</v>
      </c>
      <c r="P123" s="1" t="s">
        <v>272</v>
      </c>
      <c r="Q123" s="2" t="str">
        <f t="shared" si="0"/>
        <v/>
      </c>
      <c r="R123" s="1" t="str">
        <f t="shared" si="1"/>
        <v/>
      </c>
      <c r="S123" s="1" t="str">
        <f t="shared" si="2"/>
        <v/>
      </c>
      <c r="T123" s="1" t="str">
        <f t="shared" si="3"/>
        <v/>
      </c>
      <c r="U123" s="1">
        <f t="shared" si="4"/>
        <v>95</v>
      </c>
      <c r="V123" s="3" t="str">
        <f t="shared" si="5"/>
        <v>null</v>
      </c>
      <c r="W123" s="3" t="str">
        <f t="shared" si="6"/>
        <v>null</v>
      </c>
      <c r="X123" s="3" t="str">
        <f t="shared" si="7"/>
        <v/>
      </c>
      <c r="Y123" s="3" t="str">
        <f t="shared" si="8"/>
        <v/>
      </c>
      <c r="Z123" s="1" t="str">
        <f t="shared" si="9"/>
        <v/>
      </c>
      <c r="AA123" s="3" t="str">
        <f t="shared" si="10"/>
        <v/>
      </c>
      <c r="AB123" s="3" t="str">
        <f>LOOKUP($A123,Sheet2!$A$1:$B$233)</f>
        <v>Latin America &amp; Caribbean</v>
      </c>
    </row>
    <row r="124" spans="1:28">
      <c r="A124" s="1" t="s">
        <v>97</v>
      </c>
      <c r="B124" s="1">
        <v>2015</v>
      </c>
      <c r="C124" s="1">
        <v>10281.674800000001</v>
      </c>
      <c r="D124" s="1">
        <v>78.566001889999995</v>
      </c>
      <c r="E124" s="1">
        <v>96.099338500000002</v>
      </c>
      <c r="F124" s="1">
        <v>0.69521221550000001</v>
      </c>
      <c r="G124" s="1">
        <v>1.5505944979999999</v>
      </c>
      <c r="H124" s="1">
        <v>1.654854791</v>
      </c>
      <c r="I124" s="1">
        <v>89.211043779999997</v>
      </c>
      <c r="J124" s="1">
        <v>1.8228771610000001</v>
      </c>
      <c r="K124" s="1">
        <v>2.4418886230000001</v>
      </c>
      <c r="L124" s="1">
        <v>6.5241904399999999</v>
      </c>
      <c r="M124" s="1">
        <v>97.978569809999996</v>
      </c>
      <c r="N124" s="1">
        <v>0.3875681084</v>
      </c>
      <c r="O124" s="1">
        <v>1.3074359369999999</v>
      </c>
      <c r="P124" s="1">
        <v>0.32642614349999999</v>
      </c>
      <c r="Q124" s="2">
        <f t="shared" si="0"/>
        <v>5</v>
      </c>
      <c r="R124" s="1">
        <f t="shared" si="1"/>
        <v>0.11749468399999899</v>
      </c>
      <c r="S124" s="1">
        <f t="shared" si="2"/>
        <v>0.21868411800000159</v>
      </c>
      <c r="T124" s="1">
        <f t="shared" si="3"/>
        <v>1.1664354000001254E-2</v>
      </c>
      <c r="U124" s="1">
        <f t="shared" si="4"/>
        <v>96</v>
      </c>
      <c r="V124" s="3">
        <f t="shared" si="5"/>
        <v>89</v>
      </c>
      <c r="W124" s="3">
        <f t="shared" si="6"/>
        <v>98</v>
      </c>
      <c r="X124" s="3" t="str">
        <f t="shared" si="7"/>
        <v/>
      </c>
      <c r="Y124" s="3" t="str">
        <f t="shared" si="8"/>
        <v/>
      </c>
      <c r="Z124" s="1" t="str">
        <f t="shared" si="9"/>
        <v/>
      </c>
      <c r="AA124" s="3">
        <f t="shared" si="10"/>
        <v>0.20701976400000033</v>
      </c>
      <c r="AB124" s="3" t="str">
        <f>LOOKUP($A124,Sheet2!$A$1:$B$233)</f>
        <v>Latin America &amp; Caribbean</v>
      </c>
    </row>
    <row r="125" spans="1:28">
      <c r="A125" s="1" t="s">
        <v>97</v>
      </c>
      <c r="B125" s="1">
        <v>2020</v>
      </c>
      <c r="C125" s="1">
        <v>10847.9043</v>
      </c>
      <c r="D125" s="1">
        <v>82.540000919999997</v>
      </c>
      <c r="E125" s="1">
        <v>96.686811919999997</v>
      </c>
      <c r="F125" s="1">
        <v>0.46703865039999998</v>
      </c>
      <c r="G125" s="1">
        <v>1.2694287829999999</v>
      </c>
      <c r="H125" s="1">
        <v>1.5767206439999999</v>
      </c>
      <c r="I125" s="1">
        <v>90.304464370000005</v>
      </c>
      <c r="J125" s="1">
        <v>1.3853155079999999</v>
      </c>
      <c r="K125" s="1">
        <v>1.1151181269999999</v>
      </c>
      <c r="L125" s="1">
        <v>7.1951019909999996</v>
      </c>
      <c r="M125" s="1">
        <v>98.036891580000002</v>
      </c>
      <c r="N125" s="1">
        <v>0.27279203590000001</v>
      </c>
      <c r="O125" s="1">
        <v>1.3020733959999999</v>
      </c>
      <c r="P125" s="1">
        <v>0.38824299220000003</v>
      </c>
      <c r="Q125" s="2" t="str">
        <f t="shared" si="0"/>
        <v/>
      </c>
      <c r="R125" s="1" t="str">
        <f t="shared" si="1"/>
        <v/>
      </c>
      <c r="S125" s="1" t="str">
        <f t="shared" si="2"/>
        <v/>
      </c>
      <c r="T125" s="1" t="str">
        <f t="shared" si="3"/>
        <v/>
      </c>
      <c r="U125" s="1">
        <f t="shared" si="4"/>
        <v>97</v>
      </c>
      <c r="V125" s="3">
        <f t="shared" si="5"/>
        <v>90</v>
      </c>
      <c r="W125" s="3">
        <f t="shared" si="6"/>
        <v>98</v>
      </c>
      <c r="X125" s="3" t="str">
        <f t="shared" si="7"/>
        <v/>
      </c>
      <c r="Y125" s="3" t="str">
        <f t="shared" si="8"/>
        <v/>
      </c>
      <c r="Z125" s="1" t="str">
        <f t="shared" si="9"/>
        <v/>
      </c>
      <c r="AA125" s="3" t="str">
        <f t="shared" si="10"/>
        <v/>
      </c>
      <c r="AB125" s="3" t="str">
        <f>LOOKUP($A125,Sheet2!$A$1:$B$233)</f>
        <v>Latin America &amp; Caribbean</v>
      </c>
    </row>
    <row r="126" spans="1:28">
      <c r="A126" s="1" t="s">
        <v>98</v>
      </c>
      <c r="B126" s="1">
        <v>2015</v>
      </c>
      <c r="C126" s="1">
        <v>16212.02246</v>
      </c>
      <c r="D126" s="1">
        <v>63.397998809999997</v>
      </c>
      <c r="E126" s="1">
        <v>93.063779499999995</v>
      </c>
      <c r="F126" s="1">
        <v>0.19976017630000001</v>
      </c>
      <c r="G126" s="1">
        <v>3.1195651139999998</v>
      </c>
      <c r="H126" s="1">
        <v>3.6168952120000002</v>
      </c>
      <c r="I126" s="1">
        <v>82.552481950000001</v>
      </c>
      <c r="J126" s="1">
        <v>0.445629255</v>
      </c>
      <c r="K126" s="1">
        <v>7.379055031</v>
      </c>
      <c r="L126" s="1">
        <v>9.6228337600000007</v>
      </c>
      <c r="M126" s="1">
        <v>99.132339200000004</v>
      </c>
      <c r="N126" s="1">
        <v>5.7810890199999999E-2</v>
      </c>
      <c r="O126" s="1">
        <v>0.66040450689999997</v>
      </c>
      <c r="P126" s="1">
        <v>0.14944540680000001</v>
      </c>
      <c r="Q126" s="2">
        <f t="shared" si="0"/>
        <v>5</v>
      </c>
      <c r="R126" s="1">
        <f t="shared" si="1"/>
        <v>0.45919681200000184</v>
      </c>
      <c r="S126" s="1">
        <f t="shared" si="2"/>
        <v>0.89965259999999891</v>
      </c>
      <c r="T126" s="1">
        <f t="shared" si="3"/>
        <v>0.17353215999999919</v>
      </c>
      <c r="U126" s="1">
        <f t="shared" si="4"/>
        <v>93</v>
      </c>
      <c r="V126" s="3">
        <f t="shared" si="5"/>
        <v>83</v>
      </c>
      <c r="W126" s="3">
        <f t="shared" si="6"/>
        <v>99</v>
      </c>
      <c r="X126" s="3" t="str">
        <f t="shared" si="7"/>
        <v/>
      </c>
      <c r="Y126" s="3" t="str">
        <f t="shared" si="8"/>
        <v/>
      </c>
      <c r="Z126" s="1" t="str">
        <f t="shared" si="9"/>
        <v/>
      </c>
      <c r="AA126" s="3">
        <f t="shared" si="10"/>
        <v>0.72612043999999976</v>
      </c>
      <c r="AB126" s="3" t="str">
        <f>LOOKUP($A126,Sheet2!$A$1:$B$233)</f>
        <v>Latin America &amp; Caribbean</v>
      </c>
    </row>
    <row r="127" spans="1:28">
      <c r="A127" s="1" t="s">
        <v>98</v>
      </c>
      <c r="B127" s="1">
        <v>2020</v>
      </c>
      <c r="C127" s="1">
        <v>17643.060549999998</v>
      </c>
      <c r="D127" s="1">
        <v>64.166000370000006</v>
      </c>
      <c r="E127" s="1">
        <v>95.359763560000005</v>
      </c>
      <c r="F127" s="1">
        <v>3.451463449E-3</v>
      </c>
      <c r="G127" s="1">
        <v>2.6044853890000002</v>
      </c>
      <c r="H127" s="1">
        <v>2.032299589</v>
      </c>
      <c r="I127" s="1">
        <v>87.050744949999995</v>
      </c>
      <c r="J127" s="1">
        <v>9.6318110219999996E-3</v>
      </c>
      <c r="K127" s="1">
        <v>7.2681954900000001</v>
      </c>
      <c r="L127" s="1">
        <v>5.6714277470000001</v>
      </c>
      <c r="M127" s="1">
        <v>100</v>
      </c>
      <c r="N127" s="1">
        <v>0</v>
      </c>
      <c r="O127" s="1">
        <v>0</v>
      </c>
      <c r="P127" s="1">
        <v>0</v>
      </c>
      <c r="Q127" s="2" t="str">
        <f t="shared" si="0"/>
        <v/>
      </c>
      <c r="R127" s="1" t="str">
        <f t="shared" si="1"/>
        <v/>
      </c>
      <c r="S127" s="1" t="str">
        <f t="shared" si="2"/>
        <v/>
      </c>
      <c r="T127" s="1" t="str">
        <f t="shared" si="3"/>
        <v/>
      </c>
      <c r="U127" s="1">
        <f t="shared" si="4"/>
        <v>95</v>
      </c>
      <c r="V127" s="3">
        <f t="shared" si="5"/>
        <v>87</v>
      </c>
      <c r="W127" s="3">
        <f t="shared" si="6"/>
        <v>100</v>
      </c>
      <c r="X127" s="3" t="str">
        <f t="shared" si="7"/>
        <v/>
      </c>
      <c r="Y127" s="3" t="str">
        <f t="shared" si="8"/>
        <v/>
      </c>
      <c r="Z127" s="1" t="str">
        <f t="shared" si="9"/>
        <v/>
      </c>
      <c r="AA127" s="3" t="str">
        <f t="shared" si="10"/>
        <v/>
      </c>
      <c r="AB127" s="3" t="str">
        <f>LOOKUP($A127,Sheet2!$A$1:$B$233)</f>
        <v>Latin America &amp; Caribbean</v>
      </c>
    </row>
    <row r="128" spans="1:28">
      <c r="A128" s="1" t="s">
        <v>99</v>
      </c>
      <c r="B128" s="1">
        <v>2015</v>
      </c>
      <c r="C128" s="1">
        <v>92442.546879999994</v>
      </c>
      <c r="D128" s="1">
        <v>42.784999849999998</v>
      </c>
      <c r="E128" s="1">
        <v>99.106717540000005</v>
      </c>
      <c r="F128" s="1">
        <v>0.28637254010000002</v>
      </c>
      <c r="G128" s="1">
        <v>0.59343982930000005</v>
      </c>
      <c r="H128" s="1">
        <v>1.347009398E-2</v>
      </c>
      <c r="I128" s="1">
        <v>98.801877919999995</v>
      </c>
      <c r="J128" s="1">
        <v>0.41034629639999998</v>
      </c>
      <c r="K128" s="1">
        <v>0.76423283809999998</v>
      </c>
      <c r="L128" s="1">
        <v>2.3542941179999999E-2</v>
      </c>
      <c r="M128" s="1">
        <v>99.514369729999999</v>
      </c>
      <c r="N128" s="1">
        <v>0.12058643080000001</v>
      </c>
      <c r="O128" s="1">
        <v>0.36504384220000002</v>
      </c>
      <c r="P128" s="1">
        <v>0</v>
      </c>
      <c r="Q128" s="2">
        <f t="shared" si="0"/>
        <v>5</v>
      </c>
      <c r="R128" s="1">
        <f t="shared" si="1"/>
        <v>6.669168399999989E-2</v>
      </c>
      <c r="S128" s="1">
        <f t="shared" si="2"/>
        <v>0.1061914459999997</v>
      </c>
      <c r="T128" s="1">
        <f t="shared" si="3"/>
        <v>1.3872273999999152E-2</v>
      </c>
      <c r="U128" s="1">
        <f t="shared" si="4"/>
        <v>99</v>
      </c>
      <c r="V128" s="3">
        <f t="shared" si="5"/>
        <v>99</v>
      </c>
      <c r="W128" s="3">
        <f t="shared" si="6"/>
        <v>100</v>
      </c>
      <c r="X128" s="3" t="str">
        <f t="shared" si="7"/>
        <v/>
      </c>
      <c r="Y128" s="3" t="str">
        <f t="shared" si="8"/>
        <v/>
      </c>
      <c r="Z128" s="1" t="str">
        <f t="shared" si="9"/>
        <v>fullaccesss</v>
      </c>
      <c r="AA128" s="3">
        <f t="shared" si="10"/>
        <v>9.2319172000000546E-2</v>
      </c>
      <c r="AB128" s="3" t="str">
        <f>LOOKUP($A128,Sheet2!$A$1:$B$233)</f>
        <v>Middle East &amp; North Africa</v>
      </c>
    </row>
    <row r="129" spans="1:28">
      <c r="A129" s="1" t="s">
        <v>99</v>
      </c>
      <c r="B129" s="1">
        <v>2020</v>
      </c>
      <c r="C129" s="1">
        <v>102334.4063</v>
      </c>
      <c r="D129" s="1">
        <v>42.783000950000002</v>
      </c>
      <c r="E129" s="1">
        <v>99.440175960000005</v>
      </c>
      <c r="F129" s="1">
        <v>0.23760910860000001</v>
      </c>
      <c r="G129" s="1">
        <v>0.3222149265</v>
      </c>
      <c r="H129" s="1">
        <v>0</v>
      </c>
      <c r="I129" s="1">
        <v>99.332835149999994</v>
      </c>
      <c r="J129" s="1">
        <v>0.33594182239999998</v>
      </c>
      <c r="K129" s="1">
        <v>0.33122303190000002</v>
      </c>
      <c r="L129" s="1">
        <v>0</v>
      </c>
      <c r="M129" s="1">
        <v>99.583731099999994</v>
      </c>
      <c r="N129" s="1">
        <v>0.10610120670000001</v>
      </c>
      <c r="O129" s="1">
        <v>0.31016769430000002</v>
      </c>
      <c r="P129" s="1">
        <v>0</v>
      </c>
      <c r="Q129" s="2" t="str">
        <f t="shared" si="0"/>
        <v/>
      </c>
      <c r="R129" s="1" t="str">
        <f t="shared" si="1"/>
        <v/>
      </c>
      <c r="S129" s="1" t="str">
        <f t="shared" si="2"/>
        <v/>
      </c>
      <c r="T129" s="1" t="str">
        <f t="shared" si="3"/>
        <v/>
      </c>
      <c r="U129" s="1">
        <f t="shared" si="4"/>
        <v>99</v>
      </c>
      <c r="V129" s="3">
        <f t="shared" si="5"/>
        <v>99</v>
      </c>
      <c r="W129" s="3">
        <f t="shared" si="6"/>
        <v>100</v>
      </c>
      <c r="X129" s="3" t="str">
        <f t="shared" si="7"/>
        <v/>
      </c>
      <c r="Y129" s="3" t="str">
        <f t="shared" si="8"/>
        <v/>
      </c>
      <c r="Z129" s="1" t="str">
        <f t="shared" si="9"/>
        <v/>
      </c>
      <c r="AA129" s="3" t="str">
        <f t="shared" si="10"/>
        <v/>
      </c>
      <c r="AB129" s="3" t="str">
        <f>LOOKUP($A129,Sheet2!$A$1:$B$233)</f>
        <v>Middle East &amp; North Africa</v>
      </c>
    </row>
    <row r="130" spans="1:28">
      <c r="A130" s="1" t="s">
        <v>100</v>
      </c>
      <c r="B130" s="1">
        <v>2015</v>
      </c>
      <c r="C130" s="1">
        <v>6325.1210940000001</v>
      </c>
      <c r="D130" s="1">
        <v>69.699996949999999</v>
      </c>
      <c r="E130" s="1">
        <v>95.562137739999997</v>
      </c>
      <c r="F130" s="1">
        <v>0.58047977699999997</v>
      </c>
      <c r="G130" s="1">
        <v>1.1619505450000001</v>
      </c>
      <c r="H130" s="1">
        <v>2.6954319419999999</v>
      </c>
      <c r="I130" s="1">
        <v>87.961214319999996</v>
      </c>
      <c r="J130" s="1">
        <v>1.734743718</v>
      </c>
      <c r="K130" s="1">
        <v>2.4810339560000001</v>
      </c>
      <c r="L130" s="1">
        <v>7.8230080050000002</v>
      </c>
      <c r="M130" s="1">
        <v>98.866417850000005</v>
      </c>
      <c r="N130" s="1">
        <v>7.8697977569999994E-2</v>
      </c>
      <c r="O130" s="1">
        <v>0.58851288960000003</v>
      </c>
      <c r="P130" s="1">
        <v>0.4663712861</v>
      </c>
      <c r="Q130" s="2">
        <f t="shared" si="0"/>
        <v>5</v>
      </c>
      <c r="R130" s="1">
        <f t="shared" si="1"/>
        <v>0.47688753399999939</v>
      </c>
      <c r="S130" s="1">
        <f t="shared" si="2"/>
        <v>1.0986361520000003</v>
      </c>
      <c r="T130" s="1">
        <f t="shared" si="3"/>
        <v>0.14089043199999765</v>
      </c>
      <c r="U130" s="1">
        <f t="shared" si="4"/>
        <v>96</v>
      </c>
      <c r="V130" s="3">
        <f t="shared" si="5"/>
        <v>88</v>
      </c>
      <c r="W130" s="3">
        <f t="shared" si="6"/>
        <v>99</v>
      </c>
      <c r="X130" s="3" t="str">
        <f t="shared" si="7"/>
        <v/>
      </c>
      <c r="Y130" s="3" t="str">
        <f t="shared" si="8"/>
        <v/>
      </c>
      <c r="Z130" s="1" t="str">
        <f t="shared" si="9"/>
        <v/>
      </c>
      <c r="AA130" s="3">
        <f t="shared" si="10"/>
        <v>0.95774572000000269</v>
      </c>
      <c r="AB130" s="3" t="str">
        <f>LOOKUP($A130,Sheet2!$A$1:$B$233)</f>
        <v>Latin America &amp; Caribbean</v>
      </c>
    </row>
    <row r="131" spans="1:28">
      <c r="A131" s="1" t="s">
        <v>100</v>
      </c>
      <c r="B131" s="1">
        <v>2020</v>
      </c>
      <c r="C131" s="1">
        <v>6486.201172</v>
      </c>
      <c r="D131" s="1">
        <v>73.444000239999994</v>
      </c>
      <c r="E131" s="1">
        <v>97.946575409999994</v>
      </c>
      <c r="F131" s="1">
        <v>0.20726323190000001</v>
      </c>
      <c r="G131" s="1">
        <v>0.31517399689999998</v>
      </c>
      <c r="H131" s="1">
        <v>1.530987366</v>
      </c>
      <c r="I131" s="1">
        <v>93.454395079999998</v>
      </c>
      <c r="J131" s="1">
        <v>0.78047620490000003</v>
      </c>
      <c r="K131" s="1">
        <v>0</v>
      </c>
      <c r="L131" s="1">
        <v>5.7651287120000001</v>
      </c>
      <c r="M131" s="1">
        <v>99.570870009999993</v>
      </c>
      <c r="N131" s="1">
        <v>0</v>
      </c>
      <c r="O131" s="1">
        <v>0.42912999439999999</v>
      </c>
      <c r="P131" s="1">
        <v>0</v>
      </c>
      <c r="Q131" s="2" t="str">
        <f t="shared" si="0"/>
        <v/>
      </c>
      <c r="R131" s="1" t="str">
        <f t="shared" si="1"/>
        <v/>
      </c>
      <c r="S131" s="1" t="str">
        <f t="shared" si="2"/>
        <v/>
      </c>
      <c r="T131" s="1" t="str">
        <f t="shared" si="3"/>
        <v/>
      </c>
      <c r="U131" s="1">
        <f t="shared" si="4"/>
        <v>98</v>
      </c>
      <c r="V131" s="3">
        <f t="shared" si="5"/>
        <v>93</v>
      </c>
      <c r="W131" s="3">
        <f t="shared" si="6"/>
        <v>100</v>
      </c>
      <c r="X131" s="3" t="str">
        <f t="shared" si="7"/>
        <v/>
      </c>
      <c r="Y131" s="3" t="str">
        <f t="shared" si="8"/>
        <v/>
      </c>
      <c r="Z131" s="1" t="str">
        <f t="shared" si="9"/>
        <v/>
      </c>
      <c r="AA131" s="3" t="str">
        <f t="shared" si="10"/>
        <v/>
      </c>
      <c r="AB131" s="3" t="str">
        <f>LOOKUP($A131,Sheet2!$A$1:$B$233)</f>
        <v>Latin America &amp; Caribbean</v>
      </c>
    </row>
    <row r="132" spans="1:28">
      <c r="A132" s="1" t="s">
        <v>101</v>
      </c>
      <c r="B132" s="1">
        <v>2015</v>
      </c>
      <c r="C132" s="1">
        <v>1168.5749510000001</v>
      </c>
      <c r="D132" s="1">
        <v>70.616004939999996</v>
      </c>
      <c r="E132" s="1">
        <v>64.178601650000004</v>
      </c>
      <c r="F132" s="1">
        <v>2.9349338359999999</v>
      </c>
      <c r="G132" s="1">
        <v>26.328798880000001</v>
      </c>
      <c r="H132" s="1">
        <v>6.5576656309999999</v>
      </c>
      <c r="I132" s="1">
        <v>30.775369319999999</v>
      </c>
      <c r="J132" s="1">
        <v>1.353579774</v>
      </c>
      <c r="K132" s="1">
        <v>46.286056360000003</v>
      </c>
      <c r="L132" s="1">
        <v>21.584994550000001</v>
      </c>
      <c r="M132" s="1">
        <v>78.07800598</v>
      </c>
      <c r="N132" s="1">
        <v>3.5929503829999998</v>
      </c>
      <c r="O132" s="1">
        <v>18.02439455</v>
      </c>
      <c r="P132" s="1">
        <v>0.30464909089999997</v>
      </c>
      <c r="Q132" s="2">
        <f t="shared" si="0"/>
        <v>2</v>
      </c>
      <c r="R132" s="1">
        <f t="shared" si="1"/>
        <v>0.24360720499999644</v>
      </c>
      <c r="S132" s="1">
        <f t="shared" si="2"/>
        <v>0</v>
      </c>
      <c r="T132" s="1">
        <f t="shared" si="3"/>
        <v>0</v>
      </c>
      <c r="U132" s="1">
        <f t="shared" si="4"/>
        <v>64</v>
      </c>
      <c r="V132" s="3">
        <f t="shared" si="5"/>
        <v>31</v>
      </c>
      <c r="W132" s="3">
        <f t="shared" si="6"/>
        <v>78</v>
      </c>
      <c r="X132" s="3" t="str">
        <f t="shared" si="7"/>
        <v/>
      </c>
      <c r="Y132" s="3" t="str">
        <f t="shared" si="8"/>
        <v/>
      </c>
      <c r="Z132" s="1" t="str">
        <f t="shared" si="9"/>
        <v/>
      </c>
      <c r="AA132" s="3">
        <f t="shared" si="10"/>
        <v>0</v>
      </c>
      <c r="AB132" s="3" t="str">
        <f>LOOKUP($A132,Sheet2!$A$1:$B$233)</f>
        <v>Sub-Saharan Africa</v>
      </c>
    </row>
    <row r="133" spans="1:28">
      <c r="A133" s="1" t="s">
        <v>101</v>
      </c>
      <c r="B133" s="1">
        <v>2017</v>
      </c>
      <c r="C133" s="1">
        <v>1262.008057</v>
      </c>
      <c r="D133" s="1">
        <v>71.645996089999997</v>
      </c>
      <c r="E133" s="1">
        <v>64.665816059999997</v>
      </c>
      <c r="F133" s="1">
        <v>2.957999225</v>
      </c>
      <c r="G133" s="1">
        <v>26.037706329999999</v>
      </c>
      <c r="H133" s="1">
        <v>6.3384783860000002</v>
      </c>
      <c r="I133" s="1">
        <v>30.775369319999999</v>
      </c>
      <c r="J133" s="1">
        <v>1.353579774</v>
      </c>
      <c r="K133" s="1">
        <v>46.286056360000003</v>
      </c>
      <c r="L133" s="1">
        <v>21.584994550000001</v>
      </c>
      <c r="M133" s="1">
        <v>78.07800598</v>
      </c>
      <c r="N133" s="1">
        <v>3.5929503829999998</v>
      </c>
      <c r="O133" s="1">
        <v>18.02439455</v>
      </c>
      <c r="P133" s="1">
        <v>0.30464909089999997</v>
      </c>
      <c r="Q133" s="2" t="str">
        <f t="shared" si="0"/>
        <v/>
      </c>
      <c r="R133" s="1" t="str">
        <f t="shared" si="1"/>
        <v/>
      </c>
      <c r="S133" s="1" t="str">
        <f t="shared" si="2"/>
        <v/>
      </c>
      <c r="T133" s="1" t="str">
        <f t="shared" si="3"/>
        <v/>
      </c>
      <c r="U133" s="1">
        <f t="shared" si="4"/>
        <v>65</v>
      </c>
      <c r="V133" s="3">
        <f t="shared" si="5"/>
        <v>31</v>
      </c>
      <c r="W133" s="3">
        <f t="shared" si="6"/>
        <v>78</v>
      </c>
      <c r="X133" s="3" t="str">
        <f t="shared" si="7"/>
        <v/>
      </c>
      <c r="Y133" s="3" t="str">
        <f t="shared" si="8"/>
        <v/>
      </c>
      <c r="Z133" s="1" t="str">
        <f t="shared" si="9"/>
        <v/>
      </c>
      <c r="AA133" s="3" t="str">
        <f t="shared" si="10"/>
        <v/>
      </c>
      <c r="AB133" s="3" t="str">
        <f>LOOKUP($A133,Sheet2!$A$1:$B$233)</f>
        <v>Sub-Saharan Africa</v>
      </c>
    </row>
    <row r="134" spans="1:28">
      <c r="A134" s="1" t="s">
        <v>102</v>
      </c>
      <c r="B134" s="1">
        <v>2015</v>
      </c>
      <c r="C134" s="1">
        <v>3342.818115</v>
      </c>
      <c r="D134" s="1">
        <v>38.206001280000002</v>
      </c>
      <c r="E134" s="1">
        <v>51.465093529999997</v>
      </c>
      <c r="F134" s="1">
        <v>17.707633340000001</v>
      </c>
      <c r="G134" s="1">
        <v>13.55609825</v>
      </c>
      <c r="H134" s="1">
        <v>17.27117488</v>
      </c>
      <c r="I134" s="1">
        <v>27.801576470000001</v>
      </c>
      <c r="J134" s="1">
        <v>24.49842353</v>
      </c>
      <c r="K134" s="1">
        <v>20.074999999999999</v>
      </c>
      <c r="L134" s="1">
        <v>27.625</v>
      </c>
      <c r="M134" s="1">
        <v>89.738224529999997</v>
      </c>
      <c r="N134" s="1">
        <v>6.7242754739999997</v>
      </c>
      <c r="O134" s="1">
        <v>3.0125000000000002</v>
      </c>
      <c r="P134" s="1">
        <v>0.52500000000000002</v>
      </c>
      <c r="Q134" s="2">
        <f t="shared" si="0"/>
        <v>1</v>
      </c>
      <c r="R134" s="1">
        <f t="shared" si="1"/>
        <v>0.38462665000000129</v>
      </c>
      <c r="S134" s="1">
        <f t="shared" si="2"/>
        <v>0</v>
      </c>
      <c r="T134" s="1">
        <f t="shared" si="3"/>
        <v>0</v>
      </c>
      <c r="U134" s="1">
        <f t="shared" si="4"/>
        <v>51</v>
      </c>
      <c r="V134" s="3">
        <f t="shared" si="5"/>
        <v>28</v>
      </c>
      <c r="W134" s="3">
        <f t="shared" si="6"/>
        <v>90</v>
      </c>
      <c r="X134" s="3" t="str">
        <f t="shared" si="7"/>
        <v/>
      </c>
      <c r="Y134" s="3" t="str">
        <f t="shared" si="8"/>
        <v/>
      </c>
      <c r="Z134" s="1" t="str">
        <f t="shared" si="9"/>
        <v/>
      </c>
      <c r="AA134" s="3">
        <f t="shared" si="10"/>
        <v>0</v>
      </c>
      <c r="AB134" s="3" t="str">
        <f>LOOKUP($A134,Sheet2!$A$1:$B$233)</f>
        <v>Sub-Saharan Africa</v>
      </c>
    </row>
    <row r="135" spans="1:28">
      <c r="A135" s="1" t="s">
        <v>102</v>
      </c>
      <c r="B135" s="1">
        <v>2016</v>
      </c>
      <c r="C135" s="1">
        <v>3376.5581050000001</v>
      </c>
      <c r="D135" s="1">
        <v>38.826999659999998</v>
      </c>
      <c r="E135" s="1">
        <v>51.849720179999998</v>
      </c>
      <c r="F135" s="1">
        <v>17.59725585</v>
      </c>
      <c r="G135" s="1">
        <v>13.45014014</v>
      </c>
      <c r="H135" s="1">
        <v>17.102883840000001</v>
      </c>
      <c r="I135" s="1">
        <v>27.801576470000001</v>
      </c>
      <c r="J135" s="1">
        <v>24.49842353</v>
      </c>
      <c r="K135" s="1">
        <v>20.074999999999999</v>
      </c>
      <c r="L135" s="1">
        <v>27.625</v>
      </c>
      <c r="M135" s="1">
        <v>89.738224529999997</v>
      </c>
      <c r="N135" s="1">
        <v>6.7242754739999997</v>
      </c>
      <c r="O135" s="1">
        <v>3.0125000000000002</v>
      </c>
      <c r="P135" s="1">
        <v>0.52500000000000002</v>
      </c>
      <c r="Q135" s="2" t="str">
        <f t="shared" si="0"/>
        <v/>
      </c>
      <c r="R135" s="1" t="str">
        <f t="shared" si="1"/>
        <v/>
      </c>
      <c r="S135" s="1" t="str">
        <f t="shared" si="2"/>
        <v/>
      </c>
      <c r="T135" s="1" t="str">
        <f t="shared" si="3"/>
        <v/>
      </c>
      <c r="U135" s="1">
        <f t="shared" si="4"/>
        <v>52</v>
      </c>
      <c r="V135" s="3">
        <f t="shared" si="5"/>
        <v>28</v>
      </c>
      <c r="W135" s="3">
        <f t="shared" si="6"/>
        <v>90</v>
      </c>
      <c r="X135" s="3" t="str">
        <f t="shared" si="7"/>
        <v/>
      </c>
      <c r="Y135" s="3" t="str">
        <f t="shared" si="8"/>
        <v/>
      </c>
      <c r="Z135" s="1" t="str">
        <f t="shared" si="9"/>
        <v/>
      </c>
      <c r="AA135" s="3" t="str">
        <f t="shared" si="10"/>
        <v/>
      </c>
      <c r="AB135" s="3" t="str">
        <f>LOOKUP($A135,Sheet2!$A$1:$B$233)</f>
        <v>Sub-Saharan Africa</v>
      </c>
    </row>
    <row r="136" spans="1:28">
      <c r="A136" s="1" t="s">
        <v>103</v>
      </c>
      <c r="B136" s="1">
        <v>2015</v>
      </c>
      <c r="C136" s="1">
        <v>1315.329956</v>
      </c>
      <c r="D136" s="1">
        <v>68.416000370000006</v>
      </c>
      <c r="E136" s="1">
        <v>99.751307569999994</v>
      </c>
      <c r="F136" s="1">
        <v>0</v>
      </c>
      <c r="G136" s="1">
        <v>0.24869242890000001</v>
      </c>
      <c r="H136" s="1">
        <v>0</v>
      </c>
      <c r="I136" s="1">
        <v>99.244115809999997</v>
      </c>
      <c r="J136" s="1">
        <v>0</v>
      </c>
      <c r="K136" s="1">
        <v>0.75588419029999998</v>
      </c>
      <c r="L136" s="1">
        <v>0</v>
      </c>
      <c r="M136" s="1">
        <v>99.98545421</v>
      </c>
      <c r="N136" s="1">
        <v>0</v>
      </c>
      <c r="O136" s="1">
        <v>1.454579307E-2</v>
      </c>
      <c r="P136" s="1">
        <v>0</v>
      </c>
      <c r="Q136" s="2">
        <f t="shared" si="0"/>
        <v>5</v>
      </c>
      <c r="R136" s="1">
        <f t="shared" si="1"/>
        <v>-3.2105157999998822E-2</v>
      </c>
      <c r="S136" s="1" t="str">
        <f t="shared" si="2"/>
        <v>null</v>
      </c>
      <c r="T136" s="1">
        <f t="shared" si="3"/>
        <v>0</v>
      </c>
      <c r="U136" s="1">
        <f t="shared" si="4"/>
        <v>100</v>
      </c>
      <c r="V136" s="3">
        <f t="shared" si="5"/>
        <v>99</v>
      </c>
      <c r="W136" s="3">
        <f t="shared" si="6"/>
        <v>100</v>
      </c>
      <c r="X136" s="3" t="str">
        <f t="shared" si="7"/>
        <v>fullaccesss</v>
      </c>
      <c r="Y136" s="3" t="str">
        <f t="shared" si="8"/>
        <v/>
      </c>
      <c r="Z136" s="1" t="str">
        <f t="shared" si="9"/>
        <v>fullaccesss</v>
      </c>
      <c r="AA136" s="3" t="str">
        <f t="shared" si="10"/>
        <v>null</v>
      </c>
      <c r="AB136" s="3" t="str">
        <f>LOOKUP($A136,Sheet2!$A$1:$B$233)</f>
        <v>Europe &amp; Central Asia</v>
      </c>
    </row>
    <row r="137" spans="1:28">
      <c r="A137" s="1" t="s">
        <v>103</v>
      </c>
      <c r="B137" s="1">
        <v>2020</v>
      </c>
      <c r="C137" s="1">
        <v>1326.5389399999999</v>
      </c>
      <c r="D137" s="1">
        <v>69.229003910000003</v>
      </c>
      <c r="E137" s="1">
        <v>99.59078178</v>
      </c>
      <c r="F137" s="1">
        <v>0</v>
      </c>
      <c r="G137" s="1">
        <v>0.40921822320000001</v>
      </c>
      <c r="H137" s="1">
        <v>0</v>
      </c>
      <c r="I137" s="1" t="s">
        <v>272</v>
      </c>
      <c r="J137" s="1" t="s">
        <v>272</v>
      </c>
      <c r="K137" s="1" t="s">
        <v>272</v>
      </c>
      <c r="L137" s="1" t="s">
        <v>272</v>
      </c>
      <c r="M137" s="1">
        <v>99.98545421</v>
      </c>
      <c r="N137" s="1">
        <v>0</v>
      </c>
      <c r="O137" s="1">
        <v>1.454579307E-2</v>
      </c>
      <c r="P137" s="1">
        <v>0</v>
      </c>
      <c r="Q137" s="2" t="str">
        <f t="shared" si="0"/>
        <v/>
      </c>
      <c r="R137" s="1" t="str">
        <f t="shared" si="1"/>
        <v/>
      </c>
      <c r="S137" s="1" t="str">
        <f t="shared" si="2"/>
        <v/>
      </c>
      <c r="T137" s="1" t="str">
        <f t="shared" si="3"/>
        <v/>
      </c>
      <c r="U137" s="1">
        <f t="shared" si="4"/>
        <v>100</v>
      </c>
      <c r="V137" s="3" t="str">
        <f t="shared" si="5"/>
        <v>null</v>
      </c>
      <c r="W137" s="3">
        <f t="shared" si="6"/>
        <v>100</v>
      </c>
      <c r="X137" s="3" t="str">
        <f t="shared" si="7"/>
        <v/>
      </c>
      <c r="Y137" s="3" t="str">
        <f t="shared" si="8"/>
        <v/>
      </c>
      <c r="Z137" s="1" t="str">
        <f t="shared" si="9"/>
        <v/>
      </c>
      <c r="AA137" s="3" t="str">
        <f t="shared" si="10"/>
        <v/>
      </c>
      <c r="AB137" s="3" t="str">
        <f>LOOKUP($A137,Sheet2!$A$1:$B$233)</f>
        <v>Europe &amp; Central Asia</v>
      </c>
    </row>
    <row r="138" spans="1:28">
      <c r="A138" s="1" t="s">
        <v>104</v>
      </c>
      <c r="B138" s="1">
        <v>2015</v>
      </c>
      <c r="C138" s="1">
        <v>1104.0379640000001</v>
      </c>
      <c r="D138" s="1">
        <v>23.299999239999998</v>
      </c>
      <c r="E138" s="1">
        <v>66.703955219999997</v>
      </c>
      <c r="F138" s="1">
        <v>8.7676173330000005</v>
      </c>
      <c r="G138" s="1">
        <v>10.89011026</v>
      </c>
      <c r="H138" s="1">
        <v>13.63831719</v>
      </c>
      <c r="I138" s="1">
        <v>58.124984900000001</v>
      </c>
      <c r="J138" s="1">
        <v>11.182049299999999</v>
      </c>
      <c r="K138" s="1">
        <v>13.43987898</v>
      </c>
      <c r="L138" s="1">
        <v>17.253086830000001</v>
      </c>
      <c r="M138" s="1">
        <v>94.944600129999998</v>
      </c>
      <c r="N138" s="1">
        <v>0.81968032219999998</v>
      </c>
      <c r="O138" s="1">
        <v>2.4966655609999999</v>
      </c>
      <c r="P138" s="1">
        <v>1.7390539899999999</v>
      </c>
      <c r="Q138" s="2">
        <f t="shared" si="0"/>
        <v>5</v>
      </c>
      <c r="R138" s="1">
        <f t="shared" si="1"/>
        <v>0.80982314599999938</v>
      </c>
      <c r="S138" s="1">
        <f t="shared" si="2"/>
        <v>0.86829276799999922</v>
      </c>
      <c r="T138" s="1">
        <f t="shared" si="3"/>
        <v>0.36103258400000016</v>
      </c>
      <c r="U138" s="1">
        <f t="shared" si="4"/>
        <v>67</v>
      </c>
      <c r="V138" s="3">
        <f t="shared" si="5"/>
        <v>58</v>
      </c>
      <c r="W138" s="3">
        <f t="shared" si="6"/>
        <v>95</v>
      </c>
      <c r="X138" s="3" t="str">
        <f t="shared" si="7"/>
        <v/>
      </c>
      <c r="Y138" s="3" t="str">
        <f t="shared" si="8"/>
        <v/>
      </c>
      <c r="Z138" s="1" t="str">
        <f t="shared" si="9"/>
        <v/>
      </c>
      <c r="AA138" s="3">
        <f t="shared" si="10"/>
        <v>0.50726018399999906</v>
      </c>
      <c r="AB138" s="3" t="str">
        <f>LOOKUP($A138,Sheet2!$A$1:$B$233)</f>
        <v>Sub-Saharan Africa</v>
      </c>
    </row>
    <row r="139" spans="1:28">
      <c r="A139" s="1" t="s">
        <v>104</v>
      </c>
      <c r="B139" s="1">
        <v>2020</v>
      </c>
      <c r="C139" s="1">
        <v>1160.1639399999999</v>
      </c>
      <c r="D139" s="1">
        <v>24.17100143</v>
      </c>
      <c r="E139" s="1">
        <v>70.753070949999994</v>
      </c>
      <c r="F139" s="1">
        <v>9.5070671630000003</v>
      </c>
      <c r="G139" s="1">
        <v>9.8355679309999999</v>
      </c>
      <c r="H139" s="1">
        <v>9.9042939590000003</v>
      </c>
      <c r="I139" s="1">
        <v>62.466448739999997</v>
      </c>
      <c r="J139" s="1">
        <v>12.29969513</v>
      </c>
      <c r="K139" s="1">
        <v>12.45046093</v>
      </c>
      <c r="L139" s="1">
        <v>12.78339519</v>
      </c>
      <c r="M139" s="1">
        <v>96.749763049999999</v>
      </c>
      <c r="N139" s="1">
        <v>0.74606447310000001</v>
      </c>
      <c r="O139" s="1">
        <v>1.6321642439999999</v>
      </c>
      <c r="P139" s="1">
        <v>0.8720082294</v>
      </c>
      <c r="Q139" s="2" t="str">
        <f t="shared" si="0"/>
        <v/>
      </c>
      <c r="R139" s="1" t="str">
        <f t="shared" si="1"/>
        <v/>
      </c>
      <c r="S139" s="1" t="str">
        <f t="shared" si="2"/>
        <v/>
      </c>
      <c r="T139" s="1" t="str">
        <f t="shared" si="3"/>
        <v/>
      </c>
      <c r="U139" s="1">
        <f t="shared" si="4"/>
        <v>71</v>
      </c>
      <c r="V139" s="3">
        <f t="shared" si="5"/>
        <v>62</v>
      </c>
      <c r="W139" s="3">
        <f t="shared" si="6"/>
        <v>97</v>
      </c>
      <c r="X139" s="3" t="str">
        <f t="shared" si="7"/>
        <v/>
      </c>
      <c r="Y139" s="3" t="str">
        <f t="shared" si="8"/>
        <v/>
      </c>
      <c r="Z139" s="1" t="str">
        <f t="shared" si="9"/>
        <v/>
      </c>
      <c r="AA139" s="3" t="str">
        <f t="shared" si="10"/>
        <v/>
      </c>
      <c r="AB139" s="3" t="str">
        <f>LOOKUP($A139,Sheet2!$A$1:$B$233)</f>
        <v>Sub-Saharan Africa</v>
      </c>
    </row>
    <row r="140" spans="1:28">
      <c r="A140" s="1" t="s">
        <v>105</v>
      </c>
      <c r="B140" s="1">
        <v>2015</v>
      </c>
      <c r="C140" s="1">
        <v>100835.4531</v>
      </c>
      <c r="D140" s="1">
        <v>19.428001399999999</v>
      </c>
      <c r="E140" s="1">
        <v>42.070067199999997</v>
      </c>
      <c r="F140" s="1">
        <v>21.738790269999999</v>
      </c>
      <c r="G140" s="1">
        <v>24.477856150000001</v>
      </c>
      <c r="H140" s="1">
        <v>11.71328639</v>
      </c>
      <c r="I140" s="1">
        <v>32.451767429999997</v>
      </c>
      <c r="J140" s="1">
        <v>23.598552099999999</v>
      </c>
      <c r="K140" s="1">
        <v>29.78155581</v>
      </c>
      <c r="L140" s="1">
        <v>14.168124669999999</v>
      </c>
      <c r="M140" s="1">
        <v>81.959176540000001</v>
      </c>
      <c r="N140" s="1">
        <v>14.02596733</v>
      </c>
      <c r="O140" s="1">
        <v>2.4822996910000001</v>
      </c>
      <c r="P140" s="1">
        <v>1.5325564389999999</v>
      </c>
      <c r="Q140" s="2">
        <f t="shared" si="0"/>
        <v>5</v>
      </c>
      <c r="R140" s="1">
        <f t="shared" si="1"/>
        <v>1.5091011080000001</v>
      </c>
      <c r="S140" s="1">
        <f t="shared" si="2"/>
        <v>1.5156743520000007</v>
      </c>
      <c r="T140" s="1">
        <f t="shared" si="3"/>
        <v>0.4507303239999999</v>
      </c>
      <c r="U140" s="1">
        <f t="shared" si="4"/>
        <v>42</v>
      </c>
      <c r="V140" s="3">
        <f t="shared" si="5"/>
        <v>32</v>
      </c>
      <c r="W140" s="3">
        <f t="shared" si="6"/>
        <v>82</v>
      </c>
      <c r="X140" s="3" t="str">
        <f t="shared" si="7"/>
        <v/>
      </c>
      <c r="Y140" s="3" t="str">
        <f t="shared" si="8"/>
        <v/>
      </c>
      <c r="Z140" s="1" t="str">
        <f t="shared" si="9"/>
        <v/>
      </c>
      <c r="AA140" s="3">
        <f t="shared" si="10"/>
        <v>1.0649440280000007</v>
      </c>
      <c r="AB140" s="3" t="str">
        <f>LOOKUP($A140,Sheet2!$A$1:$B$233)</f>
        <v>Sub-Saharan Africa</v>
      </c>
    </row>
    <row r="141" spans="1:28">
      <c r="A141" s="1" t="s">
        <v>105</v>
      </c>
      <c r="B141" s="1">
        <v>2020</v>
      </c>
      <c r="C141" s="1">
        <v>114963.58590000001</v>
      </c>
      <c r="D141" s="1">
        <v>21.69499969</v>
      </c>
      <c r="E141" s="1">
        <v>49.615572739999998</v>
      </c>
      <c r="F141" s="1">
        <v>26.740719639999998</v>
      </c>
      <c r="G141" s="1">
        <v>18.635060129999999</v>
      </c>
      <c r="H141" s="1">
        <v>5.0086474860000001</v>
      </c>
      <c r="I141" s="1">
        <v>40.03013919</v>
      </c>
      <c r="J141" s="1">
        <v>30.186683339999998</v>
      </c>
      <c r="K141" s="1">
        <v>23.49561327</v>
      </c>
      <c r="L141" s="1">
        <v>6.2875642029999996</v>
      </c>
      <c r="M141" s="1">
        <v>84.212828160000001</v>
      </c>
      <c r="N141" s="1">
        <v>14.30300858</v>
      </c>
      <c r="O141" s="1">
        <v>1.0915823549999999</v>
      </c>
      <c r="P141" s="1">
        <v>0.39258089600000001</v>
      </c>
      <c r="Q141" s="2" t="str">
        <f t="shared" si="0"/>
        <v/>
      </c>
      <c r="R141" s="1" t="str">
        <f t="shared" si="1"/>
        <v/>
      </c>
      <c r="S141" s="1" t="str">
        <f t="shared" si="2"/>
        <v/>
      </c>
      <c r="T141" s="1" t="str">
        <f t="shared" si="3"/>
        <v/>
      </c>
      <c r="U141" s="1">
        <f t="shared" si="4"/>
        <v>50</v>
      </c>
      <c r="V141" s="3">
        <f t="shared" si="5"/>
        <v>40</v>
      </c>
      <c r="W141" s="3">
        <f t="shared" si="6"/>
        <v>84</v>
      </c>
      <c r="X141" s="3" t="str">
        <f t="shared" si="7"/>
        <v/>
      </c>
      <c r="Y141" s="3" t="str">
        <f t="shared" si="8"/>
        <v/>
      </c>
      <c r="Z141" s="1" t="str">
        <f t="shared" si="9"/>
        <v/>
      </c>
      <c r="AA141" s="3" t="str">
        <f t="shared" si="10"/>
        <v/>
      </c>
      <c r="AB141" s="3" t="str">
        <f>LOOKUP($A141,Sheet2!$A$1:$B$233)</f>
        <v>Sub-Saharan Africa</v>
      </c>
    </row>
    <row r="142" spans="1:28">
      <c r="A142" s="1" t="s">
        <v>106</v>
      </c>
      <c r="B142" s="1">
        <v>2015</v>
      </c>
      <c r="C142" s="1">
        <v>48.055000309999997</v>
      </c>
      <c r="D142" s="1">
        <v>41.63799667</v>
      </c>
      <c r="E142" s="1">
        <v>100</v>
      </c>
      <c r="F142" s="1">
        <v>0</v>
      </c>
      <c r="G142" s="1">
        <v>0</v>
      </c>
      <c r="H142" s="1">
        <v>0</v>
      </c>
      <c r="I142" s="1" t="s">
        <v>272</v>
      </c>
      <c r="J142" s="1" t="s">
        <v>272</v>
      </c>
      <c r="K142" s="1" t="s">
        <v>272</v>
      </c>
      <c r="L142" s="1" t="s">
        <v>272</v>
      </c>
      <c r="M142" s="1" t="s">
        <v>272</v>
      </c>
      <c r="N142" s="1" t="s">
        <v>272</v>
      </c>
      <c r="O142" s="1" t="s">
        <v>272</v>
      </c>
      <c r="P142" s="1" t="s">
        <v>272</v>
      </c>
      <c r="Q142" s="2">
        <f t="shared" si="0"/>
        <v>5</v>
      </c>
      <c r="R142" s="1">
        <f t="shared" si="1"/>
        <v>0</v>
      </c>
      <c r="S142" s="1" t="str">
        <f t="shared" si="2"/>
        <v>null</v>
      </c>
      <c r="T142" s="1" t="str">
        <f t="shared" si="3"/>
        <v>null</v>
      </c>
      <c r="U142" s="1">
        <f t="shared" si="4"/>
        <v>100</v>
      </c>
      <c r="V142" s="3" t="str">
        <f t="shared" si="5"/>
        <v>null</v>
      </c>
      <c r="W142" s="3" t="str">
        <f t="shared" si="6"/>
        <v>null</v>
      </c>
      <c r="X142" s="3" t="str">
        <f t="shared" si="7"/>
        <v>fullaccesss</v>
      </c>
      <c r="Y142" s="3" t="str">
        <f t="shared" si="8"/>
        <v/>
      </c>
      <c r="Z142" s="1" t="str">
        <f t="shared" si="9"/>
        <v/>
      </c>
      <c r="AA142" s="3" t="str">
        <f t="shared" si="10"/>
        <v>null</v>
      </c>
      <c r="AB142" s="3" t="str">
        <f>LOOKUP($A142,Sheet2!$A$1:$B$233)</f>
        <v>Europe &amp; Central Asia</v>
      </c>
    </row>
    <row r="143" spans="1:28">
      <c r="A143" s="1" t="s">
        <v>106</v>
      </c>
      <c r="B143" s="1">
        <v>2020</v>
      </c>
      <c r="C143" s="1">
        <v>48.865001679999999</v>
      </c>
      <c r="D143" s="1">
        <v>42.397998809999997</v>
      </c>
      <c r="E143" s="1">
        <v>100</v>
      </c>
      <c r="F143" s="1">
        <v>0</v>
      </c>
      <c r="G143" s="1">
        <v>0</v>
      </c>
      <c r="H143" s="1">
        <v>0</v>
      </c>
      <c r="I143" s="1" t="s">
        <v>272</v>
      </c>
      <c r="J143" s="1" t="s">
        <v>272</v>
      </c>
      <c r="K143" s="1" t="s">
        <v>272</v>
      </c>
      <c r="L143" s="1" t="s">
        <v>272</v>
      </c>
      <c r="M143" s="1" t="s">
        <v>272</v>
      </c>
      <c r="N143" s="1" t="s">
        <v>272</v>
      </c>
      <c r="O143" s="1" t="s">
        <v>272</v>
      </c>
      <c r="P143" s="1" t="s">
        <v>272</v>
      </c>
      <c r="Q143" s="2" t="str">
        <f t="shared" si="0"/>
        <v/>
      </c>
      <c r="R143" s="1" t="str">
        <f t="shared" si="1"/>
        <v/>
      </c>
      <c r="S143" s="1" t="str">
        <f t="shared" si="2"/>
        <v/>
      </c>
      <c r="T143" s="1" t="str">
        <f t="shared" si="3"/>
        <v/>
      </c>
      <c r="U143" s="1">
        <f t="shared" si="4"/>
        <v>100</v>
      </c>
      <c r="V143" s="3" t="str">
        <f t="shared" si="5"/>
        <v>null</v>
      </c>
      <c r="W143" s="3" t="str">
        <f t="shared" si="6"/>
        <v>null</v>
      </c>
      <c r="X143" s="3" t="str">
        <f t="shared" si="7"/>
        <v/>
      </c>
      <c r="Y143" s="3" t="str">
        <f t="shared" si="8"/>
        <v/>
      </c>
      <c r="Z143" s="1" t="str">
        <f t="shared" si="9"/>
        <v/>
      </c>
      <c r="AA143" s="3" t="str">
        <f t="shared" si="10"/>
        <v/>
      </c>
      <c r="AB143" s="3" t="str">
        <f>LOOKUP($A143,Sheet2!$A$1:$B$233)</f>
        <v>Europe &amp; Central Asia</v>
      </c>
    </row>
    <row r="144" spans="1:28">
      <c r="A144" s="1" t="s">
        <v>107</v>
      </c>
      <c r="B144" s="1">
        <v>2015</v>
      </c>
      <c r="C144" s="1">
        <v>2.8359999660000001</v>
      </c>
      <c r="D144" s="1">
        <v>76.268005369999997</v>
      </c>
      <c r="E144" s="1">
        <v>94.820006660000004</v>
      </c>
      <c r="F144" s="1">
        <v>0</v>
      </c>
      <c r="G144" s="1">
        <v>5.1799933429999996</v>
      </c>
      <c r="H144" s="1">
        <v>0</v>
      </c>
      <c r="I144" s="1">
        <v>78.172942820000003</v>
      </c>
      <c r="J144" s="1">
        <v>0</v>
      </c>
      <c r="K144" s="1">
        <v>21.827057180000001</v>
      </c>
      <c r="L144" s="1">
        <v>0</v>
      </c>
      <c r="M144" s="1">
        <v>100</v>
      </c>
      <c r="N144" s="1">
        <v>0</v>
      </c>
      <c r="O144" s="1">
        <v>0</v>
      </c>
      <c r="P144" s="1">
        <v>0</v>
      </c>
      <c r="Q144" s="2">
        <f t="shared" si="0"/>
        <v>5</v>
      </c>
      <c r="R144" s="1">
        <f t="shared" si="1"/>
        <v>9.7784147999999502E-2</v>
      </c>
      <c r="S144" s="1">
        <f t="shared" si="2"/>
        <v>0</v>
      </c>
      <c r="T144" s="1">
        <f t="shared" si="3"/>
        <v>0</v>
      </c>
      <c r="U144" s="1">
        <f t="shared" si="4"/>
        <v>95</v>
      </c>
      <c r="V144" s="3">
        <f t="shared" si="5"/>
        <v>78</v>
      </c>
      <c r="W144" s="3">
        <f t="shared" si="6"/>
        <v>100</v>
      </c>
      <c r="X144" s="3" t="str">
        <f t="shared" si="7"/>
        <v/>
      </c>
      <c r="Y144" s="3" t="str">
        <f t="shared" si="8"/>
        <v/>
      </c>
      <c r="Z144" s="1" t="str">
        <f t="shared" si="9"/>
        <v>fullaccesss</v>
      </c>
      <c r="AA144" s="3">
        <f t="shared" si="10"/>
        <v>0</v>
      </c>
      <c r="AB144" s="3" t="str">
        <f>LOOKUP($A144,Sheet2!$A$1:$B$233)</f>
        <v>Latin America &amp; Caribbean</v>
      </c>
    </row>
    <row r="145" spans="1:28">
      <c r="A145" s="1" t="s">
        <v>107</v>
      </c>
      <c r="B145" s="1">
        <v>2020</v>
      </c>
      <c r="C145" s="1">
        <v>3.4830000399999999</v>
      </c>
      <c r="D145" s="1">
        <v>78.507995609999995</v>
      </c>
      <c r="E145" s="1">
        <v>95.308927400000002</v>
      </c>
      <c r="F145" s="1">
        <v>0</v>
      </c>
      <c r="G145" s="1">
        <v>4.6910725959999997</v>
      </c>
      <c r="H145" s="1">
        <v>0</v>
      </c>
      <c r="I145" s="1">
        <v>78.172942820000003</v>
      </c>
      <c r="J145" s="1">
        <v>0</v>
      </c>
      <c r="K145" s="1">
        <v>21.827057180000001</v>
      </c>
      <c r="L145" s="1">
        <v>0</v>
      </c>
      <c r="M145" s="1">
        <v>100</v>
      </c>
      <c r="N145" s="1">
        <v>0</v>
      </c>
      <c r="O145" s="1">
        <v>0</v>
      </c>
      <c r="P145" s="1">
        <v>0</v>
      </c>
      <c r="Q145" s="2" t="str">
        <f t="shared" si="0"/>
        <v/>
      </c>
      <c r="R145" s="1" t="str">
        <f t="shared" si="1"/>
        <v/>
      </c>
      <c r="S145" s="1" t="str">
        <f t="shared" si="2"/>
        <v/>
      </c>
      <c r="T145" s="1" t="str">
        <f t="shared" si="3"/>
        <v/>
      </c>
      <c r="U145" s="1">
        <f t="shared" si="4"/>
        <v>95</v>
      </c>
      <c r="V145" s="3">
        <f t="shared" si="5"/>
        <v>78</v>
      </c>
      <c r="W145" s="3">
        <f t="shared" si="6"/>
        <v>100</v>
      </c>
      <c r="X145" s="3" t="str">
        <f t="shared" si="7"/>
        <v/>
      </c>
      <c r="Y145" s="3" t="str">
        <f t="shared" si="8"/>
        <v/>
      </c>
      <c r="Z145" s="1" t="str">
        <f t="shared" si="9"/>
        <v/>
      </c>
      <c r="AA145" s="3" t="str">
        <f t="shared" si="10"/>
        <v/>
      </c>
      <c r="AB145" s="3" t="str">
        <f>LOOKUP($A145,Sheet2!$A$1:$B$233)</f>
        <v>Latin America &amp; Caribbean</v>
      </c>
    </row>
    <row r="146" spans="1:28">
      <c r="A146" s="1" t="s">
        <v>108</v>
      </c>
      <c r="B146" s="1">
        <v>2015</v>
      </c>
      <c r="C146" s="1">
        <v>868.63201900000001</v>
      </c>
      <c r="D146" s="1">
        <v>54.725997919999998</v>
      </c>
      <c r="E146" s="1">
        <v>94.262558670000004</v>
      </c>
      <c r="F146" s="1">
        <v>0</v>
      </c>
      <c r="G146" s="1">
        <v>3.4193659360000002</v>
      </c>
      <c r="H146" s="1">
        <v>2.3180753950000001</v>
      </c>
      <c r="I146" s="1">
        <v>89.378527390000002</v>
      </c>
      <c r="J146" s="1">
        <v>0</v>
      </c>
      <c r="K146" s="1">
        <v>5.8294678109999998</v>
      </c>
      <c r="L146" s="1">
        <v>4.7920047950000004</v>
      </c>
      <c r="M146" s="1">
        <v>98.303044670000006</v>
      </c>
      <c r="N146" s="1">
        <v>0</v>
      </c>
      <c r="O146" s="1">
        <v>1.4255247120000001</v>
      </c>
      <c r="P146" s="1">
        <v>0.27143061419999998</v>
      </c>
      <c r="Q146" s="2">
        <f t="shared" si="0"/>
        <v>5</v>
      </c>
      <c r="R146" s="1">
        <f t="shared" si="1"/>
        <v>7.7013139999991152E-3</v>
      </c>
      <c r="S146" s="1">
        <f t="shared" si="2"/>
        <v>-5.8100668000000154E-2</v>
      </c>
      <c r="T146" s="1">
        <f t="shared" si="3"/>
        <v>-2.1760122000000593E-2</v>
      </c>
      <c r="U146" s="1">
        <f t="shared" si="4"/>
        <v>94</v>
      </c>
      <c r="V146" s="3">
        <f t="shared" si="5"/>
        <v>89</v>
      </c>
      <c r="W146" s="3">
        <f t="shared" si="6"/>
        <v>98</v>
      </c>
      <c r="X146" s="3" t="str">
        <f t="shared" si="7"/>
        <v/>
      </c>
      <c r="Y146" s="3" t="str">
        <f t="shared" si="8"/>
        <v/>
      </c>
      <c r="Z146" s="1" t="str">
        <f t="shared" si="9"/>
        <v/>
      </c>
      <c r="AA146" s="3">
        <f t="shared" si="10"/>
        <v>-3.6340545999999557E-2</v>
      </c>
      <c r="AB146" s="3" t="str">
        <f>LOOKUP($A146,Sheet2!$A$1:$B$233)</f>
        <v>East Asia &amp; Pacific</v>
      </c>
    </row>
    <row r="147" spans="1:28">
      <c r="A147" s="1" t="s">
        <v>108</v>
      </c>
      <c r="B147" s="1">
        <v>2020</v>
      </c>
      <c r="C147" s="1">
        <v>896.44396970000003</v>
      </c>
      <c r="D147" s="1">
        <v>57.247005459999997</v>
      </c>
      <c r="E147" s="1">
        <v>94.30106524</v>
      </c>
      <c r="F147" s="1">
        <v>0</v>
      </c>
      <c r="G147" s="1">
        <v>3.3186027660000001</v>
      </c>
      <c r="H147" s="1">
        <v>2.380331999</v>
      </c>
      <c r="I147" s="1">
        <v>89.088024050000001</v>
      </c>
      <c r="J147" s="1">
        <v>0</v>
      </c>
      <c r="K147" s="1">
        <v>5.7598979379999999</v>
      </c>
      <c r="L147" s="1">
        <v>5.1520780119999996</v>
      </c>
      <c r="M147" s="1">
        <v>98.194244060000003</v>
      </c>
      <c r="N147" s="1">
        <v>0</v>
      </c>
      <c r="O147" s="1">
        <v>1.495409344</v>
      </c>
      <c r="P147" s="1">
        <v>0.31034659219999999</v>
      </c>
      <c r="Q147" s="2" t="str">
        <f t="shared" si="0"/>
        <v/>
      </c>
      <c r="R147" s="1" t="str">
        <f t="shared" si="1"/>
        <v/>
      </c>
      <c r="S147" s="1" t="str">
        <f t="shared" si="2"/>
        <v/>
      </c>
      <c r="T147" s="1" t="str">
        <f t="shared" si="3"/>
        <v/>
      </c>
      <c r="U147" s="1">
        <f t="shared" si="4"/>
        <v>94</v>
      </c>
      <c r="V147" s="3">
        <f t="shared" si="5"/>
        <v>89</v>
      </c>
      <c r="W147" s="3">
        <f t="shared" si="6"/>
        <v>98</v>
      </c>
      <c r="X147" s="3" t="str">
        <f t="shared" si="7"/>
        <v/>
      </c>
      <c r="Y147" s="3" t="str">
        <f t="shared" si="8"/>
        <v/>
      </c>
      <c r="Z147" s="1" t="str">
        <f t="shared" si="9"/>
        <v/>
      </c>
      <c r="AA147" s="3" t="str">
        <f t="shared" si="10"/>
        <v/>
      </c>
      <c r="AB147" s="3" t="str">
        <f>LOOKUP($A147,Sheet2!$A$1:$B$233)</f>
        <v>East Asia &amp; Pacific</v>
      </c>
    </row>
    <row r="148" spans="1:28">
      <c r="A148" s="1" t="s">
        <v>109</v>
      </c>
      <c r="B148" s="1">
        <v>2015</v>
      </c>
      <c r="C148" s="1">
        <v>5481.1279299999997</v>
      </c>
      <c r="D148" s="1">
        <v>85.224998470000003</v>
      </c>
      <c r="E148" s="1">
        <v>99.999996659999994</v>
      </c>
      <c r="F148" s="1">
        <v>0</v>
      </c>
      <c r="G148" s="1">
        <v>3.3406530800000001E-6</v>
      </c>
      <c r="H148" s="1">
        <v>0</v>
      </c>
      <c r="I148" s="1">
        <v>100</v>
      </c>
      <c r="J148" s="1">
        <v>0</v>
      </c>
      <c r="K148" s="1">
        <v>0</v>
      </c>
      <c r="L148" s="1">
        <v>0</v>
      </c>
      <c r="M148" s="1">
        <v>100</v>
      </c>
      <c r="N148" s="1">
        <v>0</v>
      </c>
      <c r="O148" s="1">
        <v>0</v>
      </c>
      <c r="P148" s="1">
        <v>0</v>
      </c>
      <c r="Q148" s="2">
        <f t="shared" si="0"/>
        <v>5</v>
      </c>
      <c r="R148" s="1">
        <f t="shared" si="1"/>
        <v>1.3280000018767169E-6</v>
      </c>
      <c r="S148" s="1">
        <f t="shared" si="2"/>
        <v>0</v>
      </c>
      <c r="T148" s="1">
        <f t="shared" si="3"/>
        <v>0</v>
      </c>
      <c r="U148" s="1">
        <f t="shared" si="4"/>
        <v>100</v>
      </c>
      <c r="V148" s="3">
        <f t="shared" si="5"/>
        <v>100</v>
      </c>
      <c r="W148" s="3">
        <f t="shared" si="6"/>
        <v>100</v>
      </c>
      <c r="X148" s="3" t="str">
        <f t="shared" si="7"/>
        <v>fullaccesss</v>
      </c>
      <c r="Y148" s="3" t="str">
        <f t="shared" si="8"/>
        <v>fullaccesss</v>
      </c>
      <c r="Z148" s="1" t="str">
        <f t="shared" si="9"/>
        <v>fullaccesss</v>
      </c>
      <c r="AA148" s="3">
        <f t="shared" si="10"/>
        <v>0</v>
      </c>
      <c r="AB148" s="3" t="str">
        <f>LOOKUP($A148,Sheet2!$A$1:$B$233)</f>
        <v>Europe &amp; Central Asia</v>
      </c>
    </row>
    <row r="149" spans="1:28">
      <c r="A149" s="1" t="s">
        <v>109</v>
      </c>
      <c r="B149" s="1">
        <v>2020</v>
      </c>
      <c r="C149" s="1">
        <v>5540.7177730000003</v>
      </c>
      <c r="D149" s="1">
        <v>85.517005920000003</v>
      </c>
      <c r="E149" s="1">
        <v>100.0000033</v>
      </c>
      <c r="F149" s="1">
        <v>0</v>
      </c>
      <c r="G149" s="1">
        <v>0</v>
      </c>
      <c r="H149" s="1">
        <v>0</v>
      </c>
      <c r="I149" s="1">
        <v>100</v>
      </c>
      <c r="J149" s="1">
        <v>0</v>
      </c>
      <c r="K149" s="1">
        <v>0</v>
      </c>
      <c r="L149" s="1">
        <v>0</v>
      </c>
      <c r="M149" s="1">
        <v>100</v>
      </c>
      <c r="N149" s="1">
        <v>0</v>
      </c>
      <c r="O149" s="1">
        <v>0</v>
      </c>
      <c r="P149" s="1">
        <v>0</v>
      </c>
      <c r="Q149" s="2" t="str">
        <f t="shared" si="0"/>
        <v/>
      </c>
      <c r="R149" s="1" t="str">
        <f t="shared" si="1"/>
        <v/>
      </c>
      <c r="S149" s="1" t="str">
        <f t="shared" si="2"/>
        <v/>
      </c>
      <c r="T149" s="1" t="str">
        <f t="shared" si="3"/>
        <v/>
      </c>
      <c r="U149" s="1">
        <f t="shared" si="4"/>
        <v>100</v>
      </c>
      <c r="V149" s="3">
        <f t="shared" si="5"/>
        <v>100</v>
      </c>
      <c r="W149" s="3">
        <f t="shared" si="6"/>
        <v>100</v>
      </c>
      <c r="X149" s="3" t="str">
        <f t="shared" si="7"/>
        <v/>
      </c>
      <c r="Y149" s="3" t="str">
        <f t="shared" si="8"/>
        <v/>
      </c>
      <c r="Z149" s="1" t="str">
        <f t="shared" si="9"/>
        <v/>
      </c>
      <c r="AA149" s="3" t="str">
        <f t="shared" si="10"/>
        <v/>
      </c>
      <c r="AB149" s="3" t="str">
        <f>LOOKUP($A149,Sheet2!$A$1:$B$233)</f>
        <v>Europe &amp; Central Asia</v>
      </c>
    </row>
    <row r="150" spans="1:28">
      <c r="A150" s="1" t="s">
        <v>110</v>
      </c>
      <c r="B150" s="1">
        <v>2015</v>
      </c>
      <c r="C150" s="1">
        <v>64453.195310000003</v>
      </c>
      <c r="D150" s="1">
        <v>79.65499878</v>
      </c>
      <c r="E150" s="1">
        <v>100</v>
      </c>
      <c r="F150" s="1">
        <v>0</v>
      </c>
      <c r="G150" s="1">
        <v>0</v>
      </c>
      <c r="H150" s="1">
        <v>0</v>
      </c>
      <c r="I150" s="1">
        <v>100</v>
      </c>
      <c r="J150" s="1">
        <v>0</v>
      </c>
      <c r="K150" s="1">
        <v>0</v>
      </c>
      <c r="L150" s="1">
        <v>0</v>
      </c>
      <c r="M150" s="1">
        <v>100</v>
      </c>
      <c r="N150" s="1">
        <v>0</v>
      </c>
      <c r="O150" s="1">
        <v>0</v>
      </c>
      <c r="P150" s="1">
        <v>0</v>
      </c>
      <c r="Q150" s="2">
        <f t="shared" si="0"/>
        <v>5</v>
      </c>
      <c r="R150" s="1">
        <f t="shared" si="1"/>
        <v>-2.999999992425728E-7</v>
      </c>
      <c r="S150" s="1">
        <f t="shared" si="2"/>
        <v>0</v>
      </c>
      <c r="T150" s="1">
        <f t="shared" si="3"/>
        <v>0</v>
      </c>
      <c r="U150" s="1">
        <f t="shared" si="4"/>
        <v>100</v>
      </c>
      <c r="V150" s="3">
        <f t="shared" si="5"/>
        <v>100</v>
      </c>
      <c r="W150" s="3">
        <f t="shared" si="6"/>
        <v>100</v>
      </c>
      <c r="X150" s="3" t="str">
        <f t="shared" si="7"/>
        <v>fullaccesss</v>
      </c>
      <c r="Y150" s="3" t="str">
        <f t="shared" si="8"/>
        <v>fullaccesss</v>
      </c>
      <c r="Z150" s="1" t="str">
        <f t="shared" si="9"/>
        <v>fullaccesss</v>
      </c>
      <c r="AA150" s="3">
        <f t="shared" si="10"/>
        <v>0</v>
      </c>
      <c r="AB150" s="3" t="str">
        <f>LOOKUP($A150,Sheet2!$A$1:$B$233)</f>
        <v>Europe &amp; Central Asia</v>
      </c>
    </row>
    <row r="151" spans="1:28">
      <c r="A151" s="1" t="s">
        <v>110</v>
      </c>
      <c r="B151" s="1">
        <v>2020</v>
      </c>
      <c r="C151" s="1">
        <v>65273.511720000002</v>
      </c>
      <c r="D151" s="1">
        <v>80.974998470000003</v>
      </c>
      <c r="E151" s="1">
        <v>99.999998500000004</v>
      </c>
      <c r="F151" s="1">
        <v>0</v>
      </c>
      <c r="G151" s="1">
        <v>1.49610841E-6</v>
      </c>
      <c r="H151" s="1">
        <v>0</v>
      </c>
      <c r="I151" s="1">
        <v>100</v>
      </c>
      <c r="J151" s="1">
        <v>0</v>
      </c>
      <c r="K151" s="1">
        <v>0</v>
      </c>
      <c r="L151" s="1">
        <v>0</v>
      </c>
      <c r="M151" s="1">
        <v>100</v>
      </c>
      <c r="N151" s="1">
        <v>0</v>
      </c>
      <c r="O151" s="1">
        <v>0</v>
      </c>
      <c r="P151" s="1">
        <v>0</v>
      </c>
      <c r="Q151" s="2" t="str">
        <f t="shared" si="0"/>
        <v/>
      </c>
      <c r="R151" s="1" t="str">
        <f t="shared" si="1"/>
        <v/>
      </c>
      <c r="S151" s="1" t="str">
        <f t="shared" si="2"/>
        <v/>
      </c>
      <c r="T151" s="1" t="str">
        <f t="shared" si="3"/>
        <v/>
      </c>
      <c r="U151" s="1">
        <f t="shared" si="4"/>
        <v>100</v>
      </c>
      <c r="V151" s="3">
        <f t="shared" si="5"/>
        <v>100</v>
      </c>
      <c r="W151" s="3">
        <f t="shared" si="6"/>
        <v>100</v>
      </c>
      <c r="X151" s="3" t="str">
        <f t="shared" si="7"/>
        <v/>
      </c>
      <c r="Y151" s="3" t="str">
        <f t="shared" si="8"/>
        <v/>
      </c>
      <c r="Z151" s="1" t="str">
        <f t="shared" si="9"/>
        <v/>
      </c>
      <c r="AA151" s="3" t="str">
        <f t="shared" si="10"/>
        <v/>
      </c>
      <c r="AB151" s="3" t="str">
        <f>LOOKUP($A151,Sheet2!$A$1:$B$233)</f>
        <v>Europe &amp; Central Asia</v>
      </c>
    </row>
    <row r="152" spans="1:28">
      <c r="A152" s="1" t="s">
        <v>111</v>
      </c>
      <c r="B152" s="1">
        <v>2015</v>
      </c>
      <c r="C152" s="1">
        <v>261.00799560000002</v>
      </c>
      <c r="D152" s="1">
        <v>84.482002260000002</v>
      </c>
      <c r="E152" s="1">
        <v>93.562056569999996</v>
      </c>
      <c r="F152" s="1">
        <v>0</v>
      </c>
      <c r="G152" s="1">
        <v>6.4379434250000003</v>
      </c>
      <c r="H152" s="1">
        <v>0</v>
      </c>
      <c r="I152" s="1" t="s">
        <v>272</v>
      </c>
      <c r="J152" s="1" t="s">
        <v>272</v>
      </c>
      <c r="K152" s="1" t="s">
        <v>272</v>
      </c>
      <c r="L152" s="1" t="s">
        <v>272</v>
      </c>
      <c r="M152" s="1" t="s">
        <v>272</v>
      </c>
      <c r="N152" s="1" t="s">
        <v>272</v>
      </c>
      <c r="O152" s="1" t="s">
        <v>272</v>
      </c>
      <c r="P152" s="1" t="s">
        <v>272</v>
      </c>
      <c r="Q152" s="2">
        <f t="shared" si="0"/>
        <v>5</v>
      </c>
      <c r="R152" s="1">
        <f t="shared" si="1"/>
        <v>4.4031956000000608E-2</v>
      </c>
      <c r="S152" s="1" t="str">
        <f t="shared" si="2"/>
        <v>null</v>
      </c>
      <c r="T152" s="1" t="str">
        <f t="shared" si="3"/>
        <v>null</v>
      </c>
      <c r="U152" s="1">
        <f t="shared" si="4"/>
        <v>94</v>
      </c>
      <c r="V152" s="3" t="str">
        <f t="shared" si="5"/>
        <v>null</v>
      </c>
      <c r="W152" s="3" t="str">
        <f t="shared" si="6"/>
        <v>null</v>
      </c>
      <c r="X152" s="3" t="str">
        <f t="shared" si="7"/>
        <v/>
      </c>
      <c r="Y152" s="3" t="str">
        <f t="shared" si="8"/>
        <v/>
      </c>
      <c r="Z152" s="1" t="str">
        <f t="shared" si="9"/>
        <v/>
      </c>
      <c r="AA152" s="3" t="str">
        <f t="shared" si="10"/>
        <v>null</v>
      </c>
      <c r="AB152" s="3" t="str">
        <f>LOOKUP($A152,Sheet2!$A$1:$B$233)</f>
        <v>Latin America &amp; Caribbean</v>
      </c>
    </row>
    <row r="153" spans="1:28">
      <c r="A153" s="1" t="s">
        <v>111</v>
      </c>
      <c r="B153" s="1">
        <v>2020</v>
      </c>
      <c r="C153" s="1">
        <v>298.68200680000001</v>
      </c>
      <c r="D153" s="1">
        <v>85.819999690000003</v>
      </c>
      <c r="E153" s="1">
        <v>93.782216349999999</v>
      </c>
      <c r="F153" s="1">
        <v>0</v>
      </c>
      <c r="G153" s="1">
        <v>6.2177836519999996</v>
      </c>
      <c r="H153" s="1">
        <v>0</v>
      </c>
      <c r="I153" s="1" t="s">
        <v>272</v>
      </c>
      <c r="J153" s="1" t="s">
        <v>272</v>
      </c>
      <c r="K153" s="1" t="s">
        <v>272</v>
      </c>
      <c r="L153" s="1" t="s">
        <v>272</v>
      </c>
      <c r="M153" s="1" t="s">
        <v>272</v>
      </c>
      <c r="N153" s="1" t="s">
        <v>272</v>
      </c>
      <c r="O153" s="1" t="s">
        <v>272</v>
      </c>
      <c r="P153" s="1" t="s">
        <v>272</v>
      </c>
      <c r="Q153" s="2" t="str">
        <f t="shared" si="0"/>
        <v/>
      </c>
      <c r="R153" s="1" t="str">
        <f t="shared" si="1"/>
        <v/>
      </c>
      <c r="S153" s="1" t="str">
        <f t="shared" si="2"/>
        <v/>
      </c>
      <c r="T153" s="1" t="str">
        <f t="shared" si="3"/>
        <v/>
      </c>
      <c r="U153" s="1">
        <f t="shared" si="4"/>
        <v>94</v>
      </c>
      <c r="V153" s="3" t="str">
        <f t="shared" si="5"/>
        <v>null</v>
      </c>
      <c r="W153" s="3" t="str">
        <f t="shared" si="6"/>
        <v>null</v>
      </c>
      <c r="X153" s="3" t="str">
        <f t="shared" si="7"/>
        <v/>
      </c>
      <c r="Y153" s="3" t="str">
        <f t="shared" si="8"/>
        <v/>
      </c>
      <c r="Z153" s="1" t="str">
        <f t="shared" si="9"/>
        <v/>
      </c>
      <c r="AA153" s="3" t="str">
        <f t="shared" si="10"/>
        <v/>
      </c>
      <c r="AB153" s="3" t="str">
        <f>LOOKUP($A153,Sheet2!$A$1:$B$233)</f>
        <v>Latin America &amp; Caribbean</v>
      </c>
    </row>
    <row r="154" spans="1:28">
      <c r="A154" s="1" t="s">
        <v>112</v>
      </c>
      <c r="B154" s="1">
        <v>2015</v>
      </c>
      <c r="C154" s="1">
        <v>273.118988</v>
      </c>
      <c r="D154" s="1">
        <v>61.683002469999998</v>
      </c>
      <c r="E154" s="1">
        <v>100</v>
      </c>
      <c r="F154" s="1">
        <v>0</v>
      </c>
      <c r="G154" s="1">
        <v>0</v>
      </c>
      <c r="H154" s="1">
        <v>0</v>
      </c>
      <c r="I154" s="1" t="s">
        <v>272</v>
      </c>
      <c r="J154" s="1" t="s">
        <v>272</v>
      </c>
      <c r="K154" s="1" t="s">
        <v>272</v>
      </c>
      <c r="L154" s="1" t="s">
        <v>272</v>
      </c>
      <c r="M154" s="1" t="s">
        <v>272</v>
      </c>
      <c r="N154" s="1" t="s">
        <v>272</v>
      </c>
      <c r="O154" s="1" t="s">
        <v>272</v>
      </c>
      <c r="P154" s="1" t="s">
        <v>272</v>
      </c>
      <c r="Q154" s="2">
        <f t="shared" si="0"/>
        <v>5</v>
      </c>
      <c r="R154" s="1">
        <f t="shared" si="1"/>
        <v>0</v>
      </c>
      <c r="S154" s="1" t="str">
        <f t="shared" si="2"/>
        <v>null</v>
      </c>
      <c r="T154" s="1" t="str">
        <f t="shared" si="3"/>
        <v>null</v>
      </c>
      <c r="U154" s="1">
        <f t="shared" si="4"/>
        <v>100</v>
      </c>
      <c r="V154" s="3" t="str">
        <f t="shared" si="5"/>
        <v>null</v>
      </c>
      <c r="W154" s="3" t="str">
        <f t="shared" si="6"/>
        <v>null</v>
      </c>
      <c r="X154" s="3" t="str">
        <f t="shared" si="7"/>
        <v>fullaccesss</v>
      </c>
      <c r="Y154" s="3" t="str">
        <f t="shared" si="8"/>
        <v/>
      </c>
      <c r="Z154" s="1" t="str">
        <f t="shared" si="9"/>
        <v/>
      </c>
      <c r="AA154" s="3" t="str">
        <f t="shared" si="10"/>
        <v>null</v>
      </c>
      <c r="AB154" s="3" t="str">
        <f>LOOKUP($A154,Sheet2!$A$1:$B$233)</f>
        <v>East Asia &amp; Pacific</v>
      </c>
    </row>
    <row r="155" spans="1:28">
      <c r="A155" s="1" t="s">
        <v>112</v>
      </c>
      <c r="B155" s="1">
        <v>2020</v>
      </c>
      <c r="C155" s="1">
        <v>280.90399170000001</v>
      </c>
      <c r="D155" s="1">
        <v>61.975002289999999</v>
      </c>
      <c r="E155" s="1">
        <v>100</v>
      </c>
      <c r="F155" s="1">
        <v>0</v>
      </c>
      <c r="G155" s="1">
        <v>0</v>
      </c>
      <c r="H155" s="1">
        <v>0</v>
      </c>
      <c r="I155" s="1" t="s">
        <v>272</v>
      </c>
      <c r="J155" s="1" t="s">
        <v>272</v>
      </c>
      <c r="K155" s="1" t="s">
        <v>272</v>
      </c>
      <c r="L155" s="1" t="s">
        <v>272</v>
      </c>
      <c r="M155" s="1" t="s">
        <v>272</v>
      </c>
      <c r="N155" s="1" t="s">
        <v>272</v>
      </c>
      <c r="O155" s="1" t="s">
        <v>272</v>
      </c>
      <c r="P155" s="1" t="s">
        <v>272</v>
      </c>
      <c r="Q155" s="2" t="str">
        <f t="shared" si="0"/>
        <v/>
      </c>
      <c r="R155" s="1" t="str">
        <f t="shared" si="1"/>
        <v/>
      </c>
      <c r="S155" s="1" t="str">
        <f t="shared" si="2"/>
        <v/>
      </c>
      <c r="T155" s="1" t="str">
        <f t="shared" si="3"/>
        <v/>
      </c>
      <c r="U155" s="1">
        <f t="shared" si="4"/>
        <v>100</v>
      </c>
      <c r="V155" s="3" t="str">
        <f t="shared" si="5"/>
        <v>null</v>
      </c>
      <c r="W155" s="3" t="str">
        <f t="shared" si="6"/>
        <v>null</v>
      </c>
      <c r="X155" s="3" t="str">
        <f t="shared" si="7"/>
        <v/>
      </c>
      <c r="Y155" s="3" t="str">
        <f t="shared" si="8"/>
        <v/>
      </c>
      <c r="Z155" s="1" t="str">
        <f t="shared" si="9"/>
        <v/>
      </c>
      <c r="AA155" s="3" t="str">
        <f t="shared" si="10"/>
        <v/>
      </c>
      <c r="AB155" s="3" t="str">
        <f>LOOKUP($A155,Sheet2!$A$1:$B$233)</f>
        <v>East Asia &amp; Pacific</v>
      </c>
    </row>
    <row r="156" spans="1:28">
      <c r="A156" s="1" t="s">
        <v>113</v>
      </c>
      <c r="B156" s="1">
        <v>2015</v>
      </c>
      <c r="C156" s="1">
        <v>1947.6899410000001</v>
      </c>
      <c r="D156" s="1">
        <v>88.117996219999995</v>
      </c>
      <c r="E156" s="1">
        <v>83.858486549999995</v>
      </c>
      <c r="F156" s="1">
        <v>7.7224304339999996</v>
      </c>
      <c r="G156" s="1">
        <v>4.9241821100000003</v>
      </c>
      <c r="H156" s="1">
        <v>3.4949009009999998</v>
      </c>
      <c r="I156" s="1">
        <v>43.390033160000002</v>
      </c>
      <c r="J156" s="1">
        <v>10.192647770000001</v>
      </c>
      <c r="K156" s="1">
        <v>21.81093263</v>
      </c>
      <c r="L156" s="1">
        <v>24.606386440000001</v>
      </c>
      <c r="M156" s="1">
        <v>89.315331869999994</v>
      </c>
      <c r="N156" s="1">
        <v>7.3893416170000004</v>
      </c>
      <c r="O156" s="1">
        <v>2.6471391450000001</v>
      </c>
      <c r="P156" s="1">
        <v>0.6481873668</v>
      </c>
      <c r="Q156" s="2">
        <f t="shared" si="0"/>
        <v>5</v>
      </c>
      <c r="R156" s="1">
        <f t="shared" si="1"/>
        <v>0.29668881000000058</v>
      </c>
      <c r="S156" s="1">
        <f t="shared" si="2"/>
        <v>0.27117116999999952</v>
      </c>
      <c r="T156" s="1">
        <f t="shared" si="3"/>
        <v>9.824145999999985E-2</v>
      </c>
      <c r="U156" s="1">
        <f t="shared" si="4"/>
        <v>84</v>
      </c>
      <c r="V156" s="3">
        <f t="shared" si="5"/>
        <v>43</v>
      </c>
      <c r="W156" s="3">
        <f t="shared" si="6"/>
        <v>89</v>
      </c>
      <c r="X156" s="3" t="str">
        <f t="shared" si="7"/>
        <v/>
      </c>
      <c r="Y156" s="3" t="str">
        <f t="shared" si="8"/>
        <v/>
      </c>
      <c r="Z156" s="1" t="str">
        <f t="shared" si="9"/>
        <v/>
      </c>
      <c r="AA156" s="3">
        <f t="shared" si="10"/>
        <v>0.17292970999999968</v>
      </c>
      <c r="AB156" s="3" t="str">
        <f>LOOKUP($A156,Sheet2!$A$1:$B$233)</f>
        <v>Sub-Saharan Africa</v>
      </c>
    </row>
    <row r="157" spans="1:28">
      <c r="A157" s="1" t="s">
        <v>113</v>
      </c>
      <c r="B157" s="1">
        <v>2020</v>
      </c>
      <c r="C157" s="1">
        <v>2225.7280270000001</v>
      </c>
      <c r="D157" s="1">
        <v>90.092002870000002</v>
      </c>
      <c r="E157" s="1">
        <v>85.341930599999998</v>
      </c>
      <c r="F157" s="1">
        <v>7.7352631030000003</v>
      </c>
      <c r="G157" s="1">
        <v>6.9228083570000001</v>
      </c>
      <c r="H157" s="1" t="s">
        <v>272</v>
      </c>
      <c r="I157" s="1">
        <v>44.745889009999999</v>
      </c>
      <c r="J157" s="1">
        <v>10.511148589999999</v>
      </c>
      <c r="K157" s="1">
        <v>44.742962400000003</v>
      </c>
      <c r="L157" s="1" t="s">
        <v>272</v>
      </c>
      <c r="M157" s="1">
        <v>89.806539169999994</v>
      </c>
      <c r="N157" s="1">
        <v>7.4299807600000003</v>
      </c>
      <c r="O157" s="1">
        <v>2.7634800720000001</v>
      </c>
      <c r="P157" s="1" t="s">
        <v>272</v>
      </c>
      <c r="Q157" s="2" t="str">
        <f t="shared" si="0"/>
        <v/>
      </c>
      <c r="R157" s="1" t="str">
        <f t="shared" si="1"/>
        <v/>
      </c>
      <c r="S157" s="1" t="str">
        <f t="shared" si="2"/>
        <v/>
      </c>
      <c r="T157" s="1" t="str">
        <f t="shared" si="3"/>
        <v/>
      </c>
      <c r="U157" s="1">
        <f t="shared" si="4"/>
        <v>85</v>
      </c>
      <c r="V157" s="3">
        <f t="shared" si="5"/>
        <v>45</v>
      </c>
      <c r="W157" s="3">
        <f t="shared" si="6"/>
        <v>90</v>
      </c>
      <c r="X157" s="3" t="str">
        <f t="shared" si="7"/>
        <v/>
      </c>
      <c r="Y157" s="3" t="str">
        <f t="shared" si="8"/>
        <v/>
      </c>
      <c r="Z157" s="1" t="str">
        <f t="shared" si="9"/>
        <v/>
      </c>
      <c r="AA157" s="3" t="str">
        <f t="shared" si="10"/>
        <v/>
      </c>
      <c r="AB157" s="3" t="str">
        <f>LOOKUP($A157,Sheet2!$A$1:$B$233)</f>
        <v>Sub-Saharan Africa</v>
      </c>
    </row>
    <row r="158" spans="1:28">
      <c r="A158" s="1" t="s">
        <v>114</v>
      </c>
      <c r="B158" s="1">
        <v>2015</v>
      </c>
      <c r="C158" s="1">
        <v>2085.860107</v>
      </c>
      <c r="D158" s="1">
        <v>59.228000639999998</v>
      </c>
      <c r="E158" s="1">
        <v>79.2101665</v>
      </c>
      <c r="F158" s="1">
        <v>9.0733700059999993</v>
      </c>
      <c r="G158" s="1">
        <v>11.624014620000001</v>
      </c>
      <c r="H158" s="1">
        <v>9.2448870380000006E-2</v>
      </c>
      <c r="I158" s="1">
        <v>68.254892569999996</v>
      </c>
      <c r="J158" s="1">
        <v>15.340084539999999</v>
      </c>
      <c r="K158" s="1">
        <v>16.322389959999999</v>
      </c>
      <c r="L158" s="1">
        <v>8.263292471E-2</v>
      </c>
      <c r="M158" s="1">
        <v>86.751671259999995</v>
      </c>
      <c r="N158" s="1">
        <v>4.7594215670000004</v>
      </c>
      <c r="O158" s="1">
        <v>8.3897011020000001</v>
      </c>
      <c r="P158" s="1">
        <v>9.9206071500000007E-2</v>
      </c>
      <c r="Q158" s="2">
        <f t="shared" si="0"/>
        <v>5</v>
      </c>
      <c r="R158" s="1">
        <f t="shared" si="1"/>
        <v>0.34604812800000107</v>
      </c>
      <c r="S158" s="1">
        <f t="shared" si="2"/>
        <v>0.18672612800000082</v>
      </c>
      <c r="T158" s="1">
        <f t="shared" si="3"/>
        <v>0.24304660200000114</v>
      </c>
      <c r="U158" s="1">
        <f t="shared" si="4"/>
        <v>79</v>
      </c>
      <c r="V158" s="3">
        <f t="shared" si="5"/>
        <v>68</v>
      </c>
      <c r="W158" s="3">
        <f t="shared" si="6"/>
        <v>87</v>
      </c>
      <c r="X158" s="3" t="str">
        <f t="shared" si="7"/>
        <v/>
      </c>
      <c r="Y158" s="3" t="str">
        <f t="shared" si="8"/>
        <v/>
      </c>
      <c r="Z158" s="1" t="str">
        <f t="shared" si="9"/>
        <v/>
      </c>
      <c r="AA158" s="3">
        <f t="shared" si="10"/>
        <v>-5.6320474000000315E-2</v>
      </c>
      <c r="AB158" s="3" t="str">
        <f>LOOKUP($A158,Sheet2!$A$1:$B$233)</f>
        <v>Sub-Saharan Africa</v>
      </c>
    </row>
    <row r="159" spans="1:28">
      <c r="A159" s="1" t="s">
        <v>114</v>
      </c>
      <c r="B159" s="1">
        <v>2020</v>
      </c>
      <c r="C159" s="1">
        <v>2416.6640630000002</v>
      </c>
      <c r="D159" s="1">
        <v>62.581996920000002</v>
      </c>
      <c r="E159" s="1">
        <v>80.940407140000005</v>
      </c>
      <c r="F159" s="1">
        <v>8.5973913910000004</v>
      </c>
      <c r="G159" s="1">
        <v>10.352852070000001</v>
      </c>
      <c r="H159" s="1">
        <v>0.10934939270000001</v>
      </c>
      <c r="I159" s="1">
        <v>69.18852321</v>
      </c>
      <c r="J159" s="1">
        <v>16.497832389999999</v>
      </c>
      <c r="K159" s="1">
        <v>14.24376547</v>
      </c>
      <c r="L159" s="1">
        <v>6.9878936799999999E-2</v>
      </c>
      <c r="M159" s="1">
        <v>87.966904270000001</v>
      </c>
      <c r="N159" s="1">
        <v>3.8736895219999998</v>
      </c>
      <c r="O159" s="1">
        <v>8.0264572780000005</v>
      </c>
      <c r="P159" s="1">
        <v>0.13294892529999999</v>
      </c>
      <c r="Q159" s="2" t="str">
        <f t="shared" si="0"/>
        <v/>
      </c>
      <c r="R159" s="1" t="str">
        <f t="shared" si="1"/>
        <v/>
      </c>
      <c r="S159" s="1" t="str">
        <f t="shared" si="2"/>
        <v/>
      </c>
      <c r="T159" s="1" t="str">
        <f t="shared" si="3"/>
        <v/>
      </c>
      <c r="U159" s="1">
        <f t="shared" si="4"/>
        <v>81</v>
      </c>
      <c r="V159" s="3">
        <f t="shared" si="5"/>
        <v>69</v>
      </c>
      <c r="W159" s="3">
        <f t="shared" si="6"/>
        <v>88</v>
      </c>
      <c r="X159" s="3" t="str">
        <f t="shared" si="7"/>
        <v/>
      </c>
      <c r="Y159" s="3" t="str">
        <f t="shared" si="8"/>
        <v/>
      </c>
      <c r="Z159" s="1" t="str">
        <f t="shared" si="9"/>
        <v/>
      </c>
      <c r="AA159" s="3" t="str">
        <f t="shared" si="10"/>
        <v/>
      </c>
      <c r="AB159" s="3" t="str">
        <f>LOOKUP($A159,Sheet2!$A$1:$B$233)</f>
        <v>Sub-Saharan Africa</v>
      </c>
    </row>
    <row r="160" spans="1:28">
      <c r="A160" s="1" t="s">
        <v>115</v>
      </c>
      <c r="B160" s="1">
        <v>2015</v>
      </c>
      <c r="C160" s="1">
        <v>4024.179932</v>
      </c>
      <c r="D160" s="1">
        <v>57.447998050000002</v>
      </c>
      <c r="E160" s="1">
        <v>95.754729510000004</v>
      </c>
      <c r="F160" s="1">
        <v>0.95196455830000004</v>
      </c>
      <c r="G160" s="1">
        <v>3.2398949309999998</v>
      </c>
      <c r="H160" s="1">
        <v>5.3410995400000001E-2</v>
      </c>
      <c r="I160" s="1">
        <v>91.295150590000006</v>
      </c>
      <c r="J160" s="1">
        <v>1.893756292</v>
      </c>
      <c r="K160" s="1">
        <v>6.7002163880000003</v>
      </c>
      <c r="L160" s="1">
        <v>0.1108767321</v>
      </c>
      <c r="M160" s="1">
        <v>99.057965449999998</v>
      </c>
      <c r="N160" s="1">
        <v>0.25437508559999999</v>
      </c>
      <c r="O160" s="1">
        <v>0.67681360540000002</v>
      </c>
      <c r="P160" s="1">
        <v>1.084585945E-2</v>
      </c>
      <c r="Q160" s="2">
        <f t="shared" si="0"/>
        <v>5</v>
      </c>
      <c r="R160" s="1">
        <f t="shared" si="1"/>
        <v>0.31868203800000006</v>
      </c>
      <c r="S160" s="1">
        <f t="shared" si="2"/>
        <v>0.59534672199999927</v>
      </c>
      <c r="T160" s="1">
        <f t="shared" si="3"/>
        <v>7.7637698000000907E-2</v>
      </c>
      <c r="U160" s="1">
        <f t="shared" si="4"/>
        <v>96</v>
      </c>
      <c r="V160" s="3">
        <f t="shared" si="5"/>
        <v>91</v>
      </c>
      <c r="W160" s="3">
        <f t="shared" si="6"/>
        <v>99</v>
      </c>
      <c r="X160" s="3" t="str">
        <f t="shared" si="7"/>
        <v/>
      </c>
      <c r="Y160" s="3" t="str">
        <f t="shared" si="8"/>
        <v/>
      </c>
      <c r="Z160" s="1" t="str">
        <f t="shared" si="9"/>
        <v/>
      </c>
      <c r="AA160" s="3">
        <f t="shared" si="10"/>
        <v>0.51770902399999841</v>
      </c>
      <c r="AB160" s="3" t="str">
        <f>LOOKUP($A160,Sheet2!$A$1:$B$233)</f>
        <v>Europe &amp; Central Asia</v>
      </c>
    </row>
    <row r="161" spans="1:28">
      <c r="A161" s="1" t="s">
        <v>115</v>
      </c>
      <c r="B161" s="1">
        <v>2020</v>
      </c>
      <c r="C161" s="1">
        <v>3989.1750489999999</v>
      </c>
      <c r="D161" s="1">
        <v>59.452995299999998</v>
      </c>
      <c r="E161" s="1">
        <v>97.348139700000004</v>
      </c>
      <c r="F161" s="1">
        <v>0</v>
      </c>
      <c r="G161" s="1">
        <v>2.6327613790000002</v>
      </c>
      <c r="H161" s="1">
        <v>1.9098923269999998E-2</v>
      </c>
      <c r="I161" s="1">
        <v>94.271884200000002</v>
      </c>
      <c r="J161" s="1">
        <v>0</v>
      </c>
      <c r="K161" s="1">
        <v>5.7039236180000001</v>
      </c>
      <c r="L161" s="1">
        <v>2.4192183450000002E-2</v>
      </c>
      <c r="M161" s="1">
        <v>99.446153940000002</v>
      </c>
      <c r="N161" s="1">
        <v>0</v>
      </c>
      <c r="O161" s="1">
        <v>0.53822074200000003</v>
      </c>
      <c r="P161" s="1">
        <v>1.5625315859999999E-2</v>
      </c>
      <c r="Q161" s="2" t="str">
        <f t="shared" si="0"/>
        <v/>
      </c>
      <c r="R161" s="1" t="str">
        <f t="shared" si="1"/>
        <v/>
      </c>
      <c r="S161" s="1" t="str">
        <f t="shared" si="2"/>
        <v/>
      </c>
      <c r="T161" s="1" t="str">
        <f t="shared" si="3"/>
        <v/>
      </c>
      <c r="U161" s="1">
        <f t="shared" si="4"/>
        <v>97</v>
      </c>
      <c r="V161" s="3">
        <f t="shared" si="5"/>
        <v>94</v>
      </c>
      <c r="W161" s="3">
        <f t="shared" si="6"/>
        <v>99</v>
      </c>
      <c r="X161" s="3" t="str">
        <f t="shared" si="7"/>
        <v/>
      </c>
      <c r="Y161" s="3" t="str">
        <f t="shared" si="8"/>
        <v/>
      </c>
      <c r="Z161" s="1" t="str">
        <f t="shared" si="9"/>
        <v/>
      </c>
      <c r="AA161" s="3" t="str">
        <f t="shared" si="10"/>
        <v/>
      </c>
      <c r="AB161" s="3" t="str">
        <f>LOOKUP($A161,Sheet2!$A$1:$B$233)</f>
        <v>Europe &amp; Central Asia</v>
      </c>
    </row>
    <row r="162" spans="1:28">
      <c r="A162" s="1" t="s">
        <v>116</v>
      </c>
      <c r="B162" s="1">
        <v>2015</v>
      </c>
      <c r="C162" s="1">
        <v>81787.414059999996</v>
      </c>
      <c r="D162" s="1">
        <v>77.200004579999998</v>
      </c>
      <c r="E162" s="1">
        <v>100.0000024</v>
      </c>
      <c r="F162" s="1">
        <v>0</v>
      </c>
      <c r="G162" s="1">
        <v>0</v>
      </c>
      <c r="H162" s="1">
        <v>0</v>
      </c>
      <c r="I162" s="1">
        <v>100</v>
      </c>
      <c r="J162" s="1">
        <v>0</v>
      </c>
      <c r="K162" s="1">
        <v>0</v>
      </c>
      <c r="L162" s="1">
        <v>0</v>
      </c>
      <c r="M162" s="1">
        <v>100</v>
      </c>
      <c r="N162" s="1">
        <v>0</v>
      </c>
      <c r="O162" s="1">
        <v>0</v>
      </c>
      <c r="P162" s="1">
        <v>0</v>
      </c>
      <c r="Q162" s="2">
        <f t="shared" si="0"/>
        <v>5</v>
      </c>
      <c r="R162" s="1">
        <f t="shared" si="1"/>
        <v>-1.9999998812636478E-8</v>
      </c>
      <c r="S162" s="1">
        <f t="shared" si="2"/>
        <v>0</v>
      </c>
      <c r="T162" s="1">
        <f t="shared" si="3"/>
        <v>0</v>
      </c>
      <c r="U162" s="1">
        <f t="shared" si="4"/>
        <v>100</v>
      </c>
      <c r="V162" s="3">
        <f t="shared" si="5"/>
        <v>100</v>
      </c>
      <c r="W162" s="3">
        <f t="shared" si="6"/>
        <v>100</v>
      </c>
      <c r="X162" s="3" t="str">
        <f t="shared" si="7"/>
        <v>fullaccesss</v>
      </c>
      <c r="Y162" s="3" t="str">
        <f t="shared" si="8"/>
        <v>fullaccesss</v>
      </c>
      <c r="Z162" s="1" t="str">
        <f t="shared" si="9"/>
        <v>fullaccesss</v>
      </c>
      <c r="AA162" s="3">
        <f t="shared" si="10"/>
        <v>0</v>
      </c>
      <c r="AB162" s="3" t="str">
        <f>LOOKUP($A162,Sheet2!$A$1:$B$233)</f>
        <v>Europe &amp; Central Asia</v>
      </c>
    </row>
    <row r="163" spans="1:28">
      <c r="A163" s="1" t="s">
        <v>116</v>
      </c>
      <c r="B163" s="1">
        <v>2020</v>
      </c>
      <c r="C163" s="1">
        <v>83783.945309999996</v>
      </c>
      <c r="D163" s="1">
        <v>77.453002929999997</v>
      </c>
      <c r="E163" s="1">
        <v>100.00000230000001</v>
      </c>
      <c r="F163" s="1">
        <v>0</v>
      </c>
      <c r="G163" s="1">
        <v>0</v>
      </c>
      <c r="H163" s="1">
        <v>0</v>
      </c>
      <c r="I163" s="1">
        <v>100</v>
      </c>
      <c r="J163" s="1">
        <v>0</v>
      </c>
      <c r="K163" s="1">
        <v>0</v>
      </c>
      <c r="L163" s="1">
        <v>0</v>
      </c>
      <c r="M163" s="1">
        <v>100</v>
      </c>
      <c r="N163" s="1">
        <v>0</v>
      </c>
      <c r="O163" s="1">
        <v>0</v>
      </c>
      <c r="P163" s="1">
        <v>0</v>
      </c>
      <c r="Q163" s="2" t="str">
        <f t="shared" si="0"/>
        <v/>
      </c>
      <c r="R163" s="1" t="str">
        <f t="shared" si="1"/>
        <v/>
      </c>
      <c r="S163" s="1" t="str">
        <f t="shared" si="2"/>
        <v/>
      </c>
      <c r="T163" s="1" t="str">
        <f t="shared" si="3"/>
        <v/>
      </c>
      <c r="U163" s="1">
        <f t="shared" si="4"/>
        <v>100</v>
      </c>
      <c r="V163" s="3">
        <f t="shared" si="5"/>
        <v>100</v>
      </c>
      <c r="W163" s="3">
        <f t="shared" si="6"/>
        <v>100</v>
      </c>
      <c r="X163" s="3" t="str">
        <f t="shared" si="7"/>
        <v/>
      </c>
      <c r="Y163" s="3" t="str">
        <f t="shared" si="8"/>
        <v/>
      </c>
      <c r="Z163" s="1" t="str">
        <f t="shared" si="9"/>
        <v/>
      </c>
      <c r="AA163" s="3" t="str">
        <f t="shared" si="10"/>
        <v/>
      </c>
      <c r="AB163" s="3" t="str">
        <f>LOOKUP($A163,Sheet2!$A$1:$B$233)</f>
        <v>Europe &amp; Central Asia</v>
      </c>
    </row>
    <row r="164" spans="1:28">
      <c r="A164" s="1" t="s">
        <v>117</v>
      </c>
      <c r="B164" s="1">
        <v>2015</v>
      </c>
      <c r="C164" s="1">
        <v>27849.203130000002</v>
      </c>
      <c r="D164" s="1">
        <v>54.085998539999999</v>
      </c>
      <c r="E164" s="1">
        <v>80.157961229999998</v>
      </c>
      <c r="F164" s="1">
        <v>7.8975991900000002</v>
      </c>
      <c r="G164" s="1">
        <v>4.4266436760000003</v>
      </c>
      <c r="H164" s="1">
        <v>7.5177958990000002</v>
      </c>
      <c r="I164" s="1">
        <v>67.208304769999998</v>
      </c>
      <c r="J164" s="1">
        <v>11.1534648</v>
      </c>
      <c r="K164" s="1">
        <v>6.3352592420000002</v>
      </c>
      <c r="L164" s="1">
        <v>15.302971189999999</v>
      </c>
      <c r="M164" s="1">
        <v>91.151019840000004</v>
      </c>
      <c r="N164" s="1">
        <v>5.133670929</v>
      </c>
      <c r="O164" s="1">
        <v>2.806405888</v>
      </c>
      <c r="P164" s="1">
        <v>0.90890334449999999</v>
      </c>
      <c r="Q164" s="2">
        <f t="shared" si="0"/>
        <v>5</v>
      </c>
      <c r="R164" s="1">
        <f t="shared" si="1"/>
        <v>1.1266070839999998</v>
      </c>
      <c r="S164" s="1">
        <f t="shared" si="2"/>
        <v>0.93688905600000116</v>
      </c>
      <c r="T164" s="1">
        <f t="shared" si="3"/>
        <v>0.99524793599999839</v>
      </c>
      <c r="U164" s="1">
        <f t="shared" si="4"/>
        <v>80</v>
      </c>
      <c r="V164" s="3">
        <f t="shared" si="5"/>
        <v>67</v>
      </c>
      <c r="W164" s="3">
        <f t="shared" si="6"/>
        <v>91</v>
      </c>
      <c r="X164" s="3" t="str">
        <f t="shared" si="7"/>
        <v/>
      </c>
      <c r="Y164" s="3" t="str">
        <f t="shared" si="8"/>
        <v/>
      </c>
      <c r="Z164" s="1" t="str">
        <f t="shared" si="9"/>
        <v/>
      </c>
      <c r="AA164" s="3">
        <f t="shared" si="10"/>
        <v>-5.8358879999997226E-2</v>
      </c>
      <c r="AB164" s="3" t="str">
        <f>LOOKUP($A164,Sheet2!$A$1:$B$233)</f>
        <v>Sub-Saharan Africa</v>
      </c>
    </row>
    <row r="165" spans="1:28">
      <c r="A165" s="1" t="s">
        <v>117</v>
      </c>
      <c r="B165" s="1">
        <v>2020</v>
      </c>
      <c r="C165" s="1">
        <v>31072.945309999999</v>
      </c>
      <c r="D165" s="1">
        <v>57.348999020000001</v>
      </c>
      <c r="E165" s="1">
        <v>85.790996649999997</v>
      </c>
      <c r="F165" s="1">
        <v>6.5860621129999997</v>
      </c>
      <c r="G165" s="1">
        <v>2.8122161760000002</v>
      </c>
      <c r="H165" s="1">
        <v>4.8107250580000001</v>
      </c>
      <c r="I165" s="1">
        <v>71.892750050000004</v>
      </c>
      <c r="J165" s="1">
        <v>11.934548270000001</v>
      </c>
      <c r="K165" s="1">
        <v>4.9993564829999997</v>
      </c>
      <c r="L165" s="1">
        <v>11.173345189999999</v>
      </c>
      <c r="M165" s="1">
        <v>96.127259519999996</v>
      </c>
      <c r="N165" s="1">
        <v>2.6083424549999998</v>
      </c>
      <c r="O165" s="1">
        <v>1.1856138030000001</v>
      </c>
      <c r="P165" s="1">
        <v>7.8784218190000005E-2</v>
      </c>
      <c r="Q165" s="2" t="str">
        <f t="shared" si="0"/>
        <v/>
      </c>
      <c r="R165" s="1" t="str">
        <f t="shared" si="1"/>
        <v/>
      </c>
      <c r="S165" s="1" t="str">
        <f t="shared" si="2"/>
        <v/>
      </c>
      <c r="T165" s="1" t="str">
        <f t="shared" si="3"/>
        <v/>
      </c>
      <c r="U165" s="1">
        <f t="shared" si="4"/>
        <v>86</v>
      </c>
      <c r="V165" s="3">
        <f t="shared" si="5"/>
        <v>72</v>
      </c>
      <c r="W165" s="3">
        <f t="shared" si="6"/>
        <v>96</v>
      </c>
      <c r="X165" s="3" t="str">
        <f t="shared" si="7"/>
        <v/>
      </c>
      <c r="Y165" s="3" t="str">
        <f t="shared" si="8"/>
        <v/>
      </c>
      <c r="Z165" s="1" t="str">
        <f t="shared" si="9"/>
        <v/>
      </c>
      <c r="AA165" s="3" t="str">
        <f t="shared" si="10"/>
        <v/>
      </c>
      <c r="AB165" s="3" t="str">
        <f>LOOKUP($A165,Sheet2!$A$1:$B$233)</f>
        <v>Sub-Saharan Africa</v>
      </c>
    </row>
    <row r="166" spans="1:28">
      <c r="A166" s="1" t="s">
        <v>118</v>
      </c>
      <c r="B166" s="1">
        <v>2015</v>
      </c>
      <c r="C166" s="1">
        <v>33.742000580000003</v>
      </c>
      <c r="D166" s="1">
        <v>100</v>
      </c>
      <c r="E166" s="1">
        <v>100</v>
      </c>
      <c r="F166" s="1">
        <v>0</v>
      </c>
      <c r="G166" s="1">
        <v>0</v>
      </c>
      <c r="H166" s="1">
        <v>0</v>
      </c>
      <c r="I166" s="1" t="s">
        <v>272</v>
      </c>
      <c r="J166" s="1" t="s">
        <v>272</v>
      </c>
      <c r="K166" s="1" t="s">
        <v>272</v>
      </c>
      <c r="L166" s="1" t="s">
        <v>272</v>
      </c>
      <c r="M166" s="1">
        <v>100</v>
      </c>
      <c r="N166" s="1">
        <v>0</v>
      </c>
      <c r="O166" s="1">
        <v>0</v>
      </c>
      <c r="P166" s="1">
        <v>0</v>
      </c>
      <c r="Q166" s="2">
        <f t="shared" si="0"/>
        <v>5</v>
      </c>
      <c r="R166" s="1">
        <f t="shared" si="1"/>
        <v>0</v>
      </c>
      <c r="S166" s="1" t="str">
        <f t="shared" si="2"/>
        <v>null</v>
      </c>
      <c r="T166" s="1">
        <f t="shared" si="3"/>
        <v>0</v>
      </c>
      <c r="U166" s="1">
        <f t="shared" si="4"/>
        <v>100</v>
      </c>
      <c r="V166" s="3" t="str">
        <f t="shared" si="5"/>
        <v>null</v>
      </c>
      <c r="W166" s="3">
        <f t="shared" si="6"/>
        <v>100</v>
      </c>
      <c r="X166" s="3" t="str">
        <f t="shared" si="7"/>
        <v>fullaccesss</v>
      </c>
      <c r="Y166" s="3" t="str">
        <f t="shared" si="8"/>
        <v/>
      </c>
      <c r="Z166" s="1" t="str">
        <f t="shared" si="9"/>
        <v>fullaccesss</v>
      </c>
      <c r="AA166" s="3" t="str">
        <f t="shared" si="10"/>
        <v>null</v>
      </c>
      <c r="AB166" s="3" t="str">
        <f>LOOKUP($A166,Sheet2!$A$1:$B$233)</f>
        <v>Europe &amp; Central Asia</v>
      </c>
    </row>
    <row r="167" spans="1:28">
      <c r="A167" s="1" t="s">
        <v>118</v>
      </c>
      <c r="B167" s="1">
        <v>2020</v>
      </c>
      <c r="C167" s="1">
        <v>33.691001890000003</v>
      </c>
      <c r="D167" s="1">
        <v>100</v>
      </c>
      <c r="E167" s="1">
        <v>100</v>
      </c>
      <c r="F167" s="1">
        <v>0</v>
      </c>
      <c r="G167" s="1">
        <v>0</v>
      </c>
      <c r="H167" s="1">
        <v>0</v>
      </c>
      <c r="I167" s="1" t="s">
        <v>272</v>
      </c>
      <c r="J167" s="1" t="s">
        <v>272</v>
      </c>
      <c r="K167" s="1" t="s">
        <v>272</v>
      </c>
      <c r="L167" s="1" t="s">
        <v>272</v>
      </c>
      <c r="M167" s="1">
        <v>100</v>
      </c>
      <c r="N167" s="1">
        <v>0</v>
      </c>
      <c r="O167" s="1">
        <v>0</v>
      </c>
      <c r="P167" s="1">
        <v>0</v>
      </c>
      <c r="Q167" s="2" t="str">
        <f t="shared" si="0"/>
        <v/>
      </c>
      <c r="R167" s="1" t="str">
        <f t="shared" si="1"/>
        <v/>
      </c>
      <c r="S167" s="1" t="str">
        <f t="shared" si="2"/>
        <v/>
      </c>
      <c r="T167" s="1" t="str">
        <f t="shared" si="3"/>
        <v/>
      </c>
      <c r="U167" s="1">
        <f t="shared" si="4"/>
        <v>100</v>
      </c>
      <c r="V167" s="3" t="str">
        <f t="shared" si="5"/>
        <v>null</v>
      </c>
      <c r="W167" s="3">
        <f t="shared" si="6"/>
        <v>100</v>
      </c>
      <c r="X167" s="3" t="str">
        <f t="shared" si="7"/>
        <v/>
      </c>
      <c r="Y167" s="3" t="str">
        <f t="shared" si="8"/>
        <v/>
      </c>
      <c r="Z167" s="1" t="str">
        <f t="shared" si="9"/>
        <v/>
      </c>
      <c r="AA167" s="3" t="str">
        <f t="shared" si="10"/>
        <v/>
      </c>
      <c r="AB167" s="3" t="str">
        <f>LOOKUP($A167,Sheet2!$A$1:$B$233)</f>
        <v>Europe &amp; Central Asia</v>
      </c>
    </row>
    <row r="168" spans="1:28">
      <c r="A168" s="1" t="s">
        <v>119</v>
      </c>
      <c r="B168" s="1">
        <v>2015</v>
      </c>
      <c r="C168" s="1">
        <v>10659.737300000001</v>
      </c>
      <c r="D168" s="1">
        <v>78.046005249999993</v>
      </c>
      <c r="E168" s="1">
        <v>100.0000046</v>
      </c>
      <c r="F168" s="1">
        <v>0</v>
      </c>
      <c r="G168" s="1">
        <v>0</v>
      </c>
      <c r="H168" s="1">
        <v>0</v>
      </c>
      <c r="I168" s="1">
        <v>100</v>
      </c>
      <c r="J168" s="1">
        <v>0</v>
      </c>
      <c r="K168" s="1">
        <v>0</v>
      </c>
      <c r="L168" s="1">
        <v>0</v>
      </c>
      <c r="M168" s="1">
        <v>100</v>
      </c>
      <c r="N168" s="1">
        <v>0</v>
      </c>
      <c r="O168" s="1">
        <v>0</v>
      </c>
      <c r="P168" s="1">
        <v>0</v>
      </c>
      <c r="Q168" s="2">
        <f t="shared" si="0"/>
        <v>5</v>
      </c>
      <c r="R168" s="1">
        <f t="shared" si="1"/>
        <v>-4.5999999827017745E-7</v>
      </c>
      <c r="S168" s="1">
        <f t="shared" si="2"/>
        <v>0</v>
      </c>
      <c r="T168" s="1">
        <f t="shared" si="3"/>
        <v>0</v>
      </c>
      <c r="U168" s="1">
        <f t="shared" si="4"/>
        <v>100</v>
      </c>
      <c r="V168" s="3">
        <f t="shared" si="5"/>
        <v>100</v>
      </c>
      <c r="W168" s="3">
        <f t="shared" si="6"/>
        <v>100</v>
      </c>
      <c r="X168" s="3" t="str">
        <f t="shared" si="7"/>
        <v>fullaccesss</v>
      </c>
      <c r="Y168" s="3" t="str">
        <f t="shared" si="8"/>
        <v>fullaccesss</v>
      </c>
      <c r="Z168" s="1" t="str">
        <f t="shared" si="9"/>
        <v>fullaccesss</v>
      </c>
      <c r="AA168" s="3">
        <f t="shared" si="10"/>
        <v>0</v>
      </c>
      <c r="AB168" s="3" t="str">
        <f>LOOKUP($A168,Sheet2!$A$1:$B$233)</f>
        <v>Europe &amp; Central Asia</v>
      </c>
    </row>
    <row r="169" spans="1:28">
      <c r="A169" s="1" t="s">
        <v>119</v>
      </c>
      <c r="B169" s="1">
        <v>2020</v>
      </c>
      <c r="C169" s="1">
        <v>10423.05566</v>
      </c>
      <c r="D169" s="1">
        <v>79.715003969999998</v>
      </c>
      <c r="E169" s="1">
        <v>100.00000230000001</v>
      </c>
      <c r="F169" s="1">
        <v>0</v>
      </c>
      <c r="G169" s="1">
        <v>0</v>
      </c>
      <c r="H169" s="1">
        <v>0</v>
      </c>
      <c r="I169" s="1">
        <v>100</v>
      </c>
      <c r="J169" s="1">
        <v>0</v>
      </c>
      <c r="K169" s="1">
        <v>0</v>
      </c>
      <c r="L169" s="1">
        <v>0</v>
      </c>
      <c r="M169" s="1">
        <v>100</v>
      </c>
      <c r="N169" s="1">
        <v>0</v>
      </c>
      <c r="O169" s="1">
        <v>0</v>
      </c>
      <c r="P169" s="1">
        <v>0</v>
      </c>
      <c r="Q169" s="2" t="str">
        <f t="shared" si="0"/>
        <v/>
      </c>
      <c r="R169" s="1" t="str">
        <f t="shared" si="1"/>
        <v/>
      </c>
      <c r="S169" s="1" t="str">
        <f t="shared" si="2"/>
        <v/>
      </c>
      <c r="T169" s="1" t="str">
        <f t="shared" si="3"/>
        <v/>
      </c>
      <c r="U169" s="1">
        <f t="shared" si="4"/>
        <v>100</v>
      </c>
      <c r="V169" s="3">
        <f t="shared" si="5"/>
        <v>100</v>
      </c>
      <c r="W169" s="3">
        <f t="shared" si="6"/>
        <v>100</v>
      </c>
      <c r="X169" s="3" t="str">
        <f t="shared" si="7"/>
        <v/>
      </c>
      <c r="Y169" s="3" t="str">
        <f t="shared" si="8"/>
        <v/>
      </c>
      <c r="Z169" s="1" t="str">
        <f t="shared" si="9"/>
        <v/>
      </c>
      <c r="AA169" s="3" t="str">
        <f t="shared" si="10"/>
        <v/>
      </c>
      <c r="AB169" s="3" t="str">
        <f>LOOKUP($A169,Sheet2!$A$1:$B$233)</f>
        <v>Europe &amp; Central Asia</v>
      </c>
    </row>
    <row r="170" spans="1:28">
      <c r="A170" s="1" t="s">
        <v>120</v>
      </c>
      <c r="B170" s="1">
        <v>2015</v>
      </c>
      <c r="C170" s="1">
        <v>56.377998349999999</v>
      </c>
      <c r="D170" s="1">
        <v>86.070999150000006</v>
      </c>
      <c r="E170" s="1">
        <v>100</v>
      </c>
      <c r="F170" s="1">
        <v>0</v>
      </c>
      <c r="G170" s="1">
        <v>0</v>
      </c>
      <c r="H170" s="1">
        <v>0</v>
      </c>
      <c r="I170" s="1">
        <v>100</v>
      </c>
      <c r="J170" s="1">
        <v>0</v>
      </c>
      <c r="K170" s="1">
        <v>0</v>
      </c>
      <c r="L170" s="1">
        <v>0</v>
      </c>
      <c r="M170" s="1">
        <v>100</v>
      </c>
      <c r="N170" s="1">
        <v>0</v>
      </c>
      <c r="O170" s="1">
        <v>0</v>
      </c>
      <c r="P170" s="1">
        <v>0</v>
      </c>
      <c r="Q170" s="2">
        <f t="shared" si="0"/>
        <v>5</v>
      </c>
      <c r="R170" s="1">
        <f t="shared" si="1"/>
        <v>3.3999999971001671E-7</v>
      </c>
      <c r="S170" s="1">
        <f t="shared" si="2"/>
        <v>0</v>
      </c>
      <c r="T170" s="1">
        <f t="shared" si="3"/>
        <v>0</v>
      </c>
      <c r="U170" s="1">
        <f t="shared" si="4"/>
        <v>100</v>
      </c>
      <c r="V170" s="3">
        <f t="shared" si="5"/>
        <v>100</v>
      </c>
      <c r="W170" s="3">
        <f t="shared" si="6"/>
        <v>100</v>
      </c>
      <c r="X170" s="3" t="str">
        <f t="shared" si="7"/>
        <v>fullaccesss</v>
      </c>
      <c r="Y170" s="3" t="str">
        <f t="shared" si="8"/>
        <v>fullaccesss</v>
      </c>
      <c r="Z170" s="1" t="str">
        <f t="shared" si="9"/>
        <v>fullaccesss</v>
      </c>
      <c r="AA170" s="3">
        <f t="shared" si="10"/>
        <v>0</v>
      </c>
      <c r="AB170" s="3" t="str">
        <f>LOOKUP($A170,Sheet2!$A$1:$B$233)</f>
        <v>North America</v>
      </c>
    </row>
    <row r="171" spans="1:28">
      <c r="A171" s="1" t="s">
        <v>120</v>
      </c>
      <c r="B171" s="1">
        <v>2020</v>
      </c>
      <c r="C171" s="1">
        <v>56.771999360000002</v>
      </c>
      <c r="D171" s="1">
        <v>87.282005310000002</v>
      </c>
      <c r="E171" s="1">
        <v>100.0000017</v>
      </c>
      <c r="F171" s="1">
        <v>0</v>
      </c>
      <c r="G171" s="1">
        <v>0</v>
      </c>
      <c r="H171" s="1">
        <v>0</v>
      </c>
      <c r="I171" s="1">
        <v>100</v>
      </c>
      <c r="J171" s="1">
        <v>0</v>
      </c>
      <c r="K171" s="1">
        <v>0</v>
      </c>
      <c r="L171" s="1">
        <v>0</v>
      </c>
      <c r="M171" s="1">
        <v>100</v>
      </c>
      <c r="N171" s="1">
        <v>0</v>
      </c>
      <c r="O171" s="1">
        <v>0</v>
      </c>
      <c r="P171" s="1">
        <v>0</v>
      </c>
      <c r="Q171" s="2" t="str">
        <f t="shared" si="0"/>
        <v/>
      </c>
      <c r="R171" s="1" t="str">
        <f t="shared" si="1"/>
        <v/>
      </c>
      <c r="S171" s="1" t="str">
        <f t="shared" si="2"/>
        <v/>
      </c>
      <c r="T171" s="1" t="str">
        <f t="shared" si="3"/>
        <v/>
      </c>
      <c r="U171" s="1">
        <f t="shared" si="4"/>
        <v>100</v>
      </c>
      <c r="V171" s="3">
        <f t="shared" si="5"/>
        <v>100</v>
      </c>
      <c r="W171" s="3">
        <f t="shared" si="6"/>
        <v>100</v>
      </c>
      <c r="X171" s="3" t="str">
        <f t="shared" si="7"/>
        <v/>
      </c>
      <c r="Y171" s="3" t="str">
        <f t="shared" si="8"/>
        <v/>
      </c>
      <c r="Z171" s="1" t="str">
        <f t="shared" si="9"/>
        <v/>
      </c>
      <c r="AA171" s="3" t="str">
        <f t="shared" si="10"/>
        <v/>
      </c>
      <c r="AB171" s="3" t="str">
        <f>LOOKUP($A171,Sheet2!$A$1:$B$233)</f>
        <v>North America</v>
      </c>
    </row>
    <row r="172" spans="1:28">
      <c r="A172" s="1" t="s">
        <v>121</v>
      </c>
      <c r="B172" s="1">
        <v>2015</v>
      </c>
      <c r="C172" s="1">
        <v>109.6029968</v>
      </c>
      <c r="D172" s="1">
        <v>35.997001650000001</v>
      </c>
      <c r="E172" s="1">
        <v>95.628650440000001</v>
      </c>
      <c r="F172" s="1">
        <v>1.1614815839999999</v>
      </c>
      <c r="G172" s="1">
        <v>0</v>
      </c>
      <c r="H172" s="1">
        <v>3.2098679720000001</v>
      </c>
      <c r="I172" s="1" t="s">
        <v>272</v>
      </c>
      <c r="J172" s="1" t="s">
        <v>272</v>
      </c>
      <c r="K172" s="1" t="s">
        <v>272</v>
      </c>
      <c r="L172" s="1" t="s">
        <v>272</v>
      </c>
      <c r="M172" s="1" t="s">
        <v>272</v>
      </c>
      <c r="N172" s="1" t="s">
        <v>272</v>
      </c>
      <c r="O172" s="1" t="s">
        <v>272</v>
      </c>
      <c r="P172" s="1" t="s">
        <v>272</v>
      </c>
      <c r="Q172" s="2">
        <f t="shared" si="0"/>
        <v>2</v>
      </c>
      <c r="R172" s="1">
        <f t="shared" si="1"/>
        <v>0</v>
      </c>
      <c r="S172" s="1" t="str">
        <f t="shared" si="2"/>
        <v>null</v>
      </c>
      <c r="T172" s="1" t="str">
        <f t="shared" si="3"/>
        <v>null</v>
      </c>
      <c r="U172" s="1">
        <f t="shared" si="4"/>
        <v>96</v>
      </c>
      <c r="V172" s="3" t="str">
        <f t="shared" si="5"/>
        <v>null</v>
      </c>
      <c r="W172" s="3" t="str">
        <f t="shared" si="6"/>
        <v>null</v>
      </c>
      <c r="X172" s="3" t="str">
        <f t="shared" si="7"/>
        <v/>
      </c>
      <c r="Y172" s="3" t="str">
        <f t="shared" si="8"/>
        <v/>
      </c>
      <c r="Z172" s="1" t="str">
        <f t="shared" si="9"/>
        <v/>
      </c>
      <c r="AA172" s="3" t="str">
        <f t="shared" si="10"/>
        <v>null</v>
      </c>
      <c r="AB172" s="3" t="str">
        <f>LOOKUP($A172,Sheet2!$A$1:$B$233)</f>
        <v>Latin America &amp; Caribbean</v>
      </c>
    </row>
    <row r="173" spans="1:28">
      <c r="A173" s="1" t="s">
        <v>121</v>
      </c>
      <c r="B173" s="1">
        <v>2017</v>
      </c>
      <c r="C173" s="1">
        <v>110.87400049999999</v>
      </c>
      <c r="D173" s="1">
        <v>36.164001460000001</v>
      </c>
      <c r="E173" s="1">
        <v>95.628650440000001</v>
      </c>
      <c r="F173" s="1">
        <v>1.1614815839999999</v>
      </c>
      <c r="G173" s="1">
        <v>0</v>
      </c>
      <c r="H173" s="1">
        <v>3.2098679720000001</v>
      </c>
      <c r="I173" s="1" t="s">
        <v>272</v>
      </c>
      <c r="J173" s="1" t="s">
        <v>272</v>
      </c>
      <c r="K173" s="1" t="s">
        <v>272</v>
      </c>
      <c r="L173" s="1" t="s">
        <v>272</v>
      </c>
      <c r="M173" s="1" t="s">
        <v>272</v>
      </c>
      <c r="N173" s="1" t="s">
        <v>272</v>
      </c>
      <c r="O173" s="1" t="s">
        <v>272</v>
      </c>
      <c r="P173" s="1" t="s">
        <v>272</v>
      </c>
      <c r="Q173" s="2" t="str">
        <f t="shared" si="0"/>
        <v/>
      </c>
      <c r="R173" s="1" t="str">
        <f t="shared" si="1"/>
        <v/>
      </c>
      <c r="S173" s="1" t="str">
        <f t="shared" si="2"/>
        <v/>
      </c>
      <c r="T173" s="1" t="str">
        <f t="shared" si="3"/>
        <v/>
      </c>
      <c r="U173" s="1">
        <f t="shared" si="4"/>
        <v>96</v>
      </c>
      <c r="V173" s="3" t="str">
        <f t="shared" si="5"/>
        <v>null</v>
      </c>
      <c r="W173" s="3" t="str">
        <f t="shared" si="6"/>
        <v>null</v>
      </c>
      <c r="X173" s="3" t="str">
        <f t="shared" si="7"/>
        <v/>
      </c>
      <c r="Y173" s="3" t="str">
        <f t="shared" si="8"/>
        <v/>
      </c>
      <c r="Z173" s="1" t="str">
        <f t="shared" si="9"/>
        <v/>
      </c>
      <c r="AA173" s="3" t="str">
        <f t="shared" si="10"/>
        <v/>
      </c>
      <c r="AB173" s="3" t="str">
        <f>LOOKUP($A173,Sheet2!$A$1:$B$233)</f>
        <v>Latin America &amp; Caribbean</v>
      </c>
    </row>
    <row r="174" spans="1:28">
      <c r="A174" s="1" t="s">
        <v>122</v>
      </c>
      <c r="B174" s="1">
        <v>2015</v>
      </c>
      <c r="C174" s="1">
        <v>400.26000979999998</v>
      </c>
      <c r="D174" s="1">
        <v>98.443000789999999</v>
      </c>
      <c r="E174" s="1">
        <v>99.611028129999994</v>
      </c>
      <c r="F174" s="1">
        <v>0</v>
      </c>
      <c r="G174" s="1">
        <v>0.38897187239999997</v>
      </c>
      <c r="H174" s="1">
        <v>0</v>
      </c>
      <c r="I174" s="1" t="s">
        <v>272</v>
      </c>
      <c r="J174" s="1" t="s">
        <v>272</v>
      </c>
      <c r="K174" s="1" t="s">
        <v>272</v>
      </c>
      <c r="L174" s="1" t="s">
        <v>272</v>
      </c>
      <c r="M174" s="1" t="s">
        <v>272</v>
      </c>
      <c r="N174" s="1" t="s">
        <v>272</v>
      </c>
      <c r="O174" s="1" t="s">
        <v>272</v>
      </c>
      <c r="P174" s="1" t="s">
        <v>272</v>
      </c>
      <c r="Q174" s="2">
        <f t="shared" si="0"/>
        <v>5</v>
      </c>
      <c r="R174" s="1">
        <f t="shared" si="1"/>
        <v>3.8419582000000216E-2</v>
      </c>
      <c r="S174" s="1" t="str">
        <f t="shared" si="2"/>
        <v>null</v>
      </c>
      <c r="T174" s="1" t="str">
        <f t="shared" si="3"/>
        <v>null</v>
      </c>
      <c r="U174" s="1">
        <f t="shared" si="4"/>
        <v>100</v>
      </c>
      <c r="V174" s="3" t="str">
        <f t="shared" si="5"/>
        <v>null</v>
      </c>
      <c r="W174" s="3" t="str">
        <f t="shared" si="6"/>
        <v>null</v>
      </c>
      <c r="X174" s="3" t="str">
        <f t="shared" si="7"/>
        <v>fullaccesss</v>
      </c>
      <c r="Y174" s="3" t="str">
        <f t="shared" si="8"/>
        <v/>
      </c>
      <c r="Z174" s="1" t="str">
        <f t="shared" si="9"/>
        <v/>
      </c>
      <c r="AA174" s="3" t="str">
        <f t="shared" si="10"/>
        <v>null</v>
      </c>
      <c r="AB174" s="3" t="str">
        <f>LOOKUP($A174,Sheet2!$A$1:$B$233)</f>
        <v>Latin America &amp; Caribbean</v>
      </c>
    </row>
    <row r="175" spans="1:28">
      <c r="A175" s="1" t="s">
        <v>122</v>
      </c>
      <c r="B175" s="1">
        <v>2020</v>
      </c>
      <c r="C175" s="1">
        <v>400.12701420000002</v>
      </c>
      <c r="D175" s="1">
        <v>98.498992920000006</v>
      </c>
      <c r="E175" s="1">
        <v>99.803126039999995</v>
      </c>
      <c r="F175" s="1">
        <v>0</v>
      </c>
      <c r="G175" s="1">
        <v>0.19687396130000001</v>
      </c>
      <c r="H175" s="1">
        <v>0</v>
      </c>
      <c r="I175" s="1" t="s">
        <v>272</v>
      </c>
      <c r="J175" s="1" t="s">
        <v>272</v>
      </c>
      <c r="K175" s="1" t="s">
        <v>272</v>
      </c>
      <c r="L175" s="1" t="s">
        <v>272</v>
      </c>
      <c r="M175" s="1" t="s">
        <v>272</v>
      </c>
      <c r="N175" s="1" t="s">
        <v>272</v>
      </c>
      <c r="O175" s="1" t="s">
        <v>272</v>
      </c>
      <c r="P175" s="1" t="s">
        <v>272</v>
      </c>
      <c r="Q175" s="2" t="str">
        <f t="shared" si="0"/>
        <v/>
      </c>
      <c r="R175" s="1" t="str">
        <f t="shared" si="1"/>
        <v/>
      </c>
      <c r="S175" s="1" t="str">
        <f t="shared" si="2"/>
        <v/>
      </c>
      <c r="T175" s="1" t="str">
        <f t="shared" si="3"/>
        <v/>
      </c>
      <c r="U175" s="1">
        <f t="shared" si="4"/>
        <v>100</v>
      </c>
      <c r="V175" s="3" t="str">
        <f t="shared" si="5"/>
        <v>null</v>
      </c>
      <c r="W175" s="3" t="str">
        <f t="shared" si="6"/>
        <v>null</v>
      </c>
      <c r="X175" s="3" t="str">
        <f t="shared" si="7"/>
        <v/>
      </c>
      <c r="Y175" s="3" t="str">
        <f t="shared" si="8"/>
        <v/>
      </c>
      <c r="Z175" s="1" t="str">
        <f t="shared" si="9"/>
        <v/>
      </c>
      <c r="AA175" s="3" t="str">
        <f t="shared" si="10"/>
        <v/>
      </c>
      <c r="AB175" s="3" t="str">
        <f>LOOKUP($A175,Sheet2!$A$1:$B$233)</f>
        <v>Latin America &amp; Caribbean</v>
      </c>
    </row>
    <row r="176" spans="1:28">
      <c r="A176" s="1" t="s">
        <v>123</v>
      </c>
      <c r="B176" s="1">
        <v>2015</v>
      </c>
      <c r="C176" s="1">
        <v>161.85099790000001</v>
      </c>
      <c r="D176" s="1">
        <v>94.533996579999993</v>
      </c>
      <c r="E176" s="1">
        <v>99.6952</v>
      </c>
      <c r="F176" s="1">
        <v>0</v>
      </c>
      <c r="G176" s="1">
        <v>0.30480000000000002</v>
      </c>
      <c r="H176" s="1">
        <v>0</v>
      </c>
      <c r="I176" s="1" t="s">
        <v>272</v>
      </c>
      <c r="J176" s="1" t="s">
        <v>272</v>
      </c>
      <c r="K176" s="1" t="s">
        <v>272</v>
      </c>
      <c r="L176" s="1" t="s">
        <v>272</v>
      </c>
      <c r="M176" s="1" t="s">
        <v>272</v>
      </c>
      <c r="N176" s="1" t="s">
        <v>272</v>
      </c>
      <c r="O176" s="1" t="s">
        <v>272</v>
      </c>
      <c r="P176" s="1" t="s">
        <v>272</v>
      </c>
      <c r="Q176" s="2">
        <f t="shared" si="0"/>
        <v>5</v>
      </c>
      <c r="R176" s="1">
        <f t="shared" si="1"/>
        <v>0</v>
      </c>
      <c r="S176" s="1" t="str">
        <f t="shared" si="2"/>
        <v>null</v>
      </c>
      <c r="T176" s="1" t="str">
        <f t="shared" si="3"/>
        <v>null</v>
      </c>
      <c r="U176" s="1">
        <f t="shared" si="4"/>
        <v>100</v>
      </c>
      <c r="V176" s="3" t="str">
        <f t="shared" si="5"/>
        <v>null</v>
      </c>
      <c r="W176" s="3" t="str">
        <f t="shared" si="6"/>
        <v>null</v>
      </c>
      <c r="X176" s="3" t="str">
        <f t="shared" si="7"/>
        <v>fullaccesss</v>
      </c>
      <c r="Y176" s="3" t="str">
        <f t="shared" si="8"/>
        <v/>
      </c>
      <c r="Z176" s="1" t="str">
        <f t="shared" si="9"/>
        <v/>
      </c>
      <c r="AA176" s="3" t="str">
        <f t="shared" si="10"/>
        <v>null</v>
      </c>
      <c r="AB176" s="3" t="str">
        <f>LOOKUP($A176,Sheet2!$A$1:$B$233)</f>
        <v>East Asia &amp; Pacific</v>
      </c>
    </row>
    <row r="177" spans="1:28">
      <c r="A177" s="1" t="s">
        <v>123</v>
      </c>
      <c r="B177" s="1">
        <v>2020</v>
      </c>
      <c r="C177" s="1">
        <v>168.78300479999999</v>
      </c>
      <c r="D177" s="1">
        <v>94.938003539999997</v>
      </c>
      <c r="E177" s="1">
        <v>99.6952</v>
      </c>
      <c r="F177" s="1">
        <v>0</v>
      </c>
      <c r="G177" s="1">
        <v>0.30480000000000002</v>
      </c>
      <c r="H177" s="1">
        <v>0</v>
      </c>
      <c r="I177" s="1" t="s">
        <v>272</v>
      </c>
      <c r="J177" s="1" t="s">
        <v>272</v>
      </c>
      <c r="K177" s="1" t="s">
        <v>272</v>
      </c>
      <c r="L177" s="1" t="s">
        <v>272</v>
      </c>
      <c r="M177" s="1" t="s">
        <v>272</v>
      </c>
      <c r="N177" s="1" t="s">
        <v>272</v>
      </c>
      <c r="O177" s="1" t="s">
        <v>272</v>
      </c>
      <c r="P177" s="1" t="s">
        <v>272</v>
      </c>
      <c r="Q177" s="2" t="str">
        <f t="shared" si="0"/>
        <v/>
      </c>
      <c r="R177" s="1" t="str">
        <f t="shared" si="1"/>
        <v/>
      </c>
      <c r="S177" s="1" t="str">
        <f t="shared" si="2"/>
        <v/>
      </c>
      <c r="T177" s="1" t="str">
        <f t="shared" si="3"/>
        <v/>
      </c>
      <c r="U177" s="1">
        <f t="shared" si="4"/>
        <v>100</v>
      </c>
      <c r="V177" s="3" t="str">
        <f t="shared" si="5"/>
        <v>null</v>
      </c>
      <c r="W177" s="3" t="str">
        <f t="shared" si="6"/>
        <v>null</v>
      </c>
      <c r="X177" s="3" t="str">
        <f t="shared" si="7"/>
        <v/>
      </c>
      <c r="Y177" s="3" t="str">
        <f t="shared" si="8"/>
        <v/>
      </c>
      <c r="Z177" s="1" t="str">
        <f t="shared" si="9"/>
        <v/>
      </c>
      <c r="AA177" s="3" t="str">
        <f t="shared" si="10"/>
        <v/>
      </c>
      <c r="AB177" s="3" t="str">
        <f>LOOKUP($A177,Sheet2!$A$1:$B$233)</f>
        <v>East Asia &amp; Pacific</v>
      </c>
    </row>
    <row r="178" spans="1:28">
      <c r="A178" s="1" t="s">
        <v>124</v>
      </c>
      <c r="B178" s="1">
        <v>2015</v>
      </c>
      <c r="C178" s="1">
        <v>16252.424800000001</v>
      </c>
      <c r="D178" s="1">
        <v>49.971000670000002</v>
      </c>
      <c r="E178" s="1">
        <v>92.134033849999994</v>
      </c>
      <c r="F178" s="1">
        <v>0.96845174850000004</v>
      </c>
      <c r="G178" s="1">
        <v>4.7652610869999998</v>
      </c>
      <c r="H178" s="1">
        <v>2.1322533130000001</v>
      </c>
      <c r="I178" s="1">
        <v>87.242756180000001</v>
      </c>
      <c r="J178" s="1">
        <v>1.6509012869999999</v>
      </c>
      <c r="K178" s="1">
        <v>7.052091828</v>
      </c>
      <c r="L178" s="1">
        <v>4.0542507089999997</v>
      </c>
      <c r="M178" s="1">
        <v>97.030988910000005</v>
      </c>
      <c r="N178" s="1">
        <v>0.2852100796</v>
      </c>
      <c r="O178" s="1">
        <v>2.4757759840000002</v>
      </c>
      <c r="P178" s="1">
        <v>0.20802502270000001</v>
      </c>
      <c r="Q178" s="2">
        <f t="shared" si="0"/>
        <v>5</v>
      </c>
      <c r="R178" s="1">
        <f t="shared" si="1"/>
        <v>0.37447888400000123</v>
      </c>
      <c r="S178" s="1">
        <f t="shared" si="2"/>
        <v>0.57531472400000039</v>
      </c>
      <c r="T178" s="1">
        <f t="shared" si="3"/>
        <v>0.11743610599999954</v>
      </c>
      <c r="U178" s="1">
        <f t="shared" si="4"/>
        <v>92</v>
      </c>
      <c r="V178" s="3">
        <f t="shared" si="5"/>
        <v>87</v>
      </c>
      <c r="W178" s="3">
        <f t="shared" si="6"/>
        <v>97</v>
      </c>
      <c r="X178" s="3" t="str">
        <f t="shared" si="7"/>
        <v/>
      </c>
      <c r="Y178" s="3" t="str">
        <f t="shared" si="8"/>
        <v/>
      </c>
      <c r="Z178" s="1" t="str">
        <f t="shared" si="9"/>
        <v/>
      </c>
      <c r="AA178" s="3">
        <f t="shared" si="10"/>
        <v>0.45787861800000085</v>
      </c>
      <c r="AB178" s="3" t="str">
        <f>LOOKUP($A178,Sheet2!$A$1:$B$233)</f>
        <v>Latin America &amp; Caribbean</v>
      </c>
    </row>
    <row r="179" spans="1:28">
      <c r="A179" s="1" t="s">
        <v>124</v>
      </c>
      <c r="B179" s="1">
        <v>2020</v>
      </c>
      <c r="C179" s="1">
        <v>17915.566409999999</v>
      </c>
      <c r="D179" s="1">
        <v>51.835998539999999</v>
      </c>
      <c r="E179" s="1">
        <v>94.006428270000001</v>
      </c>
      <c r="F179" s="1">
        <v>1.034150511</v>
      </c>
      <c r="G179" s="1">
        <v>3.2159118150000001</v>
      </c>
      <c r="H179" s="1">
        <v>1.7435094040000001</v>
      </c>
      <c r="I179" s="1">
        <v>90.119329800000003</v>
      </c>
      <c r="J179" s="1">
        <v>1.8491699989999999</v>
      </c>
      <c r="K179" s="1">
        <v>4.5834386909999996</v>
      </c>
      <c r="L179" s="1">
        <v>3.4480615079999999</v>
      </c>
      <c r="M179" s="1">
        <v>97.618169440000003</v>
      </c>
      <c r="N179" s="1">
        <v>0.27686600569999997</v>
      </c>
      <c r="O179" s="1">
        <v>1.94525887</v>
      </c>
      <c r="P179" s="1">
        <v>0.15970568490000001</v>
      </c>
      <c r="Q179" s="2" t="str">
        <f t="shared" si="0"/>
        <v/>
      </c>
      <c r="R179" s="1" t="str">
        <f t="shared" si="1"/>
        <v/>
      </c>
      <c r="S179" s="1" t="str">
        <f t="shared" si="2"/>
        <v/>
      </c>
      <c r="T179" s="1" t="str">
        <f t="shared" si="3"/>
        <v/>
      </c>
      <c r="U179" s="1">
        <f t="shared" si="4"/>
        <v>94</v>
      </c>
      <c r="V179" s="3">
        <f t="shared" si="5"/>
        <v>90</v>
      </c>
      <c r="W179" s="3">
        <f t="shared" si="6"/>
        <v>98</v>
      </c>
      <c r="X179" s="3" t="str">
        <f t="shared" si="7"/>
        <v/>
      </c>
      <c r="Y179" s="3" t="str">
        <f t="shared" si="8"/>
        <v/>
      </c>
      <c r="Z179" s="1" t="str">
        <f t="shared" si="9"/>
        <v/>
      </c>
      <c r="AA179" s="3" t="str">
        <f t="shared" si="10"/>
        <v/>
      </c>
      <c r="AB179" s="3" t="str">
        <f>LOOKUP($A179,Sheet2!$A$1:$B$233)</f>
        <v>Latin America &amp; Caribbean</v>
      </c>
    </row>
    <row r="180" spans="1:28">
      <c r="A180" s="1" t="s">
        <v>125</v>
      </c>
      <c r="B180" s="1">
        <v>2015</v>
      </c>
      <c r="C180" s="1">
        <v>11432.0957</v>
      </c>
      <c r="D180" s="1">
        <v>35.140998840000002</v>
      </c>
      <c r="E180" s="1">
        <v>63.615389540000002</v>
      </c>
      <c r="F180" s="1">
        <v>16.090256029999999</v>
      </c>
      <c r="G180" s="1">
        <v>9.7579804439999993</v>
      </c>
      <c r="H180" s="1">
        <v>10.53637399</v>
      </c>
      <c r="I180" s="1">
        <v>51.949155339999997</v>
      </c>
      <c r="J180" s="1">
        <v>18.760629779999999</v>
      </c>
      <c r="K180" s="1">
        <v>13.309717210000001</v>
      </c>
      <c r="L180" s="1">
        <v>15.980497679999999</v>
      </c>
      <c r="M180" s="1">
        <v>85.147507689999998</v>
      </c>
      <c r="N180" s="1">
        <v>11.161602630000001</v>
      </c>
      <c r="O180" s="1">
        <v>3.202620418</v>
      </c>
      <c r="P180" s="1">
        <v>0.48826926510000002</v>
      </c>
      <c r="Q180" s="2">
        <f t="shared" si="0"/>
        <v>5</v>
      </c>
      <c r="R180" s="1">
        <f t="shared" si="1"/>
        <v>6.9279840000000092E-2</v>
      </c>
      <c r="S180" s="1">
        <f t="shared" si="2"/>
        <v>-0.24019526999999954</v>
      </c>
      <c r="T180" s="1">
        <f t="shared" si="3"/>
        <v>0.28683647599999917</v>
      </c>
      <c r="U180" s="1">
        <f t="shared" si="4"/>
        <v>64</v>
      </c>
      <c r="V180" s="3">
        <f t="shared" si="5"/>
        <v>52</v>
      </c>
      <c r="W180" s="3">
        <f t="shared" si="6"/>
        <v>85</v>
      </c>
      <c r="X180" s="3" t="str">
        <f t="shared" si="7"/>
        <v/>
      </c>
      <c r="Y180" s="3" t="str">
        <f t="shared" si="8"/>
        <v/>
      </c>
      <c r="Z180" s="1" t="str">
        <f t="shared" si="9"/>
        <v/>
      </c>
      <c r="AA180" s="3">
        <f t="shared" si="10"/>
        <v>-0.52703174599999869</v>
      </c>
      <c r="AB180" s="3" t="str">
        <f>LOOKUP($A180,Sheet2!$A$1:$B$233)</f>
        <v>Sub-Saharan Africa</v>
      </c>
    </row>
    <row r="181" spans="1:28">
      <c r="A181" s="1" t="s">
        <v>125</v>
      </c>
      <c r="B181" s="1">
        <v>2020</v>
      </c>
      <c r="C181" s="1">
        <v>13132.79199</v>
      </c>
      <c r="D181" s="1">
        <v>36.875</v>
      </c>
      <c r="E181" s="1">
        <v>63.961788740000003</v>
      </c>
      <c r="F181" s="1">
        <v>21.281591500000001</v>
      </c>
      <c r="G181" s="1">
        <v>6.2961194059999999</v>
      </c>
      <c r="H181" s="1">
        <v>8.4605003540000006</v>
      </c>
      <c r="I181" s="1">
        <v>50.74817899</v>
      </c>
      <c r="J181" s="1">
        <v>26.14432944</v>
      </c>
      <c r="K181" s="1">
        <v>9.7047191430000002</v>
      </c>
      <c r="L181" s="1">
        <v>13.402772430000001</v>
      </c>
      <c r="M181" s="1">
        <v>86.581690069999993</v>
      </c>
      <c r="N181" s="1">
        <v>12.957241529999999</v>
      </c>
      <c r="O181" s="1">
        <v>0.46106839799999999</v>
      </c>
      <c r="P181" s="1">
        <v>0</v>
      </c>
      <c r="Q181" s="2" t="str">
        <f t="shared" si="0"/>
        <v/>
      </c>
      <c r="R181" s="1" t="str">
        <f t="shared" si="1"/>
        <v/>
      </c>
      <c r="S181" s="1" t="str">
        <f t="shared" si="2"/>
        <v/>
      </c>
      <c r="T181" s="1" t="str">
        <f t="shared" si="3"/>
        <v/>
      </c>
      <c r="U181" s="1">
        <f t="shared" si="4"/>
        <v>64</v>
      </c>
      <c r="V181" s="3">
        <f t="shared" si="5"/>
        <v>51</v>
      </c>
      <c r="W181" s="3">
        <f t="shared" si="6"/>
        <v>87</v>
      </c>
      <c r="X181" s="3" t="str">
        <f t="shared" si="7"/>
        <v/>
      </c>
      <c r="Y181" s="3" t="str">
        <f t="shared" si="8"/>
        <v/>
      </c>
      <c r="Z181" s="1" t="str">
        <f t="shared" si="9"/>
        <v/>
      </c>
      <c r="AA181" s="3" t="str">
        <f t="shared" si="10"/>
        <v/>
      </c>
      <c r="AB181" s="3" t="str">
        <f>LOOKUP($A181,Sheet2!$A$1:$B$233)</f>
        <v>Sub-Saharan Africa</v>
      </c>
    </row>
    <row r="182" spans="1:28">
      <c r="A182" s="1" t="s">
        <v>126</v>
      </c>
      <c r="B182" s="1">
        <v>2015</v>
      </c>
      <c r="C182" s="1">
        <v>1737.2070309999999</v>
      </c>
      <c r="D182" s="1">
        <v>42.12299728</v>
      </c>
      <c r="E182" s="1">
        <v>58.764347620000002</v>
      </c>
      <c r="F182" s="1">
        <v>10.59149221</v>
      </c>
      <c r="G182" s="1">
        <v>29.744379070000001</v>
      </c>
      <c r="H182" s="1">
        <v>0.89978109260000005</v>
      </c>
      <c r="I182" s="1">
        <v>48.422730049999998</v>
      </c>
      <c r="J182" s="1">
        <v>7.5662803609999996</v>
      </c>
      <c r="K182" s="1">
        <v>42.58264827</v>
      </c>
      <c r="L182" s="1">
        <v>1.428341318</v>
      </c>
      <c r="M182" s="1">
        <v>72.973731220000005</v>
      </c>
      <c r="N182" s="1">
        <v>14.748133599999999</v>
      </c>
      <c r="O182" s="1">
        <v>12.104595890000001</v>
      </c>
      <c r="P182" s="1">
        <v>0.17353928900000001</v>
      </c>
      <c r="Q182" s="2">
        <f t="shared" si="0"/>
        <v>5</v>
      </c>
      <c r="R182" s="1">
        <f t="shared" si="1"/>
        <v>5.0512917999999726E-2</v>
      </c>
      <c r="S182" s="1">
        <f t="shared" si="2"/>
        <v>0.28183505000000081</v>
      </c>
      <c r="T182" s="1">
        <f t="shared" si="3"/>
        <v>-0.47187666199999967</v>
      </c>
      <c r="U182" s="1">
        <f t="shared" si="4"/>
        <v>59</v>
      </c>
      <c r="V182" s="3">
        <f t="shared" si="5"/>
        <v>48</v>
      </c>
      <c r="W182" s="3">
        <f t="shared" si="6"/>
        <v>73</v>
      </c>
      <c r="X182" s="3" t="str">
        <f t="shared" si="7"/>
        <v/>
      </c>
      <c r="Y182" s="3" t="str">
        <f t="shared" si="8"/>
        <v/>
      </c>
      <c r="Z182" s="1" t="str">
        <f t="shared" si="9"/>
        <v/>
      </c>
      <c r="AA182" s="3">
        <f t="shared" si="10"/>
        <v>0.75371171200000053</v>
      </c>
      <c r="AB182" s="3" t="str">
        <f>LOOKUP($A182,Sheet2!$A$1:$B$233)</f>
        <v>Sub-Saharan Africa</v>
      </c>
    </row>
    <row r="183" spans="1:28">
      <c r="A183" s="1" t="s">
        <v>126</v>
      </c>
      <c r="B183" s="1">
        <v>2020</v>
      </c>
      <c r="C183" s="1">
        <v>1967.998047</v>
      </c>
      <c r="D183" s="1">
        <v>44.195999149999999</v>
      </c>
      <c r="E183" s="1">
        <v>59.016912210000001</v>
      </c>
      <c r="F183" s="1">
        <v>14.03457137</v>
      </c>
      <c r="G183" s="1">
        <v>26.6263769</v>
      </c>
      <c r="H183" s="1">
        <v>0.3221395192</v>
      </c>
      <c r="I183" s="1">
        <v>49.831905300000003</v>
      </c>
      <c r="J183" s="1">
        <v>9.2857730259999993</v>
      </c>
      <c r="K183" s="1">
        <v>40.316451290000003</v>
      </c>
      <c r="L183" s="1">
        <v>0.56587038450000005</v>
      </c>
      <c r="M183" s="1">
        <v>70.614347910000006</v>
      </c>
      <c r="N183" s="1">
        <v>20.03063358</v>
      </c>
      <c r="O183" s="1">
        <v>9.3406252839999997</v>
      </c>
      <c r="P183" s="1">
        <v>1.4393226929999999E-2</v>
      </c>
      <c r="Q183" s="2" t="str">
        <f t="shared" si="0"/>
        <v/>
      </c>
      <c r="R183" s="1" t="str">
        <f t="shared" si="1"/>
        <v/>
      </c>
      <c r="S183" s="1" t="str">
        <f t="shared" si="2"/>
        <v/>
      </c>
      <c r="T183" s="1" t="str">
        <f t="shared" si="3"/>
        <v/>
      </c>
      <c r="U183" s="1">
        <f t="shared" si="4"/>
        <v>59</v>
      </c>
      <c r="V183" s="3">
        <f t="shared" si="5"/>
        <v>50</v>
      </c>
      <c r="W183" s="3">
        <f t="shared" si="6"/>
        <v>71</v>
      </c>
      <c r="X183" s="3" t="str">
        <f t="shared" si="7"/>
        <v/>
      </c>
      <c r="Y183" s="3" t="str">
        <f t="shared" si="8"/>
        <v/>
      </c>
      <c r="Z183" s="1" t="str">
        <f t="shared" si="9"/>
        <v/>
      </c>
      <c r="AA183" s="3" t="str">
        <f t="shared" si="10"/>
        <v/>
      </c>
      <c r="AB183" s="3" t="str">
        <f>LOOKUP($A183,Sheet2!$A$1:$B$233)</f>
        <v>Sub-Saharan Africa</v>
      </c>
    </row>
    <row r="184" spans="1:28">
      <c r="A184" s="1" t="s">
        <v>127</v>
      </c>
      <c r="B184" s="1">
        <v>2015</v>
      </c>
      <c r="C184" s="1">
        <v>767.43298340000001</v>
      </c>
      <c r="D184" s="1">
        <v>26.44099808</v>
      </c>
      <c r="E184" s="1">
        <v>95.161856950000001</v>
      </c>
      <c r="F184" s="1">
        <v>1.233247953</v>
      </c>
      <c r="G184" s="1">
        <v>1.344803287</v>
      </c>
      <c r="H184" s="1">
        <v>2.2600918079999999</v>
      </c>
      <c r="I184" s="1">
        <v>93.422769709999997</v>
      </c>
      <c r="J184" s="1">
        <v>1.6765425039999999</v>
      </c>
      <c r="K184" s="1">
        <v>1.82819943</v>
      </c>
      <c r="L184" s="1">
        <v>3.0724883580000002</v>
      </c>
      <c r="M184" s="1">
        <v>100</v>
      </c>
      <c r="N184" s="1">
        <v>0</v>
      </c>
      <c r="O184" s="1">
        <v>0</v>
      </c>
      <c r="P184" s="1">
        <v>0</v>
      </c>
      <c r="Q184" s="2">
        <f t="shared" si="0"/>
        <v>5</v>
      </c>
      <c r="R184" s="1">
        <f t="shared" si="1"/>
        <v>7.8589980000000989E-2</v>
      </c>
      <c r="S184" s="1">
        <f t="shared" si="2"/>
        <v>0.10114415799999961</v>
      </c>
      <c r="T184" s="1">
        <f t="shared" si="3"/>
        <v>0</v>
      </c>
      <c r="U184" s="1">
        <f t="shared" si="4"/>
        <v>95</v>
      </c>
      <c r="V184" s="3">
        <f t="shared" si="5"/>
        <v>93</v>
      </c>
      <c r="W184" s="3">
        <f t="shared" si="6"/>
        <v>100</v>
      </c>
      <c r="X184" s="3" t="str">
        <f t="shared" si="7"/>
        <v/>
      </c>
      <c r="Y184" s="3" t="str">
        <f t="shared" si="8"/>
        <v/>
      </c>
      <c r="Z184" s="1" t="str">
        <f t="shared" si="9"/>
        <v>fullaccesss</v>
      </c>
      <c r="AA184" s="3">
        <f t="shared" si="10"/>
        <v>0.10114415799999961</v>
      </c>
      <c r="AB184" s="3" t="str">
        <f>LOOKUP($A184,Sheet2!$A$1:$B$233)</f>
        <v>Latin America &amp; Caribbean</v>
      </c>
    </row>
    <row r="185" spans="1:28">
      <c r="A185" s="1" t="s">
        <v>127</v>
      </c>
      <c r="B185" s="1">
        <v>2020</v>
      </c>
      <c r="C185" s="1">
        <v>786.55902100000003</v>
      </c>
      <c r="D185" s="1">
        <v>26.7859993</v>
      </c>
      <c r="E185" s="1">
        <v>95.554806850000006</v>
      </c>
      <c r="F185" s="1">
        <v>1.205244408</v>
      </c>
      <c r="G185" s="1">
        <v>1.143069849</v>
      </c>
      <c r="H185" s="1">
        <v>2.0968788969999999</v>
      </c>
      <c r="I185" s="1">
        <v>93.928490499999995</v>
      </c>
      <c r="J185" s="1">
        <v>1.6461938620000001</v>
      </c>
      <c r="K185" s="1">
        <v>1.5612748329999999</v>
      </c>
      <c r="L185" s="1">
        <v>2.864040809</v>
      </c>
      <c r="M185" s="1">
        <v>100</v>
      </c>
      <c r="N185" s="1">
        <v>0</v>
      </c>
      <c r="O185" s="1">
        <v>0</v>
      </c>
      <c r="P185" s="1">
        <v>0</v>
      </c>
      <c r="Q185" s="2" t="str">
        <f t="shared" si="0"/>
        <v/>
      </c>
      <c r="R185" s="1" t="str">
        <f t="shared" si="1"/>
        <v/>
      </c>
      <c r="S185" s="1" t="str">
        <f t="shared" si="2"/>
        <v/>
      </c>
      <c r="T185" s="1" t="str">
        <f t="shared" si="3"/>
        <v/>
      </c>
      <c r="U185" s="1">
        <f t="shared" si="4"/>
        <v>96</v>
      </c>
      <c r="V185" s="3">
        <f t="shared" si="5"/>
        <v>94</v>
      </c>
      <c r="W185" s="3">
        <f t="shared" si="6"/>
        <v>100</v>
      </c>
      <c r="X185" s="3" t="str">
        <f t="shared" si="7"/>
        <v/>
      </c>
      <c r="Y185" s="3" t="str">
        <f t="shared" si="8"/>
        <v/>
      </c>
      <c r="Z185" s="1" t="str">
        <f t="shared" si="9"/>
        <v/>
      </c>
      <c r="AA185" s="3" t="str">
        <f t="shared" si="10"/>
        <v/>
      </c>
      <c r="AB185" s="3" t="str">
        <f>LOOKUP($A185,Sheet2!$A$1:$B$233)</f>
        <v>Latin America &amp; Caribbean</v>
      </c>
    </row>
    <row r="186" spans="1:28">
      <c r="A186" s="1" t="s">
        <v>128</v>
      </c>
      <c r="B186" s="1">
        <v>2015</v>
      </c>
      <c r="C186" s="1">
        <v>10695.54004</v>
      </c>
      <c r="D186" s="1">
        <v>52.426998140000002</v>
      </c>
      <c r="E186" s="1">
        <v>64.567485939999997</v>
      </c>
      <c r="F186" s="1">
        <v>9.2184870100000005</v>
      </c>
      <c r="G186" s="1">
        <v>25.477839450000001</v>
      </c>
      <c r="H186" s="1">
        <v>0.73618759609999995</v>
      </c>
      <c r="I186" s="1">
        <v>42.416418049999997</v>
      </c>
      <c r="J186" s="1">
        <v>12.228897890000001</v>
      </c>
      <c r="K186" s="1">
        <v>43.807193750000003</v>
      </c>
      <c r="L186" s="1">
        <v>1.5474903170000001</v>
      </c>
      <c r="M186" s="1">
        <v>84.667679129999996</v>
      </c>
      <c r="N186" s="1">
        <v>6.4867974830000001</v>
      </c>
      <c r="O186" s="1">
        <v>8.8455233880000002</v>
      </c>
      <c r="P186" s="1">
        <v>0</v>
      </c>
      <c r="Q186" s="2">
        <f t="shared" si="0"/>
        <v>5</v>
      </c>
      <c r="R186" s="1">
        <f t="shared" si="1"/>
        <v>0.4255644920000009</v>
      </c>
      <c r="S186" s="1">
        <f t="shared" si="2"/>
        <v>8.5856410000000952E-2</v>
      </c>
      <c r="T186" s="1">
        <f t="shared" si="3"/>
        <v>-9.0115679999996697E-3</v>
      </c>
      <c r="U186" s="1">
        <f t="shared" si="4"/>
        <v>65</v>
      </c>
      <c r="V186" s="3">
        <f t="shared" si="5"/>
        <v>42</v>
      </c>
      <c r="W186" s="3">
        <f t="shared" si="6"/>
        <v>85</v>
      </c>
      <c r="X186" s="3" t="str">
        <f t="shared" si="7"/>
        <v/>
      </c>
      <c r="Y186" s="3" t="str">
        <f t="shared" si="8"/>
        <v/>
      </c>
      <c r="Z186" s="1" t="str">
        <f t="shared" si="9"/>
        <v/>
      </c>
      <c r="AA186" s="3">
        <f t="shared" si="10"/>
        <v>9.4867978000000616E-2</v>
      </c>
      <c r="AB186" s="3" t="str">
        <f>LOOKUP($A186,Sheet2!$A$1:$B$233)</f>
        <v>Sub-Saharan Africa</v>
      </c>
    </row>
    <row r="187" spans="1:28">
      <c r="A187" s="1" t="s">
        <v>128</v>
      </c>
      <c r="B187" s="1">
        <v>2020</v>
      </c>
      <c r="C187" s="1">
        <v>11402.5332</v>
      </c>
      <c r="D187" s="1">
        <v>57.087997440000002</v>
      </c>
      <c r="E187" s="1">
        <v>66.695308400000002</v>
      </c>
      <c r="F187" s="1">
        <v>9.8145436519999993</v>
      </c>
      <c r="G187" s="1">
        <v>23.490147950000001</v>
      </c>
      <c r="H187" s="1">
        <v>0</v>
      </c>
      <c r="I187" s="1">
        <v>42.845700100000002</v>
      </c>
      <c r="J187" s="1">
        <v>13.25598695</v>
      </c>
      <c r="K187" s="1">
        <v>43.898312949999998</v>
      </c>
      <c r="L187" s="1">
        <v>0</v>
      </c>
      <c r="M187" s="1">
        <v>84.622621289999998</v>
      </c>
      <c r="N187" s="1">
        <v>7.2276738790000001</v>
      </c>
      <c r="O187" s="1">
        <v>8.1497048349999996</v>
      </c>
      <c r="P187" s="1">
        <v>0</v>
      </c>
      <c r="Q187" s="2" t="str">
        <f t="shared" si="0"/>
        <v/>
      </c>
      <c r="R187" s="1" t="str">
        <f t="shared" si="1"/>
        <v/>
      </c>
      <c r="S187" s="1" t="str">
        <f t="shared" si="2"/>
        <v/>
      </c>
      <c r="T187" s="1" t="str">
        <f t="shared" si="3"/>
        <v/>
      </c>
      <c r="U187" s="1">
        <f t="shared" si="4"/>
        <v>67</v>
      </c>
      <c r="V187" s="3">
        <f t="shared" si="5"/>
        <v>43</v>
      </c>
      <c r="W187" s="3">
        <f t="shared" si="6"/>
        <v>85</v>
      </c>
      <c r="X187" s="3" t="str">
        <f t="shared" si="7"/>
        <v/>
      </c>
      <c r="Y187" s="3" t="str">
        <f t="shared" si="8"/>
        <v/>
      </c>
      <c r="Z187" s="1" t="str">
        <f t="shared" si="9"/>
        <v/>
      </c>
      <c r="AA187" s="3" t="str">
        <f t="shared" si="10"/>
        <v/>
      </c>
      <c r="AB187" s="3" t="str">
        <f>LOOKUP($A187,Sheet2!$A$1:$B$233)</f>
        <v>Sub-Saharan Africa</v>
      </c>
    </row>
    <row r="188" spans="1:28">
      <c r="A188" s="1" t="s">
        <v>129</v>
      </c>
      <c r="B188" s="1">
        <v>2015</v>
      </c>
      <c r="C188" s="1">
        <v>9112.9042969999991</v>
      </c>
      <c r="D188" s="1">
        <v>55.164997100000001</v>
      </c>
      <c r="E188" s="1">
        <v>93.254410710000002</v>
      </c>
      <c r="F188" s="1">
        <v>0.43175410669999997</v>
      </c>
      <c r="G188" s="1">
        <v>6.0221561560000003</v>
      </c>
      <c r="H188" s="1">
        <v>0.29167902839999998</v>
      </c>
      <c r="I188" s="1">
        <v>86.437073749999996</v>
      </c>
      <c r="J188" s="1">
        <v>0.77584410459999997</v>
      </c>
      <c r="K188" s="1">
        <v>12.14597638</v>
      </c>
      <c r="L188" s="1">
        <v>0.6411057671</v>
      </c>
      <c r="M188" s="1">
        <v>98.795162680000004</v>
      </c>
      <c r="N188" s="1">
        <v>0.15209716100000001</v>
      </c>
      <c r="O188" s="1">
        <v>1.04505549</v>
      </c>
      <c r="P188" s="1">
        <v>7.6846736400000004E-3</v>
      </c>
      <c r="Q188" s="2">
        <f t="shared" si="0"/>
        <v>5</v>
      </c>
      <c r="R188" s="1">
        <f t="shared" si="1"/>
        <v>0.48696208400000102</v>
      </c>
      <c r="S188" s="1">
        <f t="shared" si="2"/>
        <v>0.68774516000000008</v>
      </c>
      <c r="T188" s="1">
        <f t="shared" si="3"/>
        <v>0.20842402600000015</v>
      </c>
      <c r="U188" s="1">
        <f t="shared" si="4"/>
        <v>93</v>
      </c>
      <c r="V188" s="3">
        <f t="shared" si="5"/>
        <v>86</v>
      </c>
      <c r="W188" s="3">
        <f t="shared" si="6"/>
        <v>99</v>
      </c>
      <c r="X188" s="3" t="str">
        <f t="shared" si="7"/>
        <v/>
      </c>
      <c r="Y188" s="3" t="str">
        <f t="shared" si="8"/>
        <v/>
      </c>
      <c r="Z188" s="1" t="str">
        <f t="shared" si="9"/>
        <v/>
      </c>
      <c r="AA188" s="3">
        <f t="shared" si="10"/>
        <v>0.47932113399999993</v>
      </c>
      <c r="AB188" s="3" t="str">
        <f>LOOKUP($A188,Sheet2!$A$1:$B$233)</f>
        <v>Latin America &amp; Caribbean</v>
      </c>
    </row>
    <row r="189" spans="1:28">
      <c r="A189" s="1" t="s">
        <v>129</v>
      </c>
      <c r="B189" s="1">
        <v>2020</v>
      </c>
      <c r="C189" s="1">
        <v>9904.6083980000003</v>
      </c>
      <c r="D189" s="1">
        <v>58.358997340000002</v>
      </c>
      <c r="E189" s="1">
        <v>95.689221130000007</v>
      </c>
      <c r="F189" s="1">
        <v>0.4256206085</v>
      </c>
      <c r="G189" s="1">
        <v>3.8851582640000002</v>
      </c>
      <c r="H189" s="1">
        <v>0</v>
      </c>
      <c r="I189" s="1">
        <v>89.875799549999996</v>
      </c>
      <c r="J189" s="1">
        <v>0.80670950789999996</v>
      </c>
      <c r="K189" s="1">
        <v>9.3174909459999995</v>
      </c>
      <c r="L189" s="1">
        <v>0</v>
      </c>
      <c r="M189" s="1">
        <v>99.837282810000005</v>
      </c>
      <c r="N189" s="1">
        <v>0.15370152619999999</v>
      </c>
      <c r="O189" s="1">
        <v>9.0156632960000007E-3</v>
      </c>
      <c r="P189" s="1">
        <v>0</v>
      </c>
      <c r="Q189" s="2" t="str">
        <f t="shared" si="0"/>
        <v/>
      </c>
      <c r="R189" s="1" t="str">
        <f t="shared" si="1"/>
        <v/>
      </c>
      <c r="S189" s="1" t="str">
        <f t="shared" si="2"/>
        <v/>
      </c>
      <c r="T189" s="1" t="str">
        <f t="shared" si="3"/>
        <v/>
      </c>
      <c r="U189" s="1">
        <f t="shared" si="4"/>
        <v>96</v>
      </c>
      <c r="V189" s="3">
        <f t="shared" si="5"/>
        <v>90</v>
      </c>
      <c r="W189" s="3">
        <f t="shared" si="6"/>
        <v>100</v>
      </c>
      <c r="X189" s="3" t="str">
        <f t="shared" si="7"/>
        <v/>
      </c>
      <c r="Y189" s="3" t="str">
        <f t="shared" si="8"/>
        <v/>
      </c>
      <c r="Z189" s="1" t="str">
        <f t="shared" si="9"/>
        <v/>
      </c>
      <c r="AA189" s="3" t="str">
        <f t="shared" si="10"/>
        <v/>
      </c>
      <c r="AB189" s="3" t="str">
        <f>LOOKUP($A189,Sheet2!$A$1:$B$233)</f>
        <v>Latin America &amp; Caribbean</v>
      </c>
    </row>
    <row r="190" spans="1:28">
      <c r="A190" s="1" t="s">
        <v>130</v>
      </c>
      <c r="B190" s="1">
        <v>2015</v>
      </c>
      <c r="C190" s="1">
        <v>9777.9248050000006</v>
      </c>
      <c r="D190" s="1">
        <v>70.5</v>
      </c>
      <c r="E190" s="1">
        <v>99.970528959999996</v>
      </c>
      <c r="F190" s="1">
        <v>0</v>
      </c>
      <c r="G190" s="1">
        <v>2.9471039399999999E-2</v>
      </c>
      <c r="H190" s="1">
        <v>0</v>
      </c>
      <c r="I190" s="1">
        <v>99.900089719999997</v>
      </c>
      <c r="J190" s="1">
        <v>0</v>
      </c>
      <c r="K190" s="1">
        <v>9.9910284789999998E-2</v>
      </c>
      <c r="L190" s="1">
        <v>0</v>
      </c>
      <c r="M190" s="1">
        <v>100</v>
      </c>
      <c r="N190" s="1">
        <v>0</v>
      </c>
      <c r="O190" s="1">
        <v>0</v>
      </c>
      <c r="P190" s="1">
        <v>0</v>
      </c>
      <c r="Q190" s="2">
        <f t="shared" si="0"/>
        <v>5</v>
      </c>
      <c r="R190" s="1">
        <f t="shared" si="1"/>
        <v>5.8937020000001897E-3</v>
      </c>
      <c r="S190" s="1">
        <f t="shared" si="2"/>
        <v>1.9982056000000626E-2</v>
      </c>
      <c r="T190" s="1">
        <f t="shared" si="3"/>
        <v>0</v>
      </c>
      <c r="U190" s="1">
        <f t="shared" si="4"/>
        <v>100</v>
      </c>
      <c r="V190" s="3">
        <f t="shared" si="5"/>
        <v>100</v>
      </c>
      <c r="W190" s="3">
        <f t="shared" si="6"/>
        <v>100</v>
      </c>
      <c r="X190" s="3" t="str">
        <f t="shared" si="7"/>
        <v>fullaccesss</v>
      </c>
      <c r="Y190" s="3" t="str">
        <f t="shared" si="8"/>
        <v>fullaccesss</v>
      </c>
      <c r="Z190" s="1" t="str">
        <f t="shared" si="9"/>
        <v>fullaccesss</v>
      </c>
      <c r="AA190" s="3">
        <f t="shared" si="10"/>
        <v>1.9982056000000626E-2</v>
      </c>
      <c r="AB190" s="3" t="str">
        <f>LOOKUP($A190,Sheet2!$A$1:$B$233)</f>
        <v>Europe &amp; Central Asia</v>
      </c>
    </row>
    <row r="191" spans="1:28">
      <c r="A191" s="1" t="s">
        <v>130</v>
      </c>
      <c r="B191" s="1">
        <v>2020</v>
      </c>
      <c r="C191" s="1">
        <v>9660.3496090000008</v>
      </c>
      <c r="D191" s="1">
        <v>71.942001340000004</v>
      </c>
      <c r="E191" s="1">
        <v>99.999997469999997</v>
      </c>
      <c r="F191" s="1">
        <v>0</v>
      </c>
      <c r="G191" s="1">
        <v>2.5272441919999999E-6</v>
      </c>
      <c r="H191" s="1">
        <v>0</v>
      </c>
      <c r="I191" s="1">
        <v>100</v>
      </c>
      <c r="J191" s="1">
        <v>0</v>
      </c>
      <c r="K191" s="1">
        <v>0</v>
      </c>
      <c r="L191" s="1">
        <v>0</v>
      </c>
      <c r="M191" s="1">
        <v>100</v>
      </c>
      <c r="N191" s="1">
        <v>0</v>
      </c>
      <c r="O191" s="1">
        <v>0</v>
      </c>
      <c r="P191" s="1">
        <v>0</v>
      </c>
      <c r="Q191" s="2" t="str">
        <f t="shared" si="0"/>
        <v/>
      </c>
      <c r="R191" s="1" t="str">
        <f t="shared" si="1"/>
        <v/>
      </c>
      <c r="S191" s="1" t="str">
        <f t="shared" si="2"/>
        <v/>
      </c>
      <c r="T191" s="1" t="str">
        <f t="shared" si="3"/>
        <v/>
      </c>
      <c r="U191" s="1">
        <f t="shared" si="4"/>
        <v>100</v>
      </c>
      <c r="V191" s="3">
        <f t="shared" si="5"/>
        <v>100</v>
      </c>
      <c r="W191" s="3">
        <f t="shared" si="6"/>
        <v>100</v>
      </c>
      <c r="X191" s="3" t="str">
        <f t="shared" si="7"/>
        <v/>
      </c>
      <c r="Y191" s="3" t="str">
        <f t="shared" si="8"/>
        <v/>
      </c>
      <c r="Z191" s="1" t="str">
        <f t="shared" si="9"/>
        <v/>
      </c>
      <c r="AA191" s="3" t="str">
        <f t="shared" si="10"/>
        <v/>
      </c>
      <c r="AB191" s="3" t="str">
        <f>LOOKUP($A191,Sheet2!$A$1:$B$233)</f>
        <v>Europe &amp; Central Asia</v>
      </c>
    </row>
    <row r="192" spans="1:28">
      <c r="A192" s="1" t="s">
        <v>131</v>
      </c>
      <c r="B192" s="1">
        <v>2015</v>
      </c>
      <c r="C192" s="1">
        <v>330.23699950000002</v>
      </c>
      <c r="D192" s="1">
        <v>93.699996949999999</v>
      </c>
      <c r="E192" s="1">
        <v>100.00000230000001</v>
      </c>
      <c r="F192" s="1">
        <v>0</v>
      </c>
      <c r="G192" s="1">
        <v>0</v>
      </c>
      <c r="H192" s="1">
        <v>0</v>
      </c>
      <c r="I192" s="1">
        <v>100</v>
      </c>
      <c r="J192" s="1">
        <v>0</v>
      </c>
      <c r="K192" s="1">
        <v>0</v>
      </c>
      <c r="L192" s="1">
        <v>0</v>
      </c>
      <c r="M192" s="1">
        <v>100</v>
      </c>
      <c r="N192" s="1">
        <v>0</v>
      </c>
      <c r="O192" s="1">
        <v>0</v>
      </c>
      <c r="P192" s="1">
        <v>0</v>
      </c>
      <c r="Q192" s="2">
        <f t="shared" si="0"/>
        <v>5</v>
      </c>
      <c r="R192" s="1">
        <f t="shared" si="1"/>
        <v>-1.0180000003856548E-6</v>
      </c>
      <c r="S192" s="1">
        <f t="shared" si="2"/>
        <v>0</v>
      </c>
      <c r="T192" s="1">
        <f t="shared" si="3"/>
        <v>0</v>
      </c>
      <c r="U192" s="1">
        <f t="shared" si="4"/>
        <v>100</v>
      </c>
      <c r="V192" s="3">
        <f t="shared" si="5"/>
        <v>100</v>
      </c>
      <c r="W192" s="3">
        <f t="shared" si="6"/>
        <v>100</v>
      </c>
      <c r="X192" s="3" t="str">
        <f t="shared" si="7"/>
        <v>fullaccesss</v>
      </c>
      <c r="Y192" s="3" t="str">
        <f t="shared" si="8"/>
        <v>fullaccesss</v>
      </c>
      <c r="Z192" s="1" t="str">
        <f t="shared" si="9"/>
        <v>fullaccesss</v>
      </c>
      <c r="AA192" s="3">
        <f t="shared" si="10"/>
        <v>0</v>
      </c>
      <c r="AB192" s="3" t="str">
        <f>LOOKUP($A192,Sheet2!$A$1:$B$233)</f>
        <v>Europe &amp; Central Asia</v>
      </c>
    </row>
    <row r="193" spans="1:28">
      <c r="A193" s="1" t="s">
        <v>131</v>
      </c>
      <c r="B193" s="1">
        <v>2020</v>
      </c>
      <c r="C193" s="1">
        <v>341.25</v>
      </c>
      <c r="D193" s="1">
        <v>93.897994999999995</v>
      </c>
      <c r="E193" s="1">
        <v>99.999997210000004</v>
      </c>
      <c r="F193" s="1">
        <v>0</v>
      </c>
      <c r="G193" s="1">
        <v>2.7946500150000002E-6</v>
      </c>
      <c r="H193" s="1">
        <v>0</v>
      </c>
      <c r="I193" s="1">
        <v>100</v>
      </c>
      <c r="J193" s="1">
        <v>0</v>
      </c>
      <c r="K193" s="1">
        <v>0</v>
      </c>
      <c r="L193" s="1">
        <v>0</v>
      </c>
      <c r="M193" s="1">
        <v>100</v>
      </c>
      <c r="N193" s="1">
        <v>0</v>
      </c>
      <c r="O193" s="1">
        <v>0</v>
      </c>
      <c r="P193" s="1">
        <v>0</v>
      </c>
      <c r="Q193" s="2" t="str">
        <f t="shared" si="0"/>
        <v/>
      </c>
      <c r="R193" s="1" t="str">
        <f t="shared" si="1"/>
        <v/>
      </c>
      <c r="S193" s="1" t="str">
        <f t="shared" si="2"/>
        <v/>
      </c>
      <c r="T193" s="1" t="str">
        <f t="shared" si="3"/>
        <v/>
      </c>
      <c r="U193" s="1">
        <f t="shared" si="4"/>
        <v>100</v>
      </c>
      <c r="V193" s="3">
        <f t="shared" si="5"/>
        <v>100</v>
      </c>
      <c r="W193" s="3">
        <f t="shared" si="6"/>
        <v>100</v>
      </c>
      <c r="X193" s="3" t="str">
        <f t="shared" si="7"/>
        <v/>
      </c>
      <c r="Y193" s="3" t="str">
        <f t="shared" si="8"/>
        <v/>
      </c>
      <c r="Z193" s="1" t="str">
        <f t="shared" si="9"/>
        <v/>
      </c>
      <c r="AA193" s="3" t="str">
        <f t="shared" si="10"/>
        <v/>
      </c>
      <c r="AB193" s="3" t="str">
        <f>LOOKUP($A193,Sheet2!$A$1:$B$233)</f>
        <v>Europe &amp; Central Asia</v>
      </c>
    </row>
    <row r="194" spans="1:28">
      <c r="A194" s="1" t="s">
        <v>132</v>
      </c>
      <c r="B194" s="1">
        <v>2015</v>
      </c>
      <c r="C194" s="1">
        <v>1310152.375</v>
      </c>
      <c r="D194" s="1">
        <v>32.777000430000001</v>
      </c>
      <c r="E194" s="1">
        <v>88.138132630000001</v>
      </c>
      <c r="F194" s="1">
        <v>4.6925990149999999</v>
      </c>
      <c r="G194" s="1">
        <v>6.4124515520000003</v>
      </c>
      <c r="H194" s="1">
        <v>0.75681680389999995</v>
      </c>
      <c r="I194" s="1">
        <v>85.572000349999996</v>
      </c>
      <c r="J194" s="1">
        <v>5.5421338929999999</v>
      </c>
      <c r="K194" s="1">
        <v>7.8808700040000002</v>
      </c>
      <c r="L194" s="1">
        <v>1.004995751</v>
      </c>
      <c r="M194" s="1">
        <v>93.401064610000006</v>
      </c>
      <c r="N194" s="1">
        <v>2.9502709540000001</v>
      </c>
      <c r="O194" s="1">
        <v>3.4008427999999999</v>
      </c>
      <c r="P194" s="1">
        <v>0.2478216409</v>
      </c>
      <c r="Q194" s="2">
        <f t="shared" si="0"/>
        <v>5</v>
      </c>
      <c r="R194" s="1">
        <f t="shared" si="1"/>
        <v>0.47027847999999894</v>
      </c>
      <c r="S194" s="1">
        <f t="shared" si="2"/>
        <v>0.64210055599999971</v>
      </c>
      <c r="T194" s="1">
        <f t="shared" si="3"/>
        <v>5.379433800000015E-2</v>
      </c>
      <c r="U194" s="1">
        <f t="shared" si="4"/>
        <v>88</v>
      </c>
      <c r="V194" s="3">
        <f t="shared" si="5"/>
        <v>86</v>
      </c>
      <c r="W194" s="3">
        <f t="shared" si="6"/>
        <v>93</v>
      </c>
      <c r="X194" s="3" t="str">
        <f t="shared" si="7"/>
        <v/>
      </c>
      <c r="Y194" s="3" t="str">
        <f t="shared" si="8"/>
        <v/>
      </c>
      <c r="Z194" s="1" t="str">
        <f t="shared" si="9"/>
        <v/>
      </c>
      <c r="AA194" s="3">
        <f t="shared" si="10"/>
        <v>0.5883062179999996</v>
      </c>
      <c r="AB194" s="3" t="str">
        <f>LOOKUP($A194,Sheet2!$A$1:$B$233)</f>
        <v>South Asia</v>
      </c>
    </row>
    <row r="195" spans="1:28">
      <c r="A195" s="1" t="s">
        <v>132</v>
      </c>
      <c r="B195" s="1">
        <v>2020</v>
      </c>
      <c r="C195" s="1">
        <v>1380004.375</v>
      </c>
      <c r="D195" s="1">
        <v>34.926002500000003</v>
      </c>
      <c r="E195" s="1">
        <v>90.489525029999996</v>
      </c>
      <c r="F195" s="1">
        <v>4.9836025619999997</v>
      </c>
      <c r="G195" s="1">
        <v>3.9631539450000002</v>
      </c>
      <c r="H195" s="1">
        <v>0.56371846260000003</v>
      </c>
      <c r="I195" s="1">
        <v>88.782503129999995</v>
      </c>
      <c r="J195" s="1">
        <v>5.9022100540000002</v>
      </c>
      <c r="K195" s="1">
        <v>4.5763757299999996</v>
      </c>
      <c r="L195" s="1">
        <v>0.73891108559999996</v>
      </c>
      <c r="M195" s="1">
        <v>93.670036300000007</v>
      </c>
      <c r="N195" s="1">
        <v>3.2720560270000001</v>
      </c>
      <c r="O195" s="1">
        <v>2.8206075230000001</v>
      </c>
      <c r="P195" s="1">
        <v>0.2373001538</v>
      </c>
      <c r="Q195" s="2" t="str">
        <f t="shared" si="0"/>
        <v/>
      </c>
      <c r="R195" s="1" t="str">
        <f t="shared" si="1"/>
        <v/>
      </c>
      <c r="S195" s="1" t="str">
        <f t="shared" si="2"/>
        <v/>
      </c>
      <c r="T195" s="1" t="str">
        <f t="shared" si="3"/>
        <v/>
      </c>
      <c r="U195" s="1">
        <f t="shared" si="4"/>
        <v>90</v>
      </c>
      <c r="V195" s="3">
        <f t="shared" si="5"/>
        <v>89</v>
      </c>
      <c r="W195" s="3">
        <f t="shared" si="6"/>
        <v>94</v>
      </c>
      <c r="X195" s="3" t="str">
        <f t="shared" si="7"/>
        <v/>
      </c>
      <c r="Y195" s="3" t="str">
        <f t="shared" si="8"/>
        <v/>
      </c>
      <c r="Z195" s="1" t="str">
        <f t="shared" si="9"/>
        <v/>
      </c>
      <c r="AA195" s="3" t="str">
        <f t="shared" si="10"/>
        <v/>
      </c>
      <c r="AB195" s="3" t="str">
        <f>LOOKUP($A195,Sheet2!$A$1:$B$233)</f>
        <v>South Asia</v>
      </c>
    </row>
    <row r="196" spans="1:28">
      <c r="A196" s="1" t="s">
        <v>133</v>
      </c>
      <c r="B196" s="1">
        <v>2015</v>
      </c>
      <c r="C196" s="1">
        <v>258383.25</v>
      </c>
      <c r="D196" s="1">
        <v>53.312999730000001</v>
      </c>
      <c r="E196" s="1">
        <v>88.527352960000002</v>
      </c>
      <c r="F196" s="1">
        <v>0.79413052260000006</v>
      </c>
      <c r="G196" s="1">
        <v>8.9438595640000003</v>
      </c>
      <c r="H196" s="1">
        <v>1.7346569540000001</v>
      </c>
      <c r="I196" s="1">
        <v>80.630791189999997</v>
      </c>
      <c r="J196" s="1">
        <v>0.97404573149999996</v>
      </c>
      <c r="K196" s="1">
        <v>14.98518808</v>
      </c>
      <c r="L196" s="1">
        <v>3.4099750009999998</v>
      </c>
      <c r="M196" s="1">
        <v>95.442491759999996</v>
      </c>
      <c r="N196" s="1">
        <v>0.63657604779999999</v>
      </c>
      <c r="O196" s="1">
        <v>3.6533766409999999</v>
      </c>
      <c r="P196" s="1">
        <v>0.26755555320000002</v>
      </c>
      <c r="Q196" s="2">
        <f t="shared" si="0"/>
        <v>5</v>
      </c>
      <c r="R196" s="1">
        <f t="shared" si="1"/>
        <v>0.77759933000000103</v>
      </c>
      <c r="S196" s="1">
        <f t="shared" si="2"/>
        <v>1.0074342380000019</v>
      </c>
      <c r="T196" s="1">
        <f t="shared" si="3"/>
        <v>0.42760406200000034</v>
      </c>
      <c r="U196" s="1">
        <f t="shared" si="4"/>
        <v>89</v>
      </c>
      <c r="V196" s="3">
        <f t="shared" si="5"/>
        <v>81</v>
      </c>
      <c r="W196" s="3">
        <f t="shared" si="6"/>
        <v>95</v>
      </c>
      <c r="X196" s="3" t="str">
        <f t="shared" si="7"/>
        <v/>
      </c>
      <c r="Y196" s="3" t="str">
        <f t="shared" si="8"/>
        <v/>
      </c>
      <c r="Z196" s="1" t="str">
        <f t="shared" si="9"/>
        <v/>
      </c>
      <c r="AA196" s="3">
        <f t="shared" si="10"/>
        <v>0.57983017600000153</v>
      </c>
      <c r="AB196" s="3" t="str">
        <f>LOOKUP($A196,Sheet2!$A$1:$B$233)</f>
        <v>East Asia &amp; Pacific</v>
      </c>
    </row>
    <row r="197" spans="1:28">
      <c r="A197" s="1" t="s">
        <v>133</v>
      </c>
      <c r="B197" s="1">
        <v>2020</v>
      </c>
      <c r="C197" s="1">
        <v>273523.625</v>
      </c>
      <c r="D197" s="1">
        <v>56.640998840000002</v>
      </c>
      <c r="E197" s="1">
        <v>92.415349610000007</v>
      </c>
      <c r="F197" s="1">
        <v>0.85547463349999997</v>
      </c>
      <c r="G197" s="1">
        <v>5.553871666</v>
      </c>
      <c r="H197" s="1">
        <v>1.175304087</v>
      </c>
      <c r="I197" s="1">
        <v>85.667962380000006</v>
      </c>
      <c r="J197" s="1">
        <v>1.1780912299999999</v>
      </c>
      <c r="K197" s="1">
        <v>10.61491462</v>
      </c>
      <c r="L197" s="1">
        <v>2.539031772</v>
      </c>
      <c r="M197" s="1">
        <v>97.580512069999997</v>
      </c>
      <c r="N197" s="1">
        <v>0.60850983449999996</v>
      </c>
      <c r="O197" s="1">
        <v>1.679615139</v>
      </c>
      <c r="P197" s="1">
        <v>0.13136295880000001</v>
      </c>
      <c r="Q197" s="2" t="str">
        <f t="shared" si="0"/>
        <v/>
      </c>
      <c r="R197" s="1" t="str">
        <f t="shared" si="1"/>
        <v/>
      </c>
      <c r="S197" s="1" t="str">
        <f t="shared" si="2"/>
        <v/>
      </c>
      <c r="T197" s="1" t="str">
        <f t="shared" si="3"/>
        <v/>
      </c>
      <c r="U197" s="1">
        <f t="shared" si="4"/>
        <v>92</v>
      </c>
      <c r="V197" s="3">
        <f t="shared" si="5"/>
        <v>86</v>
      </c>
      <c r="W197" s="3">
        <f t="shared" si="6"/>
        <v>98</v>
      </c>
      <c r="X197" s="3" t="str">
        <f t="shared" si="7"/>
        <v/>
      </c>
      <c r="Y197" s="3" t="str">
        <f t="shared" si="8"/>
        <v/>
      </c>
      <c r="Z197" s="1" t="str">
        <f t="shared" si="9"/>
        <v/>
      </c>
      <c r="AA197" s="3" t="str">
        <f t="shared" si="10"/>
        <v/>
      </c>
      <c r="AB197" s="3" t="str">
        <f>LOOKUP($A197,Sheet2!$A$1:$B$233)</f>
        <v>East Asia &amp; Pacific</v>
      </c>
    </row>
    <row r="198" spans="1:28">
      <c r="A198" s="1" t="s">
        <v>134</v>
      </c>
      <c r="B198" s="1">
        <v>2015</v>
      </c>
      <c r="C198" s="1">
        <v>78492.210940000004</v>
      </c>
      <c r="D198" s="1">
        <v>73.358001709999996</v>
      </c>
      <c r="E198" s="1">
        <v>96.806987079999999</v>
      </c>
      <c r="F198" s="1">
        <v>1.9948915730000001</v>
      </c>
      <c r="G198" s="1">
        <v>1.126061081</v>
      </c>
      <c r="H198" s="1">
        <v>7.2060265609999993E-2</v>
      </c>
      <c r="I198" s="1">
        <v>92.162502649999993</v>
      </c>
      <c r="J198" s="1">
        <v>4.221624781</v>
      </c>
      <c r="K198" s="1">
        <v>3.3453963830000002</v>
      </c>
      <c r="L198" s="1">
        <v>0.27047619049999999</v>
      </c>
      <c r="M198" s="1">
        <v>98.493760870000003</v>
      </c>
      <c r="N198" s="1">
        <v>1.186191432</v>
      </c>
      <c r="O198" s="1">
        <v>0.3200476961</v>
      </c>
      <c r="P198" s="1">
        <v>0</v>
      </c>
      <c r="Q198" s="2">
        <f t="shared" si="0"/>
        <v>5</v>
      </c>
      <c r="R198" s="1">
        <f t="shared" si="1"/>
        <v>0.13512985000000127</v>
      </c>
      <c r="S198" s="1">
        <f t="shared" si="2"/>
        <v>0.33324654600000087</v>
      </c>
      <c r="T198" s="1">
        <f t="shared" si="3"/>
        <v>3.014517000000012E-2</v>
      </c>
      <c r="U198" s="1">
        <f t="shared" si="4"/>
        <v>97</v>
      </c>
      <c r="V198" s="3">
        <f t="shared" si="5"/>
        <v>92</v>
      </c>
      <c r="W198" s="3">
        <f t="shared" si="6"/>
        <v>98</v>
      </c>
      <c r="X198" s="3" t="str">
        <f t="shared" si="7"/>
        <v/>
      </c>
      <c r="Y198" s="3" t="str">
        <f t="shared" si="8"/>
        <v/>
      </c>
      <c r="Z198" s="1" t="str">
        <f t="shared" si="9"/>
        <v/>
      </c>
      <c r="AA198" s="3">
        <f t="shared" si="10"/>
        <v>0.30310137600000076</v>
      </c>
      <c r="AB198" s="3" t="str">
        <f>LOOKUP($A198,Sheet2!$A$1:$B$233)</f>
        <v>South Asia</v>
      </c>
    </row>
    <row r="199" spans="1:28">
      <c r="A199" s="1" t="s">
        <v>134</v>
      </c>
      <c r="B199" s="1">
        <v>2020</v>
      </c>
      <c r="C199" s="1">
        <v>83992.953129999994</v>
      </c>
      <c r="D199" s="1">
        <v>75.874000550000005</v>
      </c>
      <c r="E199" s="1">
        <v>97.482636330000005</v>
      </c>
      <c r="F199" s="1">
        <v>1.938311229</v>
      </c>
      <c r="G199" s="1">
        <v>0.51379736310000002</v>
      </c>
      <c r="H199" s="1">
        <v>6.5255081849999994E-2</v>
      </c>
      <c r="I199" s="1">
        <v>93.828735379999998</v>
      </c>
      <c r="J199" s="1">
        <v>4.2979487650000001</v>
      </c>
      <c r="K199" s="1">
        <v>1.602839669</v>
      </c>
      <c r="L199" s="1">
        <v>0.27047619049999999</v>
      </c>
      <c r="M199" s="1">
        <v>98.644486720000003</v>
      </c>
      <c r="N199" s="1">
        <v>1.1880066709999999</v>
      </c>
      <c r="O199" s="1">
        <v>0.1675066077</v>
      </c>
      <c r="P199" s="1">
        <v>0</v>
      </c>
      <c r="Q199" s="2" t="str">
        <f t="shared" si="0"/>
        <v/>
      </c>
      <c r="R199" s="1" t="str">
        <f t="shared" si="1"/>
        <v/>
      </c>
      <c r="S199" s="1" t="str">
        <f t="shared" si="2"/>
        <v/>
      </c>
      <c r="T199" s="1" t="str">
        <f t="shared" si="3"/>
        <v/>
      </c>
      <c r="U199" s="1">
        <f t="shared" si="4"/>
        <v>97</v>
      </c>
      <c r="V199" s="3">
        <f t="shared" si="5"/>
        <v>94</v>
      </c>
      <c r="W199" s="3">
        <f t="shared" si="6"/>
        <v>99</v>
      </c>
      <c r="X199" s="3" t="str">
        <f t="shared" si="7"/>
        <v/>
      </c>
      <c r="Y199" s="3" t="str">
        <f t="shared" si="8"/>
        <v/>
      </c>
      <c r="Z199" s="1" t="str">
        <f t="shared" si="9"/>
        <v/>
      </c>
      <c r="AA199" s="3" t="str">
        <f t="shared" si="10"/>
        <v/>
      </c>
      <c r="AB199" s="3" t="str">
        <f>LOOKUP($A199,Sheet2!$A$1:$B$233)</f>
        <v>South Asia</v>
      </c>
    </row>
    <row r="200" spans="1:28">
      <c r="A200" s="1" t="s">
        <v>135</v>
      </c>
      <c r="B200" s="1">
        <v>2015</v>
      </c>
      <c r="C200" s="1">
        <v>35572.269529999998</v>
      </c>
      <c r="D200" s="1">
        <v>69.920997619999994</v>
      </c>
      <c r="E200" s="1">
        <v>94.247593300000005</v>
      </c>
      <c r="F200" s="1">
        <v>1.056676215</v>
      </c>
      <c r="G200" s="1">
        <v>1.7379110360000001</v>
      </c>
      <c r="H200" s="1">
        <v>2.9578194500000001</v>
      </c>
      <c r="I200" s="1">
        <v>84.76271011</v>
      </c>
      <c r="J200" s="1">
        <v>2.8306169350000001</v>
      </c>
      <c r="K200" s="1">
        <v>2.77640479</v>
      </c>
      <c r="L200" s="1">
        <v>9.630268161</v>
      </c>
      <c r="M200" s="1">
        <v>98.3278526</v>
      </c>
      <c r="N200" s="1">
        <v>0.29355262310000002</v>
      </c>
      <c r="O200" s="1">
        <v>1.2911660709999999</v>
      </c>
      <c r="P200" s="1">
        <v>8.74287017E-2</v>
      </c>
      <c r="Q200" s="2">
        <f t="shared" si="0"/>
        <v>5</v>
      </c>
      <c r="R200" s="1">
        <f t="shared" si="1"/>
        <v>0.82246198999999931</v>
      </c>
      <c r="S200" s="1">
        <f t="shared" si="2"/>
        <v>2.0136873339999992</v>
      </c>
      <c r="T200" s="1">
        <f t="shared" si="3"/>
        <v>0.29617568600000083</v>
      </c>
      <c r="U200" s="1">
        <f t="shared" si="4"/>
        <v>94</v>
      </c>
      <c r="V200" s="3">
        <f t="shared" si="5"/>
        <v>85</v>
      </c>
      <c r="W200" s="3">
        <f t="shared" si="6"/>
        <v>98</v>
      </c>
      <c r="X200" s="3" t="str">
        <f t="shared" si="7"/>
        <v/>
      </c>
      <c r="Y200" s="3" t="str">
        <f t="shared" si="8"/>
        <v/>
      </c>
      <c r="Z200" s="1" t="str">
        <f t="shared" si="9"/>
        <v/>
      </c>
      <c r="AA200" s="3">
        <f t="shared" si="10"/>
        <v>1.7175116479999983</v>
      </c>
      <c r="AB200" s="3" t="str">
        <f>LOOKUP($A200,Sheet2!$A$1:$B$233)</f>
        <v>Middle East &amp; North Africa</v>
      </c>
    </row>
    <row r="201" spans="1:28">
      <c r="A201" s="1" t="s">
        <v>135</v>
      </c>
      <c r="B201" s="1">
        <v>2020</v>
      </c>
      <c r="C201" s="1">
        <v>40222.503909999999</v>
      </c>
      <c r="D201" s="1">
        <v>70.892997739999998</v>
      </c>
      <c r="E201" s="1">
        <v>98.359903250000002</v>
      </c>
      <c r="F201" s="1">
        <v>0.89216034950000001</v>
      </c>
      <c r="G201" s="1">
        <v>2.427900808E-6</v>
      </c>
      <c r="H201" s="1">
        <v>0.74793397129999994</v>
      </c>
      <c r="I201" s="1">
        <v>94.831146779999997</v>
      </c>
      <c r="J201" s="1">
        <v>2.5992513389999998</v>
      </c>
      <c r="K201" s="1">
        <v>0</v>
      </c>
      <c r="L201" s="1">
        <v>2.5696018770000002</v>
      </c>
      <c r="M201" s="1">
        <v>99.808731030000004</v>
      </c>
      <c r="N201" s="1">
        <v>0.19126897000000001</v>
      </c>
      <c r="O201" s="1">
        <v>0</v>
      </c>
      <c r="P201" s="1">
        <v>0</v>
      </c>
      <c r="Q201" s="2" t="str">
        <f t="shared" si="0"/>
        <v/>
      </c>
      <c r="R201" s="1" t="str">
        <f t="shared" si="1"/>
        <v/>
      </c>
      <c r="S201" s="1" t="str">
        <f t="shared" si="2"/>
        <v/>
      </c>
      <c r="T201" s="1" t="str">
        <f t="shared" si="3"/>
        <v/>
      </c>
      <c r="U201" s="1">
        <f t="shared" si="4"/>
        <v>98</v>
      </c>
      <c r="V201" s="3">
        <f t="shared" si="5"/>
        <v>95</v>
      </c>
      <c r="W201" s="3">
        <f t="shared" si="6"/>
        <v>100</v>
      </c>
      <c r="X201" s="3" t="str">
        <f t="shared" si="7"/>
        <v/>
      </c>
      <c r="Y201" s="3" t="str">
        <f t="shared" si="8"/>
        <v/>
      </c>
      <c r="Z201" s="1" t="str">
        <f t="shared" si="9"/>
        <v/>
      </c>
      <c r="AA201" s="3" t="str">
        <f t="shared" si="10"/>
        <v/>
      </c>
      <c r="AB201" s="3" t="str">
        <f>LOOKUP($A201,Sheet2!$A$1:$B$233)</f>
        <v>Middle East &amp; North Africa</v>
      </c>
    </row>
    <row r="202" spans="1:28">
      <c r="A202" s="1" t="s">
        <v>136</v>
      </c>
      <c r="B202" s="1">
        <v>2015</v>
      </c>
      <c r="C202" s="1">
        <v>4652.419922</v>
      </c>
      <c r="D202" s="1">
        <v>62.537998199999997</v>
      </c>
      <c r="E202" s="1">
        <v>97.372127989999996</v>
      </c>
      <c r="F202" s="1">
        <v>0</v>
      </c>
      <c r="G202" s="1">
        <v>2.6278720080000002</v>
      </c>
      <c r="H202" s="1">
        <v>0</v>
      </c>
      <c r="I202" s="1">
        <v>98.01681619</v>
      </c>
      <c r="J202" s="1">
        <v>0</v>
      </c>
      <c r="K202" s="1">
        <v>1.983183812</v>
      </c>
      <c r="L202" s="1">
        <v>0</v>
      </c>
      <c r="M202" s="1">
        <v>96.98594181</v>
      </c>
      <c r="N202" s="1">
        <v>0</v>
      </c>
      <c r="O202" s="1">
        <v>3.014058189</v>
      </c>
      <c r="P202" s="1">
        <v>0</v>
      </c>
      <c r="Q202" s="2">
        <f t="shared" si="0"/>
        <v>5</v>
      </c>
      <c r="R202" s="1">
        <f t="shared" si="1"/>
        <v>5.5157040000011646E-3</v>
      </c>
      <c r="S202" s="1">
        <f t="shared" si="2"/>
        <v>2.3620912000001226E-2</v>
      </c>
      <c r="T202" s="1">
        <f t="shared" si="3"/>
        <v>-1.2111559999993915E-3</v>
      </c>
      <c r="U202" s="1">
        <f t="shared" si="4"/>
        <v>97</v>
      </c>
      <c r="V202" s="3">
        <f t="shared" si="5"/>
        <v>98</v>
      </c>
      <c r="W202" s="3">
        <f t="shared" si="6"/>
        <v>97</v>
      </c>
      <c r="X202" s="3" t="str">
        <f t="shared" si="7"/>
        <v/>
      </c>
      <c r="Y202" s="3" t="str">
        <f t="shared" si="8"/>
        <v/>
      </c>
      <c r="Z202" s="1" t="str">
        <f t="shared" si="9"/>
        <v/>
      </c>
      <c r="AA202" s="3">
        <f t="shared" si="10"/>
        <v>2.4832068000000616E-2</v>
      </c>
      <c r="AB202" s="3" t="str">
        <f>LOOKUP($A202,Sheet2!$A$1:$B$233)</f>
        <v>Europe &amp; Central Asia</v>
      </c>
    </row>
    <row r="203" spans="1:28">
      <c r="A203" s="1" t="s">
        <v>136</v>
      </c>
      <c r="B203" s="1">
        <v>2020</v>
      </c>
      <c r="C203" s="1">
        <v>4937.7958980000003</v>
      </c>
      <c r="D203" s="1">
        <v>63.652999880000003</v>
      </c>
      <c r="E203" s="1">
        <v>97.399706510000001</v>
      </c>
      <c r="F203" s="1">
        <v>0</v>
      </c>
      <c r="G203" s="1">
        <v>2.6002934849999999</v>
      </c>
      <c r="H203" s="1">
        <v>0</v>
      </c>
      <c r="I203" s="1">
        <v>98.134920750000006</v>
      </c>
      <c r="J203" s="1">
        <v>0</v>
      </c>
      <c r="K203" s="1">
        <v>1.8650792469999999</v>
      </c>
      <c r="L203" s="1">
        <v>0</v>
      </c>
      <c r="M203" s="1">
        <v>96.979886030000003</v>
      </c>
      <c r="N203" s="1">
        <v>0</v>
      </c>
      <c r="O203" s="1">
        <v>3.0201139659999998</v>
      </c>
      <c r="P203" s="1">
        <v>0</v>
      </c>
      <c r="Q203" s="2" t="str">
        <f t="shared" si="0"/>
        <v/>
      </c>
      <c r="R203" s="1" t="str">
        <f t="shared" si="1"/>
        <v/>
      </c>
      <c r="S203" s="1" t="str">
        <f t="shared" si="2"/>
        <v/>
      </c>
      <c r="T203" s="1" t="str">
        <f t="shared" si="3"/>
        <v/>
      </c>
      <c r="U203" s="1">
        <f t="shared" si="4"/>
        <v>97</v>
      </c>
      <c r="V203" s="3">
        <f t="shared" si="5"/>
        <v>98</v>
      </c>
      <c r="W203" s="3">
        <f t="shared" si="6"/>
        <v>97</v>
      </c>
      <c r="X203" s="3" t="str">
        <f t="shared" si="7"/>
        <v/>
      </c>
      <c r="Y203" s="3" t="str">
        <f t="shared" si="8"/>
        <v/>
      </c>
      <c r="Z203" s="1" t="str">
        <f t="shared" si="9"/>
        <v/>
      </c>
      <c r="AA203" s="3" t="str">
        <f t="shared" si="10"/>
        <v/>
      </c>
      <c r="AB203" s="3" t="str">
        <f>LOOKUP($A203,Sheet2!$A$1:$B$233)</f>
        <v>Europe &amp; Central Asia</v>
      </c>
    </row>
    <row r="204" spans="1:28">
      <c r="A204" s="1" t="s">
        <v>137</v>
      </c>
      <c r="B204" s="1">
        <v>2015</v>
      </c>
      <c r="C204" s="1">
        <v>83.232002260000002</v>
      </c>
      <c r="D204" s="1">
        <v>52.244998930000001</v>
      </c>
      <c r="E204" s="1">
        <v>99.075000000000003</v>
      </c>
      <c r="F204" s="1">
        <v>0</v>
      </c>
      <c r="G204" s="1">
        <v>0.92500000000000004</v>
      </c>
      <c r="H204" s="1">
        <v>0</v>
      </c>
      <c r="I204" s="1" t="s">
        <v>272</v>
      </c>
      <c r="J204" s="1" t="s">
        <v>272</v>
      </c>
      <c r="K204" s="1" t="s">
        <v>272</v>
      </c>
      <c r="L204" s="1" t="s">
        <v>272</v>
      </c>
      <c r="M204" s="1" t="s">
        <v>272</v>
      </c>
      <c r="N204" s="1" t="s">
        <v>272</v>
      </c>
      <c r="O204" s="1" t="s">
        <v>272</v>
      </c>
      <c r="P204" s="1" t="s">
        <v>272</v>
      </c>
      <c r="Q204" s="2">
        <f t="shared" si="0"/>
        <v>5</v>
      </c>
      <c r="R204" s="1">
        <f t="shared" si="1"/>
        <v>0</v>
      </c>
      <c r="S204" s="1" t="str">
        <f t="shared" si="2"/>
        <v>null</v>
      </c>
      <c r="T204" s="1" t="str">
        <f t="shared" si="3"/>
        <v>null</v>
      </c>
      <c r="U204" s="1">
        <f t="shared" si="4"/>
        <v>99</v>
      </c>
      <c r="V204" s="3" t="str">
        <f t="shared" si="5"/>
        <v>null</v>
      </c>
      <c r="W204" s="3" t="str">
        <f t="shared" si="6"/>
        <v>null</v>
      </c>
      <c r="X204" s="3" t="str">
        <f t="shared" si="7"/>
        <v/>
      </c>
      <c r="Y204" s="3" t="str">
        <f t="shared" si="8"/>
        <v/>
      </c>
      <c r="Z204" s="1" t="str">
        <f t="shared" si="9"/>
        <v/>
      </c>
      <c r="AA204" s="3" t="str">
        <f t="shared" si="10"/>
        <v>null</v>
      </c>
      <c r="AB204" s="3" t="str">
        <f>LOOKUP($A204,Sheet2!$A$1:$B$233)</f>
        <v>Europe &amp; Central Asia</v>
      </c>
    </row>
    <row r="205" spans="1:28">
      <c r="A205" s="1" t="s">
        <v>137</v>
      </c>
      <c r="B205" s="1">
        <v>2020</v>
      </c>
      <c r="C205" s="1">
        <v>85.031997680000003</v>
      </c>
      <c r="D205" s="1">
        <v>52.89800262</v>
      </c>
      <c r="E205" s="1">
        <v>99.075000000000003</v>
      </c>
      <c r="F205" s="1">
        <v>0</v>
      </c>
      <c r="G205" s="1">
        <v>0.92500000000000004</v>
      </c>
      <c r="H205" s="1">
        <v>0</v>
      </c>
      <c r="I205" s="1" t="s">
        <v>272</v>
      </c>
      <c r="J205" s="1" t="s">
        <v>272</v>
      </c>
      <c r="K205" s="1" t="s">
        <v>272</v>
      </c>
      <c r="L205" s="1" t="s">
        <v>272</v>
      </c>
      <c r="M205" s="1" t="s">
        <v>272</v>
      </c>
      <c r="N205" s="1" t="s">
        <v>272</v>
      </c>
      <c r="O205" s="1" t="s">
        <v>272</v>
      </c>
      <c r="P205" s="1" t="s">
        <v>272</v>
      </c>
      <c r="Q205" s="2" t="str">
        <f t="shared" si="0"/>
        <v/>
      </c>
      <c r="R205" s="1" t="str">
        <f t="shared" si="1"/>
        <v/>
      </c>
      <c r="S205" s="1" t="str">
        <f t="shared" si="2"/>
        <v/>
      </c>
      <c r="T205" s="1" t="str">
        <f t="shared" si="3"/>
        <v/>
      </c>
      <c r="U205" s="1">
        <f t="shared" si="4"/>
        <v>99</v>
      </c>
      <c r="V205" s="3" t="str">
        <f t="shared" si="5"/>
        <v>null</v>
      </c>
      <c r="W205" s="3" t="str">
        <f t="shared" si="6"/>
        <v>null</v>
      </c>
      <c r="X205" s="3" t="str">
        <f t="shared" si="7"/>
        <v/>
      </c>
      <c r="Y205" s="3" t="str">
        <f t="shared" si="8"/>
        <v/>
      </c>
      <c r="Z205" s="1" t="str">
        <f t="shared" si="9"/>
        <v/>
      </c>
      <c r="AA205" s="3" t="str">
        <f t="shared" si="10"/>
        <v/>
      </c>
      <c r="AB205" s="3" t="str">
        <f>LOOKUP($A205,Sheet2!$A$1:$B$233)</f>
        <v>Europe &amp; Central Asia</v>
      </c>
    </row>
    <row r="206" spans="1:28">
      <c r="A206" s="1" t="s">
        <v>138</v>
      </c>
      <c r="B206" s="1">
        <v>2015</v>
      </c>
      <c r="C206" s="1">
        <v>7978.4960940000001</v>
      </c>
      <c r="D206" s="1">
        <v>92.179000849999994</v>
      </c>
      <c r="E206" s="1">
        <v>100.0000015</v>
      </c>
      <c r="F206" s="1">
        <v>0</v>
      </c>
      <c r="G206" s="1">
        <v>0</v>
      </c>
      <c r="H206" s="1">
        <v>0</v>
      </c>
      <c r="I206" s="1">
        <v>100</v>
      </c>
      <c r="J206" s="1">
        <v>0</v>
      </c>
      <c r="K206" s="1">
        <v>0</v>
      </c>
      <c r="L206" s="1">
        <v>0</v>
      </c>
      <c r="M206" s="1">
        <v>100</v>
      </c>
      <c r="N206" s="1">
        <v>0</v>
      </c>
      <c r="O206" s="1">
        <v>0</v>
      </c>
      <c r="P206" s="1">
        <v>0</v>
      </c>
      <c r="Q206" s="2">
        <f t="shared" si="0"/>
        <v>5</v>
      </c>
      <c r="R206" s="1">
        <f t="shared" si="1"/>
        <v>-2.999999992425728E-7</v>
      </c>
      <c r="S206" s="1">
        <f t="shared" si="2"/>
        <v>0</v>
      </c>
      <c r="T206" s="1">
        <f t="shared" si="3"/>
        <v>0</v>
      </c>
      <c r="U206" s="1">
        <f t="shared" si="4"/>
        <v>100</v>
      </c>
      <c r="V206" s="3">
        <f t="shared" si="5"/>
        <v>100</v>
      </c>
      <c r="W206" s="3">
        <f t="shared" si="6"/>
        <v>100</v>
      </c>
      <c r="X206" s="3" t="str">
        <f t="shared" si="7"/>
        <v>fullaccesss</v>
      </c>
      <c r="Y206" s="3" t="str">
        <f t="shared" si="8"/>
        <v>fullaccesss</v>
      </c>
      <c r="Z206" s="1" t="str">
        <f t="shared" si="9"/>
        <v>fullaccesss</v>
      </c>
      <c r="AA206" s="3">
        <f t="shared" si="10"/>
        <v>0</v>
      </c>
      <c r="AB206" s="3" t="str">
        <f>LOOKUP($A206,Sheet2!$A$1:$B$233)</f>
        <v>Europe &amp; Central Asia</v>
      </c>
    </row>
    <row r="207" spans="1:28">
      <c r="A207" s="1" t="s">
        <v>138</v>
      </c>
      <c r="B207" s="1">
        <v>2020</v>
      </c>
      <c r="C207" s="1">
        <v>8655.5410159999992</v>
      </c>
      <c r="D207" s="1">
        <v>92.58699799</v>
      </c>
      <c r="E207" s="1">
        <v>100</v>
      </c>
      <c r="F207" s="1">
        <v>0</v>
      </c>
      <c r="G207" s="1">
        <v>0</v>
      </c>
      <c r="H207" s="1">
        <v>0</v>
      </c>
      <c r="I207" s="1">
        <v>100</v>
      </c>
      <c r="J207" s="1">
        <v>0</v>
      </c>
      <c r="K207" s="1">
        <v>0</v>
      </c>
      <c r="L207" s="1">
        <v>0</v>
      </c>
      <c r="M207" s="1">
        <v>100</v>
      </c>
      <c r="N207" s="1">
        <v>0</v>
      </c>
      <c r="O207" s="1">
        <v>0</v>
      </c>
      <c r="P207" s="1">
        <v>0</v>
      </c>
      <c r="Q207" s="2" t="str">
        <f t="shared" si="0"/>
        <v/>
      </c>
      <c r="R207" s="1" t="str">
        <f t="shared" si="1"/>
        <v/>
      </c>
      <c r="S207" s="1" t="str">
        <f t="shared" si="2"/>
        <v/>
      </c>
      <c r="T207" s="1" t="str">
        <f t="shared" si="3"/>
        <v/>
      </c>
      <c r="U207" s="1">
        <f t="shared" si="4"/>
        <v>100</v>
      </c>
      <c r="V207" s="3">
        <f t="shared" si="5"/>
        <v>100</v>
      </c>
      <c r="W207" s="3">
        <f t="shared" si="6"/>
        <v>100</v>
      </c>
      <c r="X207" s="3" t="str">
        <f t="shared" si="7"/>
        <v/>
      </c>
      <c r="Y207" s="3" t="str">
        <f t="shared" si="8"/>
        <v/>
      </c>
      <c r="Z207" s="1" t="str">
        <f t="shared" si="9"/>
        <v/>
      </c>
      <c r="AA207" s="3" t="str">
        <f t="shared" si="10"/>
        <v/>
      </c>
      <c r="AB207" s="3" t="str">
        <f>LOOKUP($A207,Sheet2!$A$1:$B$233)</f>
        <v>Europe &amp; Central Asia</v>
      </c>
    </row>
    <row r="208" spans="1:28">
      <c r="A208" s="1" t="s">
        <v>139</v>
      </c>
      <c r="B208" s="1">
        <v>2015</v>
      </c>
      <c r="C208" s="1">
        <v>60578.488279999998</v>
      </c>
      <c r="D208" s="1">
        <v>69.565002440000001</v>
      </c>
      <c r="E208" s="1">
        <v>99.91703407</v>
      </c>
      <c r="F208" s="1">
        <v>0</v>
      </c>
      <c r="G208" s="1">
        <v>8.2965925910000002E-2</v>
      </c>
      <c r="H208" s="1">
        <v>0</v>
      </c>
      <c r="I208" s="1" t="s">
        <v>272</v>
      </c>
      <c r="J208" s="1" t="s">
        <v>272</v>
      </c>
      <c r="K208" s="1" t="s">
        <v>272</v>
      </c>
      <c r="L208" s="1" t="s">
        <v>272</v>
      </c>
      <c r="M208" s="1" t="s">
        <v>272</v>
      </c>
      <c r="N208" s="1" t="s">
        <v>272</v>
      </c>
      <c r="O208" s="1" t="s">
        <v>272</v>
      </c>
      <c r="P208" s="1" t="s">
        <v>272</v>
      </c>
      <c r="Q208" s="2">
        <f t="shared" si="0"/>
        <v>5</v>
      </c>
      <c r="R208" s="1">
        <f t="shared" si="1"/>
        <v>0</v>
      </c>
      <c r="S208" s="1" t="str">
        <f t="shared" si="2"/>
        <v>null</v>
      </c>
      <c r="T208" s="1" t="str">
        <f t="shared" si="3"/>
        <v>null</v>
      </c>
      <c r="U208" s="1">
        <f t="shared" si="4"/>
        <v>100</v>
      </c>
      <c r="V208" s="3" t="str">
        <f t="shared" si="5"/>
        <v>null</v>
      </c>
      <c r="W208" s="3" t="str">
        <f t="shared" si="6"/>
        <v>null</v>
      </c>
      <c r="X208" s="3" t="str">
        <f t="shared" si="7"/>
        <v>fullaccesss</v>
      </c>
      <c r="Y208" s="3" t="str">
        <f t="shared" si="8"/>
        <v/>
      </c>
      <c r="Z208" s="1" t="str">
        <f t="shared" si="9"/>
        <v/>
      </c>
      <c r="AA208" s="3" t="str">
        <f t="shared" si="10"/>
        <v>null</v>
      </c>
      <c r="AB208" s="3" t="str">
        <f>LOOKUP($A208,Sheet2!$A$1:$B$233)</f>
        <v>Europe &amp; Central Asia</v>
      </c>
    </row>
    <row r="209" spans="1:28">
      <c r="A209" s="1" t="s">
        <v>139</v>
      </c>
      <c r="B209" s="1">
        <v>2020</v>
      </c>
      <c r="C209" s="1">
        <v>60461.828130000002</v>
      </c>
      <c r="D209" s="1">
        <v>71.038993840000003</v>
      </c>
      <c r="E209" s="1">
        <v>99.91703407</v>
      </c>
      <c r="F209" s="1">
        <v>0</v>
      </c>
      <c r="G209" s="1">
        <v>8.2965925910000002E-2</v>
      </c>
      <c r="H209" s="1">
        <v>0</v>
      </c>
      <c r="I209" s="1" t="s">
        <v>272</v>
      </c>
      <c r="J209" s="1" t="s">
        <v>272</v>
      </c>
      <c r="K209" s="1" t="s">
        <v>272</v>
      </c>
      <c r="L209" s="1" t="s">
        <v>272</v>
      </c>
      <c r="M209" s="1" t="s">
        <v>272</v>
      </c>
      <c r="N209" s="1" t="s">
        <v>272</v>
      </c>
      <c r="O209" s="1" t="s">
        <v>272</v>
      </c>
      <c r="P209" s="1" t="s">
        <v>272</v>
      </c>
      <c r="Q209" s="2" t="str">
        <f t="shared" si="0"/>
        <v/>
      </c>
      <c r="R209" s="1" t="str">
        <f t="shared" si="1"/>
        <v/>
      </c>
      <c r="S209" s="1" t="str">
        <f t="shared" si="2"/>
        <v/>
      </c>
      <c r="T209" s="1" t="str">
        <f t="shared" si="3"/>
        <v/>
      </c>
      <c r="U209" s="1">
        <f t="shared" si="4"/>
        <v>100</v>
      </c>
      <c r="V209" s="3" t="str">
        <f t="shared" si="5"/>
        <v>null</v>
      </c>
      <c r="W209" s="3" t="str">
        <f t="shared" si="6"/>
        <v>null</v>
      </c>
      <c r="X209" s="3" t="str">
        <f t="shared" si="7"/>
        <v/>
      </c>
      <c r="Y209" s="3" t="str">
        <f t="shared" si="8"/>
        <v/>
      </c>
      <c r="Z209" s="1" t="str">
        <f t="shared" si="9"/>
        <v/>
      </c>
      <c r="AA209" s="3" t="str">
        <f t="shared" si="10"/>
        <v/>
      </c>
      <c r="AB209" s="3" t="str">
        <f>LOOKUP($A209,Sheet2!$A$1:$B$233)</f>
        <v>Europe &amp; Central Asia</v>
      </c>
    </row>
    <row r="210" spans="1:28">
      <c r="A210" s="1" t="s">
        <v>140</v>
      </c>
      <c r="B210" s="1">
        <v>2015</v>
      </c>
      <c r="C210" s="1">
        <v>2891.0239259999998</v>
      </c>
      <c r="D210" s="1">
        <v>54.833004000000003</v>
      </c>
      <c r="E210" s="1">
        <v>90.416796289999994</v>
      </c>
      <c r="F210" s="1">
        <v>5.4073366030000001</v>
      </c>
      <c r="G210" s="1">
        <v>2.169821217</v>
      </c>
      <c r="H210" s="1">
        <v>2.006045893</v>
      </c>
      <c r="I210" s="1">
        <v>84.500709900000004</v>
      </c>
      <c r="J210" s="1">
        <v>8.4013357529999997</v>
      </c>
      <c r="K210" s="1">
        <v>3.055395678</v>
      </c>
      <c r="L210" s="1">
        <v>4.0425586710000001</v>
      </c>
      <c r="M210" s="1">
        <v>95.289990239999995</v>
      </c>
      <c r="N210" s="1">
        <v>2.9411220149999999</v>
      </c>
      <c r="O210" s="1">
        <v>1.440356529</v>
      </c>
      <c r="P210" s="1">
        <v>0.32853121530000001</v>
      </c>
      <c r="Q210" s="2">
        <f t="shared" si="0"/>
        <v>5</v>
      </c>
      <c r="R210" s="1">
        <f t="shared" si="1"/>
        <v>0.12262964200000112</v>
      </c>
      <c r="S210" s="1">
        <f t="shared" si="2"/>
        <v>0.17984045199999912</v>
      </c>
      <c r="T210" s="1">
        <f t="shared" si="3"/>
        <v>2.1605134000000702E-2</v>
      </c>
      <c r="U210" s="1">
        <f t="shared" si="4"/>
        <v>90</v>
      </c>
      <c r="V210" s="3">
        <f t="shared" si="5"/>
        <v>85</v>
      </c>
      <c r="W210" s="3">
        <f t="shared" si="6"/>
        <v>95</v>
      </c>
      <c r="X210" s="3" t="str">
        <f t="shared" si="7"/>
        <v/>
      </c>
      <c r="Y210" s="3" t="str">
        <f t="shared" si="8"/>
        <v/>
      </c>
      <c r="Z210" s="1" t="str">
        <f t="shared" si="9"/>
        <v/>
      </c>
      <c r="AA210" s="3">
        <f t="shared" si="10"/>
        <v>0.15823531799999843</v>
      </c>
      <c r="AB210" s="3" t="str">
        <f>LOOKUP($A210,Sheet2!$A$1:$B$233)</f>
        <v>Latin America &amp; Caribbean</v>
      </c>
    </row>
    <row r="211" spans="1:28">
      <c r="A211" s="1" t="s">
        <v>140</v>
      </c>
      <c r="B211" s="1">
        <v>2020</v>
      </c>
      <c r="C211" s="1">
        <v>2961.1608890000002</v>
      </c>
      <c r="D211" s="1">
        <v>56.311000819999997</v>
      </c>
      <c r="E211" s="1">
        <v>91.029944499999999</v>
      </c>
      <c r="F211" s="1">
        <v>5.3675709139999999</v>
      </c>
      <c r="G211" s="1">
        <v>1.8640102030000001</v>
      </c>
      <c r="H211" s="1">
        <v>1.7384743789999999</v>
      </c>
      <c r="I211" s="1">
        <v>85.39991216</v>
      </c>
      <c r="J211" s="1">
        <v>8.4907373709999998</v>
      </c>
      <c r="K211" s="1">
        <v>2.5689718949999998</v>
      </c>
      <c r="L211" s="1">
        <v>3.540378574</v>
      </c>
      <c r="M211" s="1">
        <v>95.398015909999998</v>
      </c>
      <c r="N211" s="1">
        <v>2.944456223</v>
      </c>
      <c r="O211" s="1">
        <v>1.317064322</v>
      </c>
      <c r="P211" s="1">
        <v>0.34046355</v>
      </c>
      <c r="Q211" s="2" t="str">
        <f t="shared" si="0"/>
        <v/>
      </c>
      <c r="R211" s="1" t="str">
        <f t="shared" si="1"/>
        <v/>
      </c>
      <c r="S211" s="1" t="str">
        <f t="shared" si="2"/>
        <v/>
      </c>
      <c r="T211" s="1" t="str">
        <f t="shared" si="3"/>
        <v/>
      </c>
      <c r="U211" s="1">
        <f t="shared" si="4"/>
        <v>91</v>
      </c>
      <c r="V211" s="3">
        <f t="shared" si="5"/>
        <v>85</v>
      </c>
      <c r="W211" s="3">
        <f t="shared" si="6"/>
        <v>95</v>
      </c>
      <c r="X211" s="3" t="str">
        <f t="shared" si="7"/>
        <v/>
      </c>
      <c r="Y211" s="3" t="str">
        <f t="shared" si="8"/>
        <v/>
      </c>
      <c r="Z211" s="1" t="str">
        <f t="shared" si="9"/>
        <v/>
      </c>
      <c r="AA211" s="3" t="str">
        <f t="shared" si="10"/>
        <v/>
      </c>
      <c r="AB211" s="3" t="str">
        <f>LOOKUP($A211,Sheet2!$A$1:$B$233)</f>
        <v>Latin America &amp; Caribbean</v>
      </c>
    </row>
    <row r="212" spans="1:28">
      <c r="A212" s="1" t="s">
        <v>141</v>
      </c>
      <c r="B212" s="1">
        <v>2015</v>
      </c>
      <c r="C212" s="1">
        <v>127985.1406</v>
      </c>
      <c r="D212" s="1">
        <v>91.380996699999997</v>
      </c>
      <c r="E212" s="1">
        <v>98.922805479999994</v>
      </c>
      <c r="F212" s="1">
        <v>0</v>
      </c>
      <c r="G212" s="1">
        <v>1.0771945169999999</v>
      </c>
      <c r="H212" s="1">
        <v>0</v>
      </c>
      <c r="I212" s="1" t="s">
        <v>272</v>
      </c>
      <c r="J212" s="1" t="s">
        <v>272</v>
      </c>
      <c r="K212" s="1" t="s">
        <v>272</v>
      </c>
      <c r="L212" s="1" t="s">
        <v>272</v>
      </c>
      <c r="M212" s="1" t="s">
        <v>272</v>
      </c>
      <c r="N212" s="1" t="s">
        <v>272</v>
      </c>
      <c r="O212" s="1" t="s">
        <v>272</v>
      </c>
      <c r="P212" s="1" t="s">
        <v>272</v>
      </c>
      <c r="Q212" s="2">
        <f t="shared" si="0"/>
        <v>5</v>
      </c>
      <c r="R212" s="1">
        <f t="shared" si="1"/>
        <v>3.1221394000002078E-2</v>
      </c>
      <c r="S212" s="1" t="str">
        <f t="shared" si="2"/>
        <v>null</v>
      </c>
      <c r="T212" s="1" t="str">
        <f t="shared" si="3"/>
        <v>null</v>
      </c>
      <c r="U212" s="1">
        <f t="shared" si="4"/>
        <v>99</v>
      </c>
      <c r="V212" s="3" t="str">
        <f t="shared" si="5"/>
        <v>null</v>
      </c>
      <c r="W212" s="3" t="str">
        <f t="shared" si="6"/>
        <v>null</v>
      </c>
      <c r="X212" s="3" t="str">
        <f t="shared" si="7"/>
        <v/>
      </c>
      <c r="Y212" s="3" t="str">
        <f t="shared" si="8"/>
        <v/>
      </c>
      <c r="Z212" s="1" t="str">
        <f t="shared" si="9"/>
        <v/>
      </c>
      <c r="AA212" s="3" t="str">
        <f t="shared" si="10"/>
        <v>null</v>
      </c>
      <c r="AB212" s="3" t="str">
        <f>LOOKUP($A212,Sheet2!$A$1:$B$233)</f>
        <v>East Asia &amp; Pacific</v>
      </c>
    </row>
    <row r="213" spans="1:28">
      <c r="A213" s="1" t="s">
        <v>141</v>
      </c>
      <c r="B213" s="1">
        <v>2020</v>
      </c>
      <c r="C213" s="1">
        <v>126476.46090000001</v>
      </c>
      <c r="D213" s="1">
        <v>91.781997680000003</v>
      </c>
      <c r="E213" s="1">
        <v>99.078912450000004</v>
      </c>
      <c r="F213" s="1">
        <v>0</v>
      </c>
      <c r="G213" s="1">
        <v>0.92108754670000004</v>
      </c>
      <c r="H213" s="1">
        <v>0</v>
      </c>
      <c r="I213" s="1" t="s">
        <v>272</v>
      </c>
      <c r="J213" s="1" t="s">
        <v>272</v>
      </c>
      <c r="K213" s="1" t="s">
        <v>272</v>
      </c>
      <c r="L213" s="1" t="s">
        <v>272</v>
      </c>
      <c r="M213" s="1" t="s">
        <v>272</v>
      </c>
      <c r="N213" s="1" t="s">
        <v>272</v>
      </c>
      <c r="O213" s="1" t="s">
        <v>272</v>
      </c>
      <c r="P213" s="1" t="s">
        <v>272</v>
      </c>
      <c r="Q213" s="2" t="str">
        <f t="shared" si="0"/>
        <v/>
      </c>
      <c r="R213" s="1" t="str">
        <f t="shared" si="1"/>
        <v/>
      </c>
      <c r="S213" s="1" t="str">
        <f t="shared" si="2"/>
        <v/>
      </c>
      <c r="T213" s="1" t="str">
        <f t="shared" si="3"/>
        <v/>
      </c>
      <c r="U213" s="1">
        <f t="shared" si="4"/>
        <v>99</v>
      </c>
      <c r="V213" s="3" t="str">
        <f t="shared" si="5"/>
        <v>null</v>
      </c>
      <c r="W213" s="3" t="str">
        <f t="shared" si="6"/>
        <v>null</v>
      </c>
      <c r="X213" s="3" t="str">
        <f t="shared" si="7"/>
        <v/>
      </c>
      <c r="Y213" s="3" t="str">
        <f t="shared" si="8"/>
        <v/>
      </c>
      <c r="Z213" s="1" t="str">
        <f t="shared" si="9"/>
        <v/>
      </c>
      <c r="AA213" s="3" t="str">
        <f t="shared" si="10"/>
        <v/>
      </c>
      <c r="AB213" s="3" t="str">
        <f>LOOKUP($A213,Sheet2!$A$1:$B$233)</f>
        <v>East Asia &amp; Pacific</v>
      </c>
    </row>
    <row r="214" spans="1:28">
      <c r="A214" s="1" t="s">
        <v>142</v>
      </c>
      <c r="B214" s="1">
        <v>2015</v>
      </c>
      <c r="C214" s="1">
        <v>9266.5732420000004</v>
      </c>
      <c r="D214" s="1">
        <v>90.256004329999996</v>
      </c>
      <c r="E214" s="1">
        <v>99.006784909999993</v>
      </c>
      <c r="F214" s="1">
        <v>0.15240298360000001</v>
      </c>
      <c r="G214" s="1">
        <v>0.78123116479999999</v>
      </c>
      <c r="H214" s="1">
        <v>5.958093834E-2</v>
      </c>
      <c r="I214" s="1">
        <v>97.362315390000006</v>
      </c>
      <c r="J214" s="1">
        <v>0.62427255179999996</v>
      </c>
      <c r="K214" s="1">
        <v>1.973552059</v>
      </c>
      <c r="L214" s="1">
        <v>3.986E-2</v>
      </c>
      <c r="M214" s="1">
        <v>99.184316820000006</v>
      </c>
      <c r="N214" s="1">
        <v>0.10146013550000001</v>
      </c>
      <c r="O214" s="1">
        <v>0.65251304369999996</v>
      </c>
      <c r="P214" s="1">
        <v>6.1710000000000001E-2</v>
      </c>
      <c r="Q214" s="2">
        <f t="shared" si="0"/>
        <v>5</v>
      </c>
      <c r="R214" s="1">
        <f t="shared" si="1"/>
        <v>-1.3296389999999292E-2</v>
      </c>
      <c r="S214" s="1">
        <f t="shared" si="2"/>
        <v>-1.0167340000000991E-2</v>
      </c>
      <c r="T214" s="1">
        <f t="shared" si="3"/>
        <v>-1.8220846000002667E-2</v>
      </c>
      <c r="U214" s="1">
        <f t="shared" si="4"/>
        <v>99</v>
      </c>
      <c r="V214" s="3">
        <f t="shared" si="5"/>
        <v>97</v>
      </c>
      <c r="W214" s="3">
        <f t="shared" si="6"/>
        <v>99</v>
      </c>
      <c r="X214" s="3" t="str">
        <f t="shared" si="7"/>
        <v/>
      </c>
      <c r="Y214" s="3" t="str">
        <f t="shared" si="8"/>
        <v/>
      </c>
      <c r="Z214" s="1" t="str">
        <f t="shared" si="9"/>
        <v/>
      </c>
      <c r="AA214" s="3">
        <f t="shared" si="10"/>
        <v>8.0535060000016759E-3</v>
      </c>
      <c r="AB214" s="3" t="str">
        <f>LOOKUP($A214,Sheet2!$A$1:$B$233)</f>
        <v>Middle East &amp; North Africa</v>
      </c>
    </row>
    <row r="215" spans="1:28">
      <c r="A215" s="1" t="s">
        <v>142</v>
      </c>
      <c r="B215" s="1">
        <v>2020</v>
      </c>
      <c r="C215" s="1">
        <v>10203.139649999999</v>
      </c>
      <c r="D215" s="1">
        <v>91.417999269999996</v>
      </c>
      <c r="E215" s="1">
        <v>98.940302959999997</v>
      </c>
      <c r="F215" s="1">
        <v>0.1462147369</v>
      </c>
      <c r="G215" s="1">
        <v>0.8536474704</v>
      </c>
      <c r="H215" s="1">
        <v>5.9834831790000001E-2</v>
      </c>
      <c r="I215" s="1">
        <v>97.311478690000001</v>
      </c>
      <c r="J215" s="1">
        <v>0.62394659450000001</v>
      </c>
      <c r="K215" s="1">
        <v>2.0247147160000001</v>
      </c>
      <c r="L215" s="1">
        <v>3.986E-2</v>
      </c>
      <c r="M215" s="1">
        <v>99.093212589999993</v>
      </c>
      <c r="N215" s="1">
        <v>0.1013669408</v>
      </c>
      <c r="O215" s="1">
        <v>0.74371047069999996</v>
      </c>
      <c r="P215" s="1">
        <v>6.1710000000000001E-2</v>
      </c>
      <c r="Q215" s="2" t="str">
        <f t="shared" si="0"/>
        <v/>
      </c>
      <c r="R215" s="1" t="str">
        <f t="shared" si="1"/>
        <v/>
      </c>
      <c r="S215" s="1" t="str">
        <f t="shared" si="2"/>
        <v/>
      </c>
      <c r="T215" s="1" t="str">
        <f t="shared" si="3"/>
        <v/>
      </c>
      <c r="U215" s="1">
        <f t="shared" si="4"/>
        <v>99</v>
      </c>
      <c r="V215" s="3">
        <f t="shared" si="5"/>
        <v>97</v>
      </c>
      <c r="W215" s="3">
        <f t="shared" si="6"/>
        <v>99</v>
      </c>
      <c r="X215" s="3" t="str">
        <f t="shared" si="7"/>
        <v/>
      </c>
      <c r="Y215" s="3" t="str">
        <f t="shared" si="8"/>
        <v/>
      </c>
      <c r="Z215" s="1" t="str">
        <f t="shared" si="9"/>
        <v/>
      </c>
      <c r="AA215" s="3" t="str">
        <f t="shared" si="10"/>
        <v/>
      </c>
      <c r="AB215" s="3" t="str">
        <f>LOOKUP($A215,Sheet2!$A$1:$B$233)</f>
        <v>Middle East &amp; North Africa</v>
      </c>
    </row>
    <row r="216" spans="1:28">
      <c r="A216" s="1" t="s">
        <v>143</v>
      </c>
      <c r="B216" s="1">
        <v>2015</v>
      </c>
      <c r="C216" s="1">
        <v>17572.009770000001</v>
      </c>
      <c r="D216" s="1">
        <v>57.191001890000003</v>
      </c>
      <c r="E216" s="1">
        <v>95.025334409999999</v>
      </c>
      <c r="F216" s="1">
        <v>1.812908425</v>
      </c>
      <c r="G216" s="1">
        <v>2.9043926519999999</v>
      </c>
      <c r="H216" s="1">
        <v>0.25736451110000003</v>
      </c>
      <c r="I216" s="1">
        <v>90.747497839999994</v>
      </c>
      <c r="J216" s="1">
        <v>1.8667718499999999</v>
      </c>
      <c r="K216" s="1">
        <v>6.7845377490000001</v>
      </c>
      <c r="L216" s="1">
        <v>0.60119255559999996</v>
      </c>
      <c r="M216" s="1">
        <v>98.227409789999996</v>
      </c>
      <c r="N216" s="1">
        <v>1.7725902060000001</v>
      </c>
      <c r="O216" s="1">
        <v>0</v>
      </c>
      <c r="P216" s="1">
        <v>0</v>
      </c>
      <c r="Q216" s="2">
        <f t="shared" si="0"/>
        <v>5</v>
      </c>
      <c r="R216" s="1">
        <f t="shared" si="1"/>
        <v>8.1927182000001153E-2</v>
      </c>
      <c r="S216" s="1">
        <f t="shared" si="2"/>
        <v>0.23835090000000037</v>
      </c>
      <c r="T216" s="1">
        <f t="shared" si="3"/>
        <v>-4.5335692000000448E-2</v>
      </c>
      <c r="U216" s="1">
        <f t="shared" si="4"/>
        <v>95</v>
      </c>
      <c r="V216" s="3">
        <f t="shared" si="5"/>
        <v>91</v>
      </c>
      <c r="W216" s="3">
        <f t="shared" si="6"/>
        <v>98</v>
      </c>
      <c r="X216" s="3" t="str">
        <f t="shared" si="7"/>
        <v/>
      </c>
      <c r="Y216" s="3" t="str">
        <f t="shared" si="8"/>
        <v/>
      </c>
      <c r="Z216" s="1" t="str">
        <f t="shared" si="9"/>
        <v/>
      </c>
      <c r="AA216" s="3">
        <f t="shared" si="10"/>
        <v>0.28368659200000079</v>
      </c>
      <c r="AB216" s="3" t="str">
        <f>LOOKUP($A216,Sheet2!$A$1:$B$233)</f>
        <v>Europe &amp; Central Asia</v>
      </c>
    </row>
    <row r="217" spans="1:28">
      <c r="A217" s="1" t="s">
        <v>143</v>
      </c>
      <c r="B217" s="1">
        <v>2020</v>
      </c>
      <c r="C217" s="1">
        <v>18776.707030000001</v>
      </c>
      <c r="D217" s="1">
        <v>57.671001429999997</v>
      </c>
      <c r="E217" s="1">
        <v>95.434970320000005</v>
      </c>
      <c r="F217" s="1">
        <v>1.9414250390000001</v>
      </c>
      <c r="G217" s="1">
        <v>2.5459569339999999</v>
      </c>
      <c r="H217" s="1">
        <v>7.7647704710000001E-2</v>
      </c>
      <c r="I217" s="1">
        <v>91.939252339999996</v>
      </c>
      <c r="J217" s="1">
        <v>1.862616064</v>
      </c>
      <c r="K217" s="1">
        <v>6.0146930489999999</v>
      </c>
      <c r="L217" s="1">
        <v>0.18343854379999999</v>
      </c>
      <c r="M217" s="1">
        <v>98.000731329999994</v>
      </c>
      <c r="N217" s="1">
        <v>1.999268673</v>
      </c>
      <c r="O217" s="1">
        <v>0</v>
      </c>
      <c r="P217" s="1">
        <v>0</v>
      </c>
      <c r="Q217" s="2" t="str">
        <f t="shared" si="0"/>
        <v/>
      </c>
      <c r="R217" s="1" t="str">
        <f t="shared" si="1"/>
        <v/>
      </c>
      <c r="S217" s="1" t="str">
        <f t="shared" si="2"/>
        <v/>
      </c>
      <c r="T217" s="1" t="str">
        <f t="shared" si="3"/>
        <v/>
      </c>
      <c r="U217" s="1">
        <f t="shared" si="4"/>
        <v>95</v>
      </c>
      <c r="V217" s="3">
        <f t="shared" si="5"/>
        <v>92</v>
      </c>
      <c r="W217" s="3">
        <f t="shared" si="6"/>
        <v>98</v>
      </c>
      <c r="X217" s="3" t="str">
        <f t="shared" si="7"/>
        <v/>
      </c>
      <c r="Y217" s="3" t="str">
        <f t="shared" si="8"/>
        <v/>
      </c>
      <c r="Z217" s="1" t="str">
        <f t="shared" si="9"/>
        <v/>
      </c>
      <c r="AA217" s="3" t="str">
        <f t="shared" si="10"/>
        <v/>
      </c>
      <c r="AB217" s="3" t="str">
        <f>LOOKUP($A217,Sheet2!$A$1:$B$233)</f>
        <v>Europe &amp; Central Asia</v>
      </c>
    </row>
    <row r="218" spans="1:28">
      <c r="A218" s="1" t="s">
        <v>144</v>
      </c>
      <c r="B218" s="1">
        <v>2015</v>
      </c>
      <c r="C218" s="1">
        <v>47878.339840000001</v>
      </c>
      <c r="D218" s="1">
        <v>25.65799904</v>
      </c>
      <c r="E218" s="1">
        <v>58.196927979999998</v>
      </c>
      <c r="F218" s="1">
        <v>8.7967539769999998</v>
      </c>
      <c r="G218" s="1">
        <v>11.522918349999999</v>
      </c>
      <c r="H218" s="1">
        <v>21.483399689999999</v>
      </c>
      <c r="I218" s="1">
        <v>48.272161910000001</v>
      </c>
      <c r="J218" s="1">
        <v>10.37313934</v>
      </c>
      <c r="K218" s="1">
        <v>14.21683468</v>
      </c>
      <c r="L218" s="1">
        <v>27.13786408</v>
      </c>
      <c r="M218" s="1">
        <v>86.953147920000006</v>
      </c>
      <c r="N218" s="1">
        <v>4.2293042700000001</v>
      </c>
      <c r="O218" s="1">
        <v>3.7175043830000001</v>
      </c>
      <c r="P218" s="1">
        <v>5.1000434290000003</v>
      </c>
      <c r="Q218" s="2">
        <f t="shared" si="0"/>
        <v>5</v>
      </c>
      <c r="R218" s="1">
        <f t="shared" si="1"/>
        <v>0.6871927200000002</v>
      </c>
      <c r="S218" s="1">
        <f t="shared" si="2"/>
        <v>0.7015634039999995</v>
      </c>
      <c r="T218" s="1">
        <f t="shared" si="3"/>
        <v>4.4167059999978163E-3</v>
      </c>
      <c r="U218" s="1">
        <f t="shared" si="4"/>
        <v>58</v>
      </c>
      <c r="V218" s="3">
        <f t="shared" si="5"/>
        <v>48</v>
      </c>
      <c r="W218" s="3">
        <f t="shared" si="6"/>
        <v>87</v>
      </c>
      <c r="X218" s="3" t="str">
        <f t="shared" si="7"/>
        <v/>
      </c>
      <c r="Y218" s="3" t="str">
        <f t="shared" si="8"/>
        <v/>
      </c>
      <c r="Z218" s="1" t="str">
        <f t="shared" si="9"/>
        <v/>
      </c>
      <c r="AA218" s="3">
        <f t="shared" si="10"/>
        <v>0.69714669800000173</v>
      </c>
      <c r="AB218" s="3" t="str">
        <f>LOOKUP($A218,Sheet2!$A$1:$B$233)</f>
        <v>Sub-Saharan Africa</v>
      </c>
    </row>
    <row r="219" spans="1:28">
      <c r="A219" s="1" t="s">
        <v>144</v>
      </c>
      <c r="B219" s="1">
        <v>2020</v>
      </c>
      <c r="C219" s="1">
        <v>53771.300779999998</v>
      </c>
      <c r="D219" s="1">
        <v>27.994998930000001</v>
      </c>
      <c r="E219" s="1">
        <v>61.632891579999999</v>
      </c>
      <c r="F219" s="1">
        <v>9.54187005</v>
      </c>
      <c r="G219" s="1">
        <v>9.7800875240000007</v>
      </c>
      <c r="H219" s="1">
        <v>19.045150840000002</v>
      </c>
      <c r="I219" s="1">
        <v>51.779978929999999</v>
      </c>
      <c r="J219" s="1">
        <v>11.569004189999999</v>
      </c>
      <c r="K219" s="1">
        <v>12.519113219999999</v>
      </c>
      <c r="L219" s="1">
        <v>24.131903659999999</v>
      </c>
      <c r="M219" s="1">
        <v>86.975231449999995</v>
      </c>
      <c r="N219" s="1">
        <v>4.327944725</v>
      </c>
      <c r="O219" s="1">
        <v>2.7351426299999999</v>
      </c>
      <c r="P219" s="1">
        <v>5.9616811930000004</v>
      </c>
      <c r="Q219" s="2" t="str">
        <f t="shared" si="0"/>
        <v/>
      </c>
      <c r="R219" s="1" t="str">
        <f t="shared" si="1"/>
        <v/>
      </c>
      <c r="S219" s="1" t="str">
        <f t="shared" si="2"/>
        <v/>
      </c>
      <c r="T219" s="1" t="str">
        <f t="shared" si="3"/>
        <v/>
      </c>
      <c r="U219" s="1">
        <f t="shared" si="4"/>
        <v>62</v>
      </c>
      <c r="V219" s="3">
        <f t="shared" si="5"/>
        <v>52</v>
      </c>
      <c r="W219" s="3">
        <f t="shared" si="6"/>
        <v>87</v>
      </c>
      <c r="X219" s="3" t="str">
        <f t="shared" si="7"/>
        <v/>
      </c>
      <c r="Y219" s="3" t="str">
        <f t="shared" si="8"/>
        <v/>
      </c>
      <c r="Z219" s="1" t="str">
        <f t="shared" si="9"/>
        <v/>
      </c>
      <c r="AA219" s="3" t="str">
        <f t="shared" si="10"/>
        <v/>
      </c>
      <c r="AB219" s="3" t="str">
        <f>LOOKUP($A219,Sheet2!$A$1:$B$233)</f>
        <v>Sub-Saharan Africa</v>
      </c>
    </row>
    <row r="220" spans="1:28">
      <c r="A220" s="1" t="s">
        <v>145</v>
      </c>
      <c r="B220" s="1">
        <v>2015</v>
      </c>
      <c r="C220" s="1">
        <v>110.927002</v>
      </c>
      <c r="D220" s="1">
        <v>51.618999479999999</v>
      </c>
      <c r="E220" s="1">
        <v>73.848096589999997</v>
      </c>
      <c r="F220" s="1">
        <v>2.3408915690000001</v>
      </c>
      <c r="G220" s="1">
        <v>23.811011839999999</v>
      </c>
      <c r="H220" s="1">
        <v>0</v>
      </c>
      <c r="I220" s="1">
        <v>57.922252589999999</v>
      </c>
      <c r="J220" s="1">
        <v>1.6395879280000001</v>
      </c>
      <c r="K220" s="1">
        <v>40.438159480000003</v>
      </c>
      <c r="L220" s="1">
        <v>0</v>
      </c>
      <c r="M220" s="1">
        <v>88.774932000000007</v>
      </c>
      <c r="N220" s="1">
        <v>2.9982032959999998</v>
      </c>
      <c r="O220" s="1">
        <v>8.2268647060000006</v>
      </c>
      <c r="P220" s="1">
        <v>0</v>
      </c>
      <c r="Q220" s="2">
        <f t="shared" si="0"/>
        <v>5</v>
      </c>
      <c r="R220" s="1">
        <f t="shared" si="1"/>
        <v>0.82456485200000029</v>
      </c>
      <c r="S220" s="1">
        <f t="shared" si="2"/>
        <v>0.61438646000000008</v>
      </c>
      <c r="T220" s="1">
        <f t="shared" si="3"/>
        <v>0.55124856999999849</v>
      </c>
      <c r="U220" s="1">
        <f t="shared" si="4"/>
        <v>74</v>
      </c>
      <c r="V220" s="3">
        <f t="shared" si="5"/>
        <v>58</v>
      </c>
      <c r="W220" s="3">
        <f t="shared" si="6"/>
        <v>89</v>
      </c>
      <c r="X220" s="3" t="str">
        <f t="shared" si="7"/>
        <v/>
      </c>
      <c r="Y220" s="3" t="str">
        <f t="shared" si="8"/>
        <v/>
      </c>
      <c r="Z220" s="1" t="str">
        <f t="shared" si="9"/>
        <v/>
      </c>
      <c r="AA220" s="3">
        <f t="shared" si="10"/>
        <v>6.3137890000001584E-2</v>
      </c>
      <c r="AB220" s="3" t="str">
        <f>LOOKUP($A220,Sheet2!$A$1:$B$233)</f>
        <v>East Asia &amp; Pacific</v>
      </c>
    </row>
    <row r="221" spans="1:28">
      <c r="A221" s="1" t="s">
        <v>145</v>
      </c>
      <c r="B221" s="1">
        <v>2020</v>
      </c>
      <c r="C221" s="1">
        <v>119.44599909999999</v>
      </c>
      <c r="D221" s="1">
        <v>55.593997960000003</v>
      </c>
      <c r="E221" s="1">
        <v>77.970920849999999</v>
      </c>
      <c r="F221" s="1">
        <v>4.0768996250000002</v>
      </c>
      <c r="G221" s="1">
        <v>17.952179529999999</v>
      </c>
      <c r="H221" s="1">
        <v>0</v>
      </c>
      <c r="I221" s="1">
        <v>60.99418489</v>
      </c>
      <c r="J221" s="1">
        <v>2.0966097989999999</v>
      </c>
      <c r="K221" s="1">
        <v>36.909205319999998</v>
      </c>
      <c r="L221" s="1">
        <v>0</v>
      </c>
      <c r="M221" s="1">
        <v>91.531174849999999</v>
      </c>
      <c r="N221" s="1">
        <v>5.6586664610000001</v>
      </c>
      <c r="O221" s="1">
        <v>2.8101586909999998</v>
      </c>
      <c r="P221" s="1">
        <v>0</v>
      </c>
      <c r="Q221" s="2" t="str">
        <f t="shared" si="0"/>
        <v/>
      </c>
      <c r="R221" s="1" t="str">
        <f t="shared" si="1"/>
        <v/>
      </c>
      <c r="S221" s="1" t="str">
        <f t="shared" si="2"/>
        <v/>
      </c>
      <c r="T221" s="1" t="str">
        <f t="shared" si="3"/>
        <v/>
      </c>
      <c r="U221" s="1">
        <f t="shared" si="4"/>
        <v>78</v>
      </c>
      <c r="V221" s="3">
        <f t="shared" si="5"/>
        <v>61</v>
      </c>
      <c r="W221" s="3">
        <f t="shared" si="6"/>
        <v>92</v>
      </c>
      <c r="X221" s="3" t="str">
        <f t="shared" si="7"/>
        <v/>
      </c>
      <c r="Y221" s="3" t="str">
        <f t="shared" si="8"/>
        <v/>
      </c>
      <c r="Z221" s="1" t="str">
        <f t="shared" si="9"/>
        <v/>
      </c>
      <c r="AA221" s="3" t="str">
        <f t="shared" si="10"/>
        <v/>
      </c>
      <c r="AB221" s="3" t="str">
        <f>LOOKUP($A221,Sheet2!$A$1:$B$233)</f>
        <v>East Asia &amp; Pacific</v>
      </c>
    </row>
    <row r="222" spans="1:28">
      <c r="A222" s="1" t="s">
        <v>146</v>
      </c>
      <c r="B222" s="1">
        <v>2015</v>
      </c>
      <c r="C222" s="1">
        <v>3835.5878910000001</v>
      </c>
      <c r="D222" s="1">
        <v>100</v>
      </c>
      <c r="E222" s="1">
        <v>100</v>
      </c>
      <c r="F222" s="1">
        <v>0</v>
      </c>
      <c r="G222" s="1">
        <v>0</v>
      </c>
      <c r="H222" s="1">
        <v>0</v>
      </c>
      <c r="I222" s="1" t="s">
        <v>272</v>
      </c>
      <c r="J222" s="1" t="s">
        <v>272</v>
      </c>
      <c r="K222" s="1" t="s">
        <v>272</v>
      </c>
      <c r="L222" s="1" t="s">
        <v>272</v>
      </c>
      <c r="M222" s="1" t="s">
        <v>272</v>
      </c>
      <c r="N222" s="1" t="s">
        <v>272</v>
      </c>
      <c r="O222" s="1" t="s">
        <v>272</v>
      </c>
      <c r="P222" s="1" t="s">
        <v>272</v>
      </c>
      <c r="Q222" s="2">
        <f t="shared" si="0"/>
        <v>5</v>
      </c>
      <c r="R222" s="1">
        <f t="shared" si="1"/>
        <v>0</v>
      </c>
      <c r="S222" s="1" t="str">
        <f t="shared" si="2"/>
        <v>null</v>
      </c>
      <c r="T222" s="1" t="str">
        <f t="shared" si="3"/>
        <v>null</v>
      </c>
      <c r="U222" s="1">
        <f t="shared" si="4"/>
        <v>100</v>
      </c>
      <c r="V222" s="3" t="str">
        <f t="shared" si="5"/>
        <v>null</v>
      </c>
      <c r="W222" s="3" t="str">
        <f t="shared" si="6"/>
        <v>null</v>
      </c>
      <c r="X222" s="3" t="str">
        <f t="shared" si="7"/>
        <v>fullaccesss</v>
      </c>
      <c r="Y222" s="3" t="str">
        <f t="shared" si="8"/>
        <v/>
      </c>
      <c r="Z222" s="1" t="str">
        <f t="shared" si="9"/>
        <v/>
      </c>
      <c r="AA222" s="3" t="str">
        <f t="shared" si="10"/>
        <v>null</v>
      </c>
      <c r="AB222" s="3" t="str">
        <f>LOOKUP($A222,Sheet2!$A$1:$B$233)</f>
        <v>Middle East &amp; North Africa</v>
      </c>
    </row>
    <row r="223" spans="1:28">
      <c r="A223" s="1" t="s">
        <v>146</v>
      </c>
      <c r="B223" s="1">
        <v>2020</v>
      </c>
      <c r="C223" s="1">
        <v>4270.5629879999997</v>
      </c>
      <c r="D223" s="1">
        <v>100</v>
      </c>
      <c r="E223" s="1">
        <v>100</v>
      </c>
      <c r="F223" s="1">
        <v>0</v>
      </c>
      <c r="G223" s="1">
        <v>0</v>
      </c>
      <c r="H223" s="1">
        <v>0</v>
      </c>
      <c r="I223" s="1" t="s">
        <v>272</v>
      </c>
      <c r="J223" s="1" t="s">
        <v>272</v>
      </c>
      <c r="K223" s="1" t="s">
        <v>272</v>
      </c>
      <c r="L223" s="1" t="s">
        <v>272</v>
      </c>
      <c r="M223" s="1" t="s">
        <v>272</v>
      </c>
      <c r="N223" s="1" t="s">
        <v>272</v>
      </c>
      <c r="O223" s="1" t="s">
        <v>272</v>
      </c>
      <c r="P223" s="1" t="s">
        <v>272</v>
      </c>
      <c r="Q223" s="2" t="str">
        <f t="shared" si="0"/>
        <v/>
      </c>
      <c r="R223" s="1" t="str">
        <f t="shared" si="1"/>
        <v/>
      </c>
      <c r="S223" s="1" t="str">
        <f t="shared" si="2"/>
        <v/>
      </c>
      <c r="T223" s="1" t="str">
        <f t="shared" si="3"/>
        <v/>
      </c>
      <c r="U223" s="1">
        <f t="shared" si="4"/>
        <v>100</v>
      </c>
      <c r="V223" s="3" t="str">
        <f t="shared" si="5"/>
        <v>null</v>
      </c>
      <c r="W223" s="3" t="str">
        <f t="shared" si="6"/>
        <v>null</v>
      </c>
      <c r="X223" s="3" t="str">
        <f t="shared" si="7"/>
        <v/>
      </c>
      <c r="Y223" s="3" t="str">
        <f t="shared" si="8"/>
        <v/>
      </c>
      <c r="Z223" s="1" t="str">
        <f t="shared" si="9"/>
        <v/>
      </c>
      <c r="AA223" s="3" t="str">
        <f t="shared" si="10"/>
        <v/>
      </c>
      <c r="AB223" s="3" t="str">
        <f>LOOKUP($A223,Sheet2!$A$1:$B$233)</f>
        <v>Middle East &amp; North Africa</v>
      </c>
    </row>
    <row r="224" spans="1:28">
      <c r="A224" s="1" t="s">
        <v>147</v>
      </c>
      <c r="B224" s="1">
        <v>2015</v>
      </c>
      <c r="C224" s="1">
        <v>5959.1259769999997</v>
      </c>
      <c r="D224" s="1">
        <v>35.777000430000001</v>
      </c>
      <c r="E224" s="1">
        <v>88.441761249999999</v>
      </c>
      <c r="F224" s="1">
        <v>1.7899358359999999</v>
      </c>
      <c r="G224" s="1">
        <v>2.2480629049999998</v>
      </c>
      <c r="H224" s="1">
        <v>7.5202400129999996</v>
      </c>
      <c r="I224" s="1">
        <v>83.105217640000006</v>
      </c>
      <c r="J224" s="1">
        <v>2.4159736540000001</v>
      </c>
      <c r="K224" s="1">
        <v>3.3531687830000001</v>
      </c>
      <c r="L224" s="1">
        <v>11.12563993</v>
      </c>
      <c r="M224" s="1">
        <v>98.021346449999996</v>
      </c>
      <c r="N224" s="1">
        <v>0.66614053719999999</v>
      </c>
      <c r="O224" s="1">
        <v>0.26429650360000001</v>
      </c>
      <c r="P224" s="1">
        <v>1.04821651</v>
      </c>
      <c r="Q224" s="2">
        <f t="shared" si="0"/>
        <v>5</v>
      </c>
      <c r="R224" s="1">
        <f t="shared" si="1"/>
        <v>0.65150879400000006</v>
      </c>
      <c r="S224" s="1">
        <f t="shared" si="2"/>
        <v>0.83064227200000007</v>
      </c>
      <c r="T224" s="1">
        <f t="shared" si="3"/>
        <v>0.25726917199999944</v>
      </c>
      <c r="U224" s="1">
        <f t="shared" si="4"/>
        <v>88</v>
      </c>
      <c r="V224" s="3">
        <f t="shared" si="5"/>
        <v>83</v>
      </c>
      <c r="W224" s="3">
        <f t="shared" si="6"/>
        <v>98</v>
      </c>
      <c r="X224" s="3" t="str">
        <f t="shared" si="7"/>
        <v/>
      </c>
      <c r="Y224" s="3" t="str">
        <f t="shared" si="8"/>
        <v/>
      </c>
      <c r="Z224" s="1" t="str">
        <f t="shared" si="9"/>
        <v/>
      </c>
      <c r="AA224" s="3">
        <f t="shared" si="10"/>
        <v>0.57337310000000064</v>
      </c>
      <c r="AB224" s="3" t="str">
        <f>LOOKUP($A224,Sheet2!$A$1:$B$233)</f>
        <v>Europe &amp; Central Asia</v>
      </c>
    </row>
    <row r="225" spans="1:28">
      <c r="A225" s="1" t="s">
        <v>147</v>
      </c>
      <c r="B225" s="1">
        <v>2020</v>
      </c>
      <c r="C225" s="1">
        <v>6524.1909180000002</v>
      </c>
      <c r="D225" s="1">
        <v>36.855998990000003</v>
      </c>
      <c r="E225" s="1">
        <v>91.699305219999999</v>
      </c>
      <c r="F225" s="1">
        <v>1.900734111</v>
      </c>
      <c r="G225" s="1">
        <v>1.8656486999999999</v>
      </c>
      <c r="H225" s="1">
        <v>4.5343119649999997</v>
      </c>
      <c r="I225" s="1">
        <v>87.258429000000007</v>
      </c>
      <c r="J225" s="1">
        <v>2.606070485</v>
      </c>
      <c r="K225" s="1">
        <v>2.9545936840000002</v>
      </c>
      <c r="L225" s="1">
        <v>7.1809068319999998</v>
      </c>
      <c r="M225" s="1">
        <v>99.307692309999993</v>
      </c>
      <c r="N225" s="1">
        <v>0.6923076923</v>
      </c>
      <c r="O225" s="1">
        <v>0</v>
      </c>
      <c r="P225" s="1">
        <v>0</v>
      </c>
      <c r="Q225" s="2" t="str">
        <f t="shared" si="0"/>
        <v/>
      </c>
      <c r="R225" s="1" t="str">
        <f t="shared" si="1"/>
        <v/>
      </c>
      <c r="S225" s="1" t="str">
        <f t="shared" si="2"/>
        <v/>
      </c>
      <c r="T225" s="1" t="str">
        <f t="shared" si="3"/>
        <v/>
      </c>
      <c r="U225" s="1">
        <f t="shared" si="4"/>
        <v>92</v>
      </c>
      <c r="V225" s="3">
        <f t="shared" si="5"/>
        <v>87</v>
      </c>
      <c r="W225" s="3">
        <f t="shared" si="6"/>
        <v>99</v>
      </c>
      <c r="X225" s="3" t="str">
        <f t="shared" si="7"/>
        <v/>
      </c>
      <c r="Y225" s="3" t="str">
        <f t="shared" si="8"/>
        <v/>
      </c>
      <c r="Z225" s="1" t="str">
        <f t="shared" si="9"/>
        <v/>
      </c>
      <c r="AA225" s="3" t="str">
        <f t="shared" si="10"/>
        <v/>
      </c>
      <c r="AB225" s="3" t="str">
        <f>LOOKUP($A225,Sheet2!$A$1:$B$233)</f>
        <v>Europe &amp; Central Asia</v>
      </c>
    </row>
    <row r="226" spans="1:28">
      <c r="A226" s="1" t="s">
        <v>148</v>
      </c>
      <c r="B226" s="1">
        <v>2015</v>
      </c>
      <c r="C226" s="1">
        <v>6741.1601559999999</v>
      </c>
      <c r="D226" s="1">
        <v>33.10799789</v>
      </c>
      <c r="E226" s="1">
        <v>77.460572209999995</v>
      </c>
      <c r="F226" s="1">
        <v>3.0523403340000002</v>
      </c>
      <c r="G226" s="1">
        <v>14.22792235</v>
      </c>
      <c r="H226" s="1">
        <v>5.2591651080000004</v>
      </c>
      <c r="I226" s="1">
        <v>70.239686550000002</v>
      </c>
      <c r="J226" s="1">
        <v>4.1702933629999999</v>
      </c>
      <c r="K226" s="1">
        <v>18.202221389999998</v>
      </c>
      <c r="L226" s="1">
        <v>7.3877986939999998</v>
      </c>
      <c r="M226" s="1">
        <v>92.049779979999997</v>
      </c>
      <c r="N226" s="1">
        <v>0.79360784900000003</v>
      </c>
      <c r="O226" s="1">
        <v>6.1981767950000002</v>
      </c>
      <c r="P226" s="1">
        <v>0.95843537109999999</v>
      </c>
      <c r="Q226" s="2">
        <f t="shared" si="0"/>
        <v>5</v>
      </c>
      <c r="R226" s="1">
        <f t="shared" si="1"/>
        <v>1.551834194</v>
      </c>
      <c r="S226" s="1">
        <f t="shared" si="2"/>
        <v>1.6466545739999987</v>
      </c>
      <c r="T226" s="1">
        <f t="shared" si="3"/>
        <v>1.0028964480000013</v>
      </c>
      <c r="U226" s="1">
        <f t="shared" si="4"/>
        <v>77</v>
      </c>
      <c r="V226" s="3">
        <f t="shared" si="5"/>
        <v>70</v>
      </c>
      <c r="W226" s="3">
        <f t="shared" si="6"/>
        <v>92</v>
      </c>
      <c r="X226" s="3" t="str">
        <f t="shared" si="7"/>
        <v/>
      </c>
      <c r="Y226" s="3" t="str">
        <f t="shared" si="8"/>
        <v/>
      </c>
      <c r="Z226" s="1" t="str">
        <f t="shared" si="9"/>
        <v/>
      </c>
      <c r="AA226" s="3">
        <f t="shared" si="10"/>
        <v>0.64375812599999738</v>
      </c>
      <c r="AB226" s="3" t="str">
        <f>LOOKUP($A226,Sheet2!$A$1:$B$233)</f>
        <v>East Asia &amp; Pacific</v>
      </c>
    </row>
    <row r="227" spans="1:28">
      <c r="A227" s="1" t="s">
        <v>148</v>
      </c>
      <c r="B227" s="1">
        <v>2020</v>
      </c>
      <c r="C227" s="1">
        <v>7275.5561520000001</v>
      </c>
      <c r="D227" s="1">
        <v>36.290000919999997</v>
      </c>
      <c r="E227" s="1">
        <v>85.219743179999995</v>
      </c>
      <c r="F227" s="1">
        <v>3.566857739</v>
      </c>
      <c r="G227" s="1">
        <v>10.62886799</v>
      </c>
      <c r="H227" s="1">
        <v>0.58453109380000001</v>
      </c>
      <c r="I227" s="1">
        <v>78.472959419999995</v>
      </c>
      <c r="J227" s="1">
        <v>5.5985837859999998</v>
      </c>
      <c r="K227" s="1">
        <v>15.010969599999999</v>
      </c>
      <c r="L227" s="1">
        <v>0.91748719570000004</v>
      </c>
      <c r="M227" s="1">
        <v>97.064262220000003</v>
      </c>
      <c r="N227" s="1">
        <v>0</v>
      </c>
      <c r="O227" s="1">
        <v>2.935737778</v>
      </c>
      <c r="P227" s="1">
        <v>0</v>
      </c>
      <c r="Q227" s="2" t="str">
        <f t="shared" si="0"/>
        <v/>
      </c>
      <c r="R227" s="1" t="str">
        <f t="shared" si="1"/>
        <v/>
      </c>
      <c r="S227" s="1" t="str">
        <f t="shared" si="2"/>
        <v/>
      </c>
      <c r="T227" s="1" t="str">
        <f t="shared" si="3"/>
        <v/>
      </c>
      <c r="U227" s="1">
        <f t="shared" si="4"/>
        <v>85</v>
      </c>
      <c r="V227" s="3">
        <f t="shared" si="5"/>
        <v>78</v>
      </c>
      <c r="W227" s="3">
        <f t="shared" si="6"/>
        <v>97</v>
      </c>
      <c r="X227" s="3" t="str">
        <f t="shared" si="7"/>
        <v/>
      </c>
      <c r="Y227" s="3" t="str">
        <f t="shared" si="8"/>
        <v/>
      </c>
      <c r="Z227" s="1" t="str">
        <f t="shared" si="9"/>
        <v/>
      </c>
      <c r="AA227" s="3" t="str">
        <f t="shared" si="10"/>
        <v/>
      </c>
      <c r="AB227" s="3" t="str">
        <f>LOOKUP($A227,Sheet2!$A$1:$B$233)</f>
        <v>East Asia &amp; Pacific</v>
      </c>
    </row>
    <row r="228" spans="1:28">
      <c r="A228" s="1" t="s">
        <v>149</v>
      </c>
      <c r="B228" s="1">
        <v>2015</v>
      </c>
      <c r="C228" s="1">
        <v>1997.6750489999999</v>
      </c>
      <c r="D228" s="1">
        <v>67.979995729999999</v>
      </c>
      <c r="E228" s="1">
        <v>98.525117280000003</v>
      </c>
      <c r="F228" s="1">
        <v>0.67870742309999998</v>
      </c>
      <c r="G228" s="1">
        <v>0.79617529310000001</v>
      </c>
      <c r="H228" s="1">
        <v>0</v>
      </c>
      <c r="I228" s="1">
        <v>97.854719009999997</v>
      </c>
      <c r="J228" s="1">
        <v>0</v>
      </c>
      <c r="K228" s="1">
        <v>2.145280992</v>
      </c>
      <c r="L228" s="1">
        <v>0</v>
      </c>
      <c r="M228" s="1">
        <v>98.840893339999994</v>
      </c>
      <c r="N228" s="1">
        <v>0.99839286199999999</v>
      </c>
      <c r="O228" s="1">
        <v>0.1607138001</v>
      </c>
      <c r="P228" s="1">
        <v>0</v>
      </c>
      <c r="Q228" s="2">
        <f t="shared" si="0"/>
        <v>5</v>
      </c>
      <c r="R228" s="1">
        <f t="shared" si="1"/>
        <v>5.14967740000003E-2</v>
      </c>
      <c r="S228" s="1">
        <f t="shared" si="2"/>
        <v>0.14490082599999993</v>
      </c>
      <c r="T228" s="1">
        <f t="shared" si="3"/>
        <v>7.206270000000359E-3</v>
      </c>
      <c r="U228" s="1">
        <f t="shared" si="4"/>
        <v>99</v>
      </c>
      <c r="V228" s="3">
        <f t="shared" si="5"/>
        <v>98</v>
      </c>
      <c r="W228" s="3">
        <f t="shared" si="6"/>
        <v>99</v>
      </c>
      <c r="X228" s="3" t="str">
        <f t="shared" si="7"/>
        <v/>
      </c>
      <c r="Y228" s="3" t="str">
        <f t="shared" si="8"/>
        <v/>
      </c>
      <c r="Z228" s="1" t="str">
        <f t="shared" si="9"/>
        <v/>
      </c>
      <c r="AA228" s="3">
        <f t="shared" si="10"/>
        <v>0.13769455599999958</v>
      </c>
      <c r="AB228" s="3" t="str">
        <f>LOOKUP($A228,Sheet2!$A$1:$B$233)</f>
        <v>Europe &amp; Central Asia</v>
      </c>
    </row>
    <row r="229" spans="1:28">
      <c r="A229" s="1" t="s">
        <v>149</v>
      </c>
      <c r="B229" s="1">
        <v>2020</v>
      </c>
      <c r="C229" s="1">
        <v>1886.2020259999999</v>
      </c>
      <c r="D229" s="1">
        <v>68.315002440000001</v>
      </c>
      <c r="E229" s="1">
        <v>98.782601150000005</v>
      </c>
      <c r="F229" s="1">
        <v>0.68230074240000005</v>
      </c>
      <c r="G229" s="1">
        <v>0.53509810369999999</v>
      </c>
      <c r="H229" s="1">
        <v>0</v>
      </c>
      <c r="I229" s="1">
        <v>98.579223139999996</v>
      </c>
      <c r="J229" s="1">
        <v>0</v>
      </c>
      <c r="K229" s="1">
        <v>1.4207768599999999</v>
      </c>
      <c r="L229" s="1">
        <v>0</v>
      </c>
      <c r="M229" s="1">
        <v>98.876924689999996</v>
      </c>
      <c r="N229" s="1">
        <v>0.99875681510000003</v>
      </c>
      <c r="O229" s="1">
        <v>0.1243184908</v>
      </c>
      <c r="P229" s="1">
        <v>0</v>
      </c>
      <c r="Q229" s="2" t="str">
        <f t="shared" si="0"/>
        <v/>
      </c>
      <c r="R229" s="1" t="str">
        <f t="shared" si="1"/>
        <v/>
      </c>
      <c r="S229" s="1" t="str">
        <f t="shared" si="2"/>
        <v/>
      </c>
      <c r="T229" s="1" t="str">
        <f t="shared" si="3"/>
        <v/>
      </c>
      <c r="U229" s="1">
        <f t="shared" si="4"/>
        <v>99</v>
      </c>
      <c r="V229" s="3">
        <f t="shared" si="5"/>
        <v>99</v>
      </c>
      <c r="W229" s="3">
        <f t="shared" si="6"/>
        <v>99</v>
      </c>
      <c r="X229" s="3" t="str">
        <f t="shared" si="7"/>
        <v/>
      </c>
      <c r="Y229" s="3" t="str">
        <f t="shared" si="8"/>
        <v/>
      </c>
      <c r="Z229" s="1" t="str">
        <f t="shared" si="9"/>
        <v/>
      </c>
      <c r="AA229" s="3" t="str">
        <f t="shared" si="10"/>
        <v/>
      </c>
      <c r="AB229" s="3" t="str">
        <f>LOOKUP($A229,Sheet2!$A$1:$B$233)</f>
        <v>Europe &amp; Central Asia</v>
      </c>
    </row>
    <row r="230" spans="1:28">
      <c r="A230" s="1" t="s">
        <v>150</v>
      </c>
      <c r="B230" s="1">
        <v>2015</v>
      </c>
      <c r="C230" s="1">
        <v>6532.6811520000001</v>
      </c>
      <c r="D230" s="1">
        <v>88.106002810000007</v>
      </c>
      <c r="E230" s="1">
        <v>91.224322509999993</v>
      </c>
      <c r="F230" s="1">
        <v>7.2900646499999997</v>
      </c>
      <c r="G230" s="1">
        <v>1.3401928400000001</v>
      </c>
      <c r="H230" s="1">
        <v>0.14541999999999999</v>
      </c>
      <c r="I230" s="1" t="s">
        <v>272</v>
      </c>
      <c r="J230" s="1" t="s">
        <v>272</v>
      </c>
      <c r="K230" s="1" t="s">
        <v>272</v>
      </c>
      <c r="L230" s="1" t="s">
        <v>272</v>
      </c>
      <c r="M230" s="1" t="s">
        <v>272</v>
      </c>
      <c r="N230" s="1" t="s">
        <v>272</v>
      </c>
      <c r="O230" s="1" t="s">
        <v>272</v>
      </c>
      <c r="P230" s="1" t="s">
        <v>272</v>
      </c>
      <c r="Q230" s="2">
        <f t="shared" si="0"/>
        <v>5</v>
      </c>
      <c r="R230" s="1">
        <f t="shared" si="1"/>
        <v>0.2751354980000002</v>
      </c>
      <c r="S230" s="1" t="str">
        <f t="shared" si="2"/>
        <v>null</v>
      </c>
      <c r="T230" s="1" t="str">
        <f t="shared" si="3"/>
        <v>null</v>
      </c>
      <c r="U230" s="1">
        <f t="shared" si="4"/>
        <v>91</v>
      </c>
      <c r="V230" s="3" t="str">
        <f t="shared" si="5"/>
        <v>null</v>
      </c>
      <c r="W230" s="3" t="str">
        <f t="shared" si="6"/>
        <v>null</v>
      </c>
      <c r="X230" s="3" t="str">
        <f t="shared" si="7"/>
        <v/>
      </c>
      <c r="Y230" s="3" t="str">
        <f t="shared" si="8"/>
        <v/>
      </c>
      <c r="Z230" s="1" t="str">
        <f t="shared" si="9"/>
        <v/>
      </c>
      <c r="AA230" s="3" t="str">
        <f t="shared" si="10"/>
        <v>null</v>
      </c>
      <c r="AB230" s="3" t="str">
        <f>LOOKUP($A230,Sheet2!$A$1:$B$233)</f>
        <v>Middle East &amp; North Africa</v>
      </c>
    </row>
    <row r="231" spans="1:28">
      <c r="A231" s="1" t="s">
        <v>150</v>
      </c>
      <c r="B231" s="1">
        <v>2020</v>
      </c>
      <c r="C231" s="1">
        <v>6825.4418949999999</v>
      </c>
      <c r="D231" s="1">
        <v>88.924995420000002</v>
      </c>
      <c r="E231" s="1">
        <v>92.6</v>
      </c>
      <c r="F231" s="1">
        <v>7.4</v>
      </c>
      <c r="G231" s="1">
        <v>0</v>
      </c>
      <c r="H231" s="1">
        <v>0</v>
      </c>
      <c r="I231" s="1" t="s">
        <v>272</v>
      </c>
      <c r="J231" s="1" t="s">
        <v>272</v>
      </c>
      <c r="K231" s="1" t="s">
        <v>272</v>
      </c>
      <c r="L231" s="1" t="s">
        <v>272</v>
      </c>
      <c r="M231" s="1" t="s">
        <v>272</v>
      </c>
      <c r="N231" s="1" t="s">
        <v>272</v>
      </c>
      <c r="O231" s="1" t="s">
        <v>272</v>
      </c>
      <c r="P231" s="1" t="s">
        <v>272</v>
      </c>
      <c r="Q231" s="2" t="str">
        <f t="shared" si="0"/>
        <v/>
      </c>
      <c r="R231" s="1" t="str">
        <f t="shared" si="1"/>
        <v/>
      </c>
      <c r="S231" s="1" t="str">
        <f t="shared" si="2"/>
        <v/>
      </c>
      <c r="T231" s="1" t="str">
        <f t="shared" si="3"/>
        <v/>
      </c>
      <c r="U231" s="1">
        <f t="shared" si="4"/>
        <v>93</v>
      </c>
      <c r="V231" s="3" t="str">
        <f t="shared" si="5"/>
        <v>null</v>
      </c>
      <c r="W231" s="3" t="str">
        <f t="shared" si="6"/>
        <v>null</v>
      </c>
      <c r="X231" s="3" t="str">
        <f t="shared" si="7"/>
        <v/>
      </c>
      <c r="Y231" s="3" t="str">
        <f t="shared" si="8"/>
        <v/>
      </c>
      <c r="Z231" s="1" t="str">
        <f t="shared" si="9"/>
        <v/>
      </c>
      <c r="AA231" s="3" t="str">
        <f t="shared" si="10"/>
        <v/>
      </c>
      <c r="AB231" s="3" t="str">
        <f>LOOKUP($A231,Sheet2!$A$1:$B$233)</f>
        <v>Middle East &amp; North Africa</v>
      </c>
    </row>
    <row r="232" spans="1:28">
      <c r="A232" s="1" t="s">
        <v>151</v>
      </c>
      <c r="B232" s="1">
        <v>2015</v>
      </c>
      <c r="C232" s="1">
        <v>2059.0109859999998</v>
      </c>
      <c r="D232" s="1">
        <v>26.908000950000002</v>
      </c>
      <c r="E232" s="1">
        <v>70.545689400000001</v>
      </c>
      <c r="F232" s="1">
        <v>10.86331049</v>
      </c>
      <c r="G232" s="1">
        <v>14.534382900000001</v>
      </c>
      <c r="H232" s="1">
        <v>4.0566172079999996</v>
      </c>
      <c r="I232" s="1">
        <v>63.420883150000002</v>
      </c>
      <c r="J232" s="1">
        <v>13.04933941</v>
      </c>
      <c r="K232" s="1">
        <v>18.164904929999999</v>
      </c>
      <c r="L232" s="1">
        <v>5.3648725109999997</v>
      </c>
      <c r="M232" s="1">
        <v>89.899276139999998</v>
      </c>
      <c r="N232" s="1">
        <v>4.9252542349999997</v>
      </c>
      <c r="O232" s="1">
        <v>4.6725536160000001</v>
      </c>
      <c r="P232" s="1">
        <v>0.50291600700000005</v>
      </c>
      <c r="Q232" s="2">
        <f t="shared" si="0"/>
        <v>5</v>
      </c>
      <c r="R232" s="1">
        <f t="shared" si="1"/>
        <v>0.32606997400000071</v>
      </c>
      <c r="S232" s="1">
        <f t="shared" si="2"/>
        <v>4.5894333999999051E-2</v>
      </c>
      <c r="T232" s="1">
        <f t="shared" si="3"/>
        <v>0.62432648200000074</v>
      </c>
      <c r="U232" s="1">
        <f t="shared" si="4"/>
        <v>71</v>
      </c>
      <c r="V232" s="3">
        <f t="shared" si="5"/>
        <v>63</v>
      </c>
      <c r="W232" s="3">
        <f t="shared" si="6"/>
        <v>90</v>
      </c>
      <c r="X232" s="3" t="str">
        <f t="shared" si="7"/>
        <v/>
      </c>
      <c r="Y232" s="3" t="str">
        <f t="shared" si="8"/>
        <v/>
      </c>
      <c r="Z232" s="1" t="str">
        <f t="shared" si="9"/>
        <v/>
      </c>
      <c r="AA232" s="3">
        <f t="shared" si="10"/>
        <v>-0.57843214800000164</v>
      </c>
      <c r="AB232" s="3" t="str">
        <f>LOOKUP($A232,Sheet2!$A$1:$B$233)</f>
        <v>Sub-Saharan Africa</v>
      </c>
    </row>
    <row r="233" spans="1:28">
      <c r="A233" s="1" t="s">
        <v>151</v>
      </c>
      <c r="B233" s="1">
        <v>2020</v>
      </c>
      <c r="C233" s="1">
        <v>2142.251953</v>
      </c>
      <c r="D233" s="1">
        <v>29.027999879999999</v>
      </c>
      <c r="E233" s="1">
        <v>72.176039270000004</v>
      </c>
      <c r="F233" s="1">
        <v>10.40592597</v>
      </c>
      <c r="G233" s="1">
        <v>12.21725464</v>
      </c>
      <c r="H233" s="1">
        <v>5.2007801159999998</v>
      </c>
      <c r="I233" s="1">
        <v>63.650354819999997</v>
      </c>
      <c r="J233" s="1">
        <v>13.55843013</v>
      </c>
      <c r="K233" s="1">
        <v>15.73132479</v>
      </c>
      <c r="L233" s="1">
        <v>7.0598902539999999</v>
      </c>
      <c r="M233" s="1">
        <v>93.020908550000001</v>
      </c>
      <c r="N233" s="1">
        <v>2.698211997</v>
      </c>
      <c r="O233" s="1">
        <v>3.625530038</v>
      </c>
      <c r="P233" s="1">
        <v>0.65534941999999996</v>
      </c>
      <c r="Q233" s="2" t="str">
        <f t="shared" si="0"/>
        <v/>
      </c>
      <c r="R233" s="1" t="str">
        <f t="shared" si="1"/>
        <v/>
      </c>
      <c r="S233" s="1" t="str">
        <f t="shared" si="2"/>
        <v/>
      </c>
      <c r="T233" s="1" t="str">
        <f t="shared" si="3"/>
        <v/>
      </c>
      <c r="U233" s="1">
        <f t="shared" si="4"/>
        <v>72</v>
      </c>
      <c r="V233" s="3">
        <f t="shared" si="5"/>
        <v>64</v>
      </c>
      <c r="W233" s="3">
        <f t="shared" si="6"/>
        <v>93</v>
      </c>
      <c r="X233" s="3" t="str">
        <f t="shared" si="7"/>
        <v/>
      </c>
      <c r="Y233" s="3" t="str">
        <f t="shared" si="8"/>
        <v/>
      </c>
      <c r="Z233" s="1" t="str">
        <f t="shared" si="9"/>
        <v/>
      </c>
      <c r="AA233" s="3" t="str">
        <f t="shared" si="10"/>
        <v/>
      </c>
      <c r="AB233" s="3" t="str">
        <f>LOOKUP($A233,Sheet2!$A$1:$B$233)</f>
        <v>Sub-Saharan Africa</v>
      </c>
    </row>
    <row r="234" spans="1:28">
      <c r="A234" s="1" t="s">
        <v>152</v>
      </c>
      <c r="B234" s="1">
        <v>2015</v>
      </c>
      <c r="C234" s="1">
        <v>4472.2290039999998</v>
      </c>
      <c r="D234" s="1">
        <v>49.819999690000003</v>
      </c>
      <c r="E234" s="1">
        <v>72.569791940000002</v>
      </c>
      <c r="F234" s="1">
        <v>7.3644226789999996</v>
      </c>
      <c r="G234" s="1">
        <v>6.5372338440000002</v>
      </c>
      <c r="H234" s="1">
        <v>13.52855154</v>
      </c>
      <c r="I234" s="1">
        <v>61.263181959999997</v>
      </c>
      <c r="J234" s="1">
        <v>5.1260422940000003</v>
      </c>
      <c r="K234" s="1">
        <v>7.5241487850000004</v>
      </c>
      <c r="L234" s="1">
        <v>26.08662696</v>
      </c>
      <c r="M234" s="1">
        <v>83.95810401</v>
      </c>
      <c r="N234" s="1">
        <v>9.6189777050000007</v>
      </c>
      <c r="O234" s="1">
        <v>5.5431874099999998</v>
      </c>
      <c r="P234" s="1">
        <v>0.87973087640000003</v>
      </c>
      <c r="Q234" s="2">
        <f t="shared" si="0"/>
        <v>5</v>
      </c>
      <c r="R234" s="1">
        <f t="shared" si="1"/>
        <v>0.53839992999999997</v>
      </c>
      <c r="S234" s="1">
        <f t="shared" si="2"/>
        <v>0.56740698600000028</v>
      </c>
      <c r="T234" s="1">
        <f t="shared" si="3"/>
        <v>0.31400112400000069</v>
      </c>
      <c r="U234" s="1">
        <f t="shared" si="4"/>
        <v>73</v>
      </c>
      <c r="V234" s="3">
        <f t="shared" si="5"/>
        <v>61</v>
      </c>
      <c r="W234" s="3">
        <f t="shared" si="6"/>
        <v>84</v>
      </c>
      <c r="X234" s="3" t="str">
        <f t="shared" si="7"/>
        <v/>
      </c>
      <c r="Y234" s="3" t="str">
        <f t="shared" si="8"/>
        <v/>
      </c>
      <c r="Z234" s="1" t="str">
        <f t="shared" si="9"/>
        <v/>
      </c>
      <c r="AA234" s="3">
        <f t="shared" si="10"/>
        <v>0.25340586199999959</v>
      </c>
      <c r="AB234" s="3" t="str">
        <f>LOOKUP($A234,Sheet2!$A$1:$B$233)</f>
        <v>Sub-Saharan Africa</v>
      </c>
    </row>
    <row r="235" spans="1:28">
      <c r="A235" s="1" t="s">
        <v>152</v>
      </c>
      <c r="B235" s="1">
        <v>2020</v>
      </c>
      <c r="C235" s="1">
        <v>5057.6767579999996</v>
      </c>
      <c r="D235" s="1">
        <v>52.088996889999997</v>
      </c>
      <c r="E235" s="1">
        <v>75.261791590000001</v>
      </c>
      <c r="F235" s="1">
        <v>8.7006574749999999</v>
      </c>
      <c r="G235" s="1">
        <v>3.488080869</v>
      </c>
      <c r="H235" s="1">
        <v>12.549470060000001</v>
      </c>
      <c r="I235" s="1">
        <v>64.100216889999999</v>
      </c>
      <c r="J235" s="1">
        <v>6.5377757970000001</v>
      </c>
      <c r="K235" s="1">
        <v>3.3837098750000001</v>
      </c>
      <c r="L235" s="1">
        <v>25.978297439999999</v>
      </c>
      <c r="M235" s="1">
        <v>85.528109630000003</v>
      </c>
      <c r="N235" s="1">
        <v>10.69005698</v>
      </c>
      <c r="O235" s="1">
        <v>3.58408039</v>
      </c>
      <c r="P235" s="1">
        <v>0.19775300060000001</v>
      </c>
      <c r="Q235" s="2" t="str">
        <f t="shared" si="0"/>
        <v/>
      </c>
      <c r="R235" s="1" t="str">
        <f t="shared" si="1"/>
        <v/>
      </c>
      <c r="S235" s="1" t="str">
        <f t="shared" si="2"/>
        <v/>
      </c>
      <c r="T235" s="1" t="str">
        <f t="shared" si="3"/>
        <v/>
      </c>
      <c r="U235" s="1">
        <f t="shared" si="4"/>
        <v>75</v>
      </c>
      <c r="V235" s="3">
        <f t="shared" si="5"/>
        <v>64</v>
      </c>
      <c r="W235" s="3">
        <f t="shared" si="6"/>
        <v>86</v>
      </c>
      <c r="X235" s="3" t="str">
        <f t="shared" si="7"/>
        <v/>
      </c>
      <c r="Y235" s="3" t="str">
        <f t="shared" si="8"/>
        <v/>
      </c>
      <c r="Z235" s="1" t="str">
        <f t="shared" si="9"/>
        <v/>
      </c>
      <c r="AA235" s="3" t="str">
        <f t="shared" si="10"/>
        <v/>
      </c>
      <c r="AB235" s="3" t="str">
        <f>LOOKUP($A235,Sheet2!$A$1:$B$233)</f>
        <v>Sub-Saharan Africa</v>
      </c>
    </row>
    <row r="236" spans="1:28">
      <c r="A236" s="1" t="s">
        <v>153</v>
      </c>
      <c r="B236" s="1">
        <v>2015</v>
      </c>
      <c r="C236" s="1">
        <v>6418.3149409999996</v>
      </c>
      <c r="D236" s="1">
        <v>79.270004270000001</v>
      </c>
      <c r="E236" s="1">
        <v>97.281615160000001</v>
      </c>
      <c r="F236" s="1">
        <v>0</v>
      </c>
      <c r="G236" s="1">
        <v>2.7183848410000002</v>
      </c>
      <c r="H236" s="1">
        <v>0</v>
      </c>
      <c r="I236" s="1" t="s">
        <v>272</v>
      </c>
      <c r="J236" s="1" t="s">
        <v>272</v>
      </c>
      <c r="K236" s="1" t="s">
        <v>272</v>
      </c>
      <c r="L236" s="1" t="s">
        <v>272</v>
      </c>
      <c r="M236" s="1" t="s">
        <v>272</v>
      </c>
      <c r="N236" s="1" t="s">
        <v>272</v>
      </c>
      <c r="O236" s="1" t="s">
        <v>272</v>
      </c>
      <c r="P236" s="1" t="s">
        <v>272</v>
      </c>
      <c r="Q236" s="2">
        <f t="shared" si="0"/>
        <v>5</v>
      </c>
      <c r="R236" s="1">
        <f t="shared" si="1"/>
        <v>0.52198172800000009</v>
      </c>
      <c r="S236" s="1" t="str">
        <f t="shared" si="2"/>
        <v>null</v>
      </c>
      <c r="T236" s="1" t="str">
        <f t="shared" si="3"/>
        <v>null</v>
      </c>
      <c r="U236" s="1">
        <f t="shared" si="4"/>
        <v>97</v>
      </c>
      <c r="V236" s="3" t="str">
        <f t="shared" si="5"/>
        <v>null</v>
      </c>
      <c r="W236" s="3" t="str">
        <f t="shared" si="6"/>
        <v>null</v>
      </c>
      <c r="X236" s="3" t="str">
        <f t="shared" si="7"/>
        <v/>
      </c>
      <c r="Y236" s="3" t="str">
        <f t="shared" si="8"/>
        <v/>
      </c>
      <c r="Z236" s="1" t="str">
        <f t="shared" si="9"/>
        <v/>
      </c>
      <c r="AA236" s="3" t="str">
        <f t="shared" si="10"/>
        <v>null</v>
      </c>
      <c r="AB236" s="3" t="str">
        <f>LOOKUP($A236,Sheet2!$A$1:$B$233)</f>
        <v>Sub-Saharan Africa</v>
      </c>
    </row>
    <row r="237" spans="1:28">
      <c r="A237" s="1" t="s">
        <v>153</v>
      </c>
      <c r="B237" s="1">
        <v>2020</v>
      </c>
      <c r="C237" s="1">
        <v>6871.2871089999999</v>
      </c>
      <c r="D237" s="1">
        <v>80.691001889999995</v>
      </c>
      <c r="E237" s="1">
        <v>99.891523800000002</v>
      </c>
      <c r="F237" s="1">
        <v>0</v>
      </c>
      <c r="G237" s="1">
        <v>0.1084762012</v>
      </c>
      <c r="H237" s="1">
        <v>0</v>
      </c>
      <c r="I237" s="1" t="s">
        <v>272</v>
      </c>
      <c r="J237" s="1" t="s">
        <v>272</v>
      </c>
      <c r="K237" s="1" t="s">
        <v>272</v>
      </c>
      <c r="L237" s="1" t="s">
        <v>272</v>
      </c>
      <c r="M237" s="1" t="s">
        <v>272</v>
      </c>
      <c r="N237" s="1" t="s">
        <v>272</v>
      </c>
      <c r="O237" s="1" t="s">
        <v>272</v>
      </c>
      <c r="P237" s="1" t="s">
        <v>272</v>
      </c>
      <c r="Q237" s="2" t="str">
        <f t="shared" si="0"/>
        <v/>
      </c>
      <c r="R237" s="1" t="str">
        <f t="shared" si="1"/>
        <v/>
      </c>
      <c r="S237" s="1" t="str">
        <f t="shared" si="2"/>
        <v/>
      </c>
      <c r="T237" s="1" t="str">
        <f t="shared" si="3"/>
        <v/>
      </c>
      <c r="U237" s="1">
        <f t="shared" si="4"/>
        <v>100</v>
      </c>
      <c r="V237" s="3" t="str">
        <f t="shared" si="5"/>
        <v>null</v>
      </c>
      <c r="W237" s="3" t="str">
        <f t="shared" si="6"/>
        <v>null</v>
      </c>
      <c r="X237" s="3" t="str">
        <f t="shared" si="7"/>
        <v/>
      </c>
      <c r="Y237" s="3" t="str">
        <f t="shared" si="8"/>
        <v/>
      </c>
      <c r="Z237" s="1" t="str">
        <f t="shared" si="9"/>
        <v/>
      </c>
      <c r="AA237" s="3" t="str">
        <f t="shared" si="10"/>
        <v/>
      </c>
      <c r="AB237" s="3" t="str">
        <f>LOOKUP($A237,Sheet2!$A$1:$B$233)</f>
        <v>Sub-Saharan Africa</v>
      </c>
    </row>
    <row r="238" spans="1:28">
      <c r="A238" s="1" t="s">
        <v>154</v>
      </c>
      <c r="B238" s="1">
        <v>2015</v>
      </c>
      <c r="C238" s="1">
        <v>37.465000150000002</v>
      </c>
      <c r="D238" s="1">
        <v>14.303000450000001</v>
      </c>
      <c r="E238" s="1">
        <v>100</v>
      </c>
      <c r="F238" s="1">
        <v>0</v>
      </c>
      <c r="G238" s="1">
        <v>0</v>
      </c>
      <c r="H238" s="1">
        <v>0</v>
      </c>
      <c r="I238" s="1" t="s">
        <v>272</v>
      </c>
      <c r="J238" s="1" t="s">
        <v>272</v>
      </c>
      <c r="K238" s="1" t="s">
        <v>272</v>
      </c>
      <c r="L238" s="1" t="s">
        <v>272</v>
      </c>
      <c r="M238" s="1" t="s">
        <v>272</v>
      </c>
      <c r="N238" s="1" t="s">
        <v>272</v>
      </c>
      <c r="O238" s="1" t="s">
        <v>272</v>
      </c>
      <c r="P238" s="1" t="s">
        <v>272</v>
      </c>
      <c r="Q238" s="2">
        <f t="shared" si="0"/>
        <v>5</v>
      </c>
      <c r="R238" s="1">
        <f t="shared" si="1"/>
        <v>0</v>
      </c>
      <c r="S238" s="1" t="str">
        <f t="shared" si="2"/>
        <v>null</v>
      </c>
      <c r="T238" s="1" t="str">
        <f t="shared" si="3"/>
        <v>null</v>
      </c>
      <c r="U238" s="1">
        <f t="shared" si="4"/>
        <v>100</v>
      </c>
      <c r="V238" s="3" t="str">
        <f t="shared" si="5"/>
        <v>null</v>
      </c>
      <c r="W238" s="3" t="str">
        <f t="shared" si="6"/>
        <v>null</v>
      </c>
      <c r="X238" s="3" t="str">
        <f t="shared" si="7"/>
        <v>fullaccesss</v>
      </c>
      <c r="Y238" s="3" t="str">
        <f t="shared" si="8"/>
        <v/>
      </c>
      <c r="Z238" s="1" t="str">
        <f t="shared" si="9"/>
        <v/>
      </c>
      <c r="AA238" s="3" t="str">
        <f t="shared" si="10"/>
        <v>null</v>
      </c>
      <c r="AB238" s="3" t="str">
        <f>LOOKUP($A238,Sheet2!$A$1:$B$233)</f>
        <v>Europe &amp; Central Asia</v>
      </c>
    </row>
    <row r="239" spans="1:28">
      <c r="A239" s="1" t="s">
        <v>154</v>
      </c>
      <c r="B239" s="1">
        <v>2020</v>
      </c>
      <c r="C239" s="1">
        <v>38.137001040000001</v>
      </c>
      <c r="D239" s="1">
        <v>14.416000370000001</v>
      </c>
      <c r="E239" s="1">
        <v>100</v>
      </c>
      <c r="F239" s="1">
        <v>0</v>
      </c>
      <c r="G239" s="1">
        <v>0</v>
      </c>
      <c r="H239" s="1">
        <v>0</v>
      </c>
      <c r="I239" s="1" t="s">
        <v>272</v>
      </c>
      <c r="J239" s="1" t="s">
        <v>272</v>
      </c>
      <c r="K239" s="1" t="s">
        <v>272</v>
      </c>
      <c r="L239" s="1" t="s">
        <v>272</v>
      </c>
      <c r="M239" s="1" t="s">
        <v>272</v>
      </c>
      <c r="N239" s="1" t="s">
        <v>272</v>
      </c>
      <c r="O239" s="1" t="s">
        <v>272</v>
      </c>
      <c r="P239" s="1" t="s">
        <v>272</v>
      </c>
      <c r="Q239" s="2" t="str">
        <f t="shared" si="0"/>
        <v/>
      </c>
      <c r="R239" s="1" t="str">
        <f t="shared" si="1"/>
        <v/>
      </c>
      <c r="S239" s="1" t="str">
        <f t="shared" si="2"/>
        <v/>
      </c>
      <c r="T239" s="1" t="str">
        <f t="shared" si="3"/>
        <v/>
      </c>
      <c r="U239" s="1">
        <f t="shared" si="4"/>
        <v>100</v>
      </c>
      <c r="V239" s="3" t="str">
        <f t="shared" si="5"/>
        <v>null</v>
      </c>
      <c r="W239" s="3" t="str">
        <f t="shared" si="6"/>
        <v>null</v>
      </c>
      <c r="X239" s="3" t="str">
        <f t="shared" si="7"/>
        <v/>
      </c>
      <c r="Y239" s="3" t="str">
        <f t="shared" si="8"/>
        <v/>
      </c>
      <c r="Z239" s="1" t="str">
        <f t="shared" si="9"/>
        <v/>
      </c>
      <c r="AA239" s="3" t="str">
        <f t="shared" si="10"/>
        <v/>
      </c>
      <c r="AB239" s="3" t="str">
        <f>LOOKUP($A239,Sheet2!$A$1:$B$233)</f>
        <v>Europe &amp; Central Asia</v>
      </c>
    </row>
    <row r="240" spans="1:28">
      <c r="A240" s="1" t="s">
        <v>155</v>
      </c>
      <c r="B240" s="1">
        <v>2015</v>
      </c>
      <c r="C240" s="1">
        <v>2931.8720699999999</v>
      </c>
      <c r="D240" s="1">
        <v>67.229995729999999</v>
      </c>
      <c r="E240" s="1">
        <v>96.604138579999997</v>
      </c>
      <c r="F240" s="1">
        <v>0</v>
      </c>
      <c r="G240" s="1">
        <v>3.3958614219999999</v>
      </c>
      <c r="H240" s="1">
        <v>0</v>
      </c>
      <c r="I240" s="1">
        <v>90.718484410000002</v>
      </c>
      <c r="J240" s="1">
        <v>0</v>
      </c>
      <c r="K240" s="1">
        <v>9.2815155889999996</v>
      </c>
      <c r="L240" s="1">
        <v>0</v>
      </c>
      <c r="M240" s="1">
        <v>99.472990350000003</v>
      </c>
      <c r="N240" s="1">
        <v>0</v>
      </c>
      <c r="O240" s="1">
        <v>0.5270096501</v>
      </c>
      <c r="P240" s="1">
        <v>0</v>
      </c>
      <c r="Q240" s="2">
        <f t="shared" si="0"/>
        <v>5</v>
      </c>
      <c r="R240" s="1">
        <f t="shared" si="1"/>
        <v>0.2818417320000009</v>
      </c>
      <c r="S240" s="1">
        <f t="shared" si="2"/>
        <v>0.61285916399999962</v>
      </c>
      <c r="T240" s="1">
        <f t="shared" si="3"/>
        <v>0.10540192999999931</v>
      </c>
      <c r="U240" s="1">
        <f t="shared" si="4"/>
        <v>97</v>
      </c>
      <c r="V240" s="3">
        <f t="shared" si="5"/>
        <v>91</v>
      </c>
      <c r="W240" s="3">
        <f t="shared" si="6"/>
        <v>99</v>
      </c>
      <c r="X240" s="3" t="str">
        <f t="shared" si="7"/>
        <v/>
      </c>
      <c r="Y240" s="3" t="str">
        <f t="shared" si="8"/>
        <v/>
      </c>
      <c r="Z240" s="1" t="str">
        <f t="shared" si="9"/>
        <v/>
      </c>
      <c r="AA240" s="3">
        <f t="shared" si="10"/>
        <v>0.50745723400000031</v>
      </c>
      <c r="AB240" s="3" t="str">
        <f>LOOKUP($A240,Sheet2!$A$1:$B$233)</f>
        <v>Europe &amp; Central Asia</v>
      </c>
    </row>
    <row r="241" spans="1:28">
      <c r="A241" s="1" t="s">
        <v>155</v>
      </c>
      <c r="B241" s="1">
        <v>2020</v>
      </c>
      <c r="C241" s="1">
        <v>2722.2910160000001</v>
      </c>
      <c r="D241" s="1">
        <v>68.045997619999994</v>
      </c>
      <c r="E241" s="1">
        <v>98.013347240000002</v>
      </c>
      <c r="F241" s="1">
        <v>0</v>
      </c>
      <c r="G241" s="1">
        <v>1.9866527599999999</v>
      </c>
      <c r="H241" s="1">
        <v>0</v>
      </c>
      <c r="I241" s="1">
        <v>93.78278023</v>
      </c>
      <c r="J241" s="1">
        <v>0</v>
      </c>
      <c r="K241" s="1">
        <v>6.2172197709999999</v>
      </c>
      <c r="L241" s="1">
        <v>0</v>
      </c>
      <c r="M241" s="1">
        <v>100</v>
      </c>
      <c r="N241" s="1">
        <v>0</v>
      </c>
      <c r="O241" s="1">
        <v>0</v>
      </c>
      <c r="P241" s="1">
        <v>0</v>
      </c>
      <c r="Q241" s="2" t="str">
        <f t="shared" si="0"/>
        <v/>
      </c>
      <c r="R241" s="1" t="str">
        <f t="shared" si="1"/>
        <v/>
      </c>
      <c r="S241" s="1" t="str">
        <f t="shared" si="2"/>
        <v/>
      </c>
      <c r="T241" s="1" t="str">
        <f t="shared" si="3"/>
        <v/>
      </c>
      <c r="U241" s="1">
        <f t="shared" si="4"/>
        <v>98</v>
      </c>
      <c r="V241" s="3">
        <f t="shared" si="5"/>
        <v>94</v>
      </c>
      <c r="W241" s="3">
        <f t="shared" si="6"/>
        <v>100</v>
      </c>
      <c r="X241" s="3" t="str">
        <f t="shared" si="7"/>
        <v/>
      </c>
      <c r="Y241" s="3" t="str">
        <f t="shared" si="8"/>
        <v/>
      </c>
      <c r="Z241" s="1" t="str">
        <f t="shared" si="9"/>
        <v/>
      </c>
      <c r="AA241" s="3" t="str">
        <f t="shared" si="10"/>
        <v/>
      </c>
      <c r="AB241" s="3" t="str">
        <f>LOOKUP($A241,Sheet2!$A$1:$B$233)</f>
        <v>Europe &amp; Central Asia</v>
      </c>
    </row>
    <row r="242" spans="1:28">
      <c r="A242" s="1" t="s">
        <v>156</v>
      </c>
      <c r="B242" s="1">
        <v>2015</v>
      </c>
      <c r="C242" s="1">
        <v>566.74102779999998</v>
      </c>
      <c r="D242" s="1">
        <v>90.179000849999994</v>
      </c>
      <c r="E242" s="1">
        <v>99.925170660000006</v>
      </c>
      <c r="F242" s="1">
        <v>0</v>
      </c>
      <c r="G242" s="1">
        <v>7.4829340019999996E-2</v>
      </c>
      <c r="H242" s="1">
        <v>0</v>
      </c>
      <c r="I242" s="1">
        <v>99.238095240000007</v>
      </c>
      <c r="J242" s="1">
        <v>0</v>
      </c>
      <c r="K242" s="1">
        <v>0.7619047619</v>
      </c>
      <c r="L242" s="1">
        <v>0</v>
      </c>
      <c r="M242" s="1">
        <v>100</v>
      </c>
      <c r="N242" s="1">
        <v>0</v>
      </c>
      <c r="O242" s="1">
        <v>0</v>
      </c>
      <c r="P242" s="1">
        <v>0</v>
      </c>
      <c r="Q242" s="2">
        <f t="shared" si="0"/>
        <v>5</v>
      </c>
      <c r="R242" s="1">
        <f t="shared" si="1"/>
        <v>-9.0476240000015203E-3</v>
      </c>
      <c r="S242" s="1">
        <f t="shared" si="2"/>
        <v>-0.12857142800000076</v>
      </c>
      <c r="T242" s="1">
        <f t="shared" si="3"/>
        <v>0</v>
      </c>
      <c r="U242" s="1">
        <f t="shared" si="4"/>
        <v>100</v>
      </c>
      <c r="V242" s="3">
        <f t="shared" si="5"/>
        <v>99</v>
      </c>
      <c r="W242" s="3">
        <f t="shared" si="6"/>
        <v>100</v>
      </c>
      <c r="X242" s="3" t="str">
        <f t="shared" si="7"/>
        <v>fullaccesss</v>
      </c>
      <c r="Y242" s="3" t="str">
        <f t="shared" si="8"/>
        <v/>
      </c>
      <c r="Z242" s="1" t="str">
        <f t="shared" si="9"/>
        <v>fullaccesss</v>
      </c>
      <c r="AA242" s="3">
        <f t="shared" si="10"/>
        <v>-0.12857142800000076</v>
      </c>
      <c r="AB242" s="3" t="str">
        <f>LOOKUP($A242,Sheet2!$A$1:$B$233)</f>
        <v>Europe &amp; Central Asia</v>
      </c>
    </row>
    <row r="243" spans="1:28">
      <c r="A243" s="1" t="s">
        <v>156</v>
      </c>
      <c r="B243" s="1">
        <v>2020</v>
      </c>
      <c r="C243" s="1">
        <v>625.97601320000001</v>
      </c>
      <c r="D243" s="1">
        <v>91.452995299999998</v>
      </c>
      <c r="E243" s="1">
        <v>99.879932539999999</v>
      </c>
      <c r="F243" s="1">
        <v>0</v>
      </c>
      <c r="G243" s="1">
        <v>0.1200674649</v>
      </c>
      <c r="H243" s="1">
        <v>0</v>
      </c>
      <c r="I243" s="1">
        <v>98.595238100000003</v>
      </c>
      <c r="J243" s="1">
        <v>0</v>
      </c>
      <c r="K243" s="1">
        <v>1.404761905</v>
      </c>
      <c r="L243" s="1">
        <v>0</v>
      </c>
      <c r="M243" s="1">
        <v>100</v>
      </c>
      <c r="N243" s="1">
        <v>0</v>
      </c>
      <c r="O243" s="1">
        <v>0</v>
      </c>
      <c r="P243" s="1">
        <v>0</v>
      </c>
      <c r="Q243" s="2" t="str">
        <f t="shared" si="0"/>
        <v/>
      </c>
      <c r="R243" s="1" t="str">
        <f t="shared" si="1"/>
        <v/>
      </c>
      <c r="S243" s="1" t="str">
        <f t="shared" si="2"/>
        <v/>
      </c>
      <c r="T243" s="1" t="str">
        <f t="shared" si="3"/>
        <v/>
      </c>
      <c r="U243" s="1">
        <f t="shared" si="4"/>
        <v>100</v>
      </c>
      <c r="V243" s="3">
        <f t="shared" si="5"/>
        <v>99</v>
      </c>
      <c r="W243" s="3">
        <f t="shared" si="6"/>
        <v>100</v>
      </c>
      <c r="X243" s="3" t="str">
        <f t="shared" si="7"/>
        <v/>
      </c>
      <c r="Y243" s="3" t="str">
        <f t="shared" si="8"/>
        <v/>
      </c>
      <c r="Z243" s="1" t="str">
        <f t="shared" si="9"/>
        <v/>
      </c>
      <c r="AA243" s="3" t="str">
        <f t="shared" si="10"/>
        <v/>
      </c>
      <c r="AB243" s="3" t="str">
        <f>LOOKUP($A243,Sheet2!$A$1:$B$233)</f>
        <v>Europe &amp; Central Asia</v>
      </c>
    </row>
    <row r="244" spans="1:28">
      <c r="A244" s="1" t="s">
        <v>157</v>
      </c>
      <c r="B244" s="1">
        <v>2015</v>
      </c>
      <c r="C244" s="1">
        <v>24234.08008</v>
      </c>
      <c r="D244" s="1">
        <v>35.192996979999997</v>
      </c>
      <c r="E244" s="1">
        <v>48.891773540000003</v>
      </c>
      <c r="F244" s="1">
        <v>2.6771603800000001</v>
      </c>
      <c r="G244" s="1">
        <v>30.406736510000002</v>
      </c>
      <c r="H244" s="1">
        <v>18.024329569999999</v>
      </c>
      <c r="I244" s="1">
        <v>33.144577730000002</v>
      </c>
      <c r="J244" s="1">
        <v>1.743479446</v>
      </c>
      <c r="K244" s="1">
        <v>39.697999690000003</v>
      </c>
      <c r="L244" s="1">
        <v>25.41394313</v>
      </c>
      <c r="M244" s="1">
        <v>77.889830720000006</v>
      </c>
      <c r="N244" s="1">
        <v>4.3965098730000003</v>
      </c>
      <c r="O244" s="1">
        <v>13.29711369</v>
      </c>
      <c r="P244" s="1">
        <v>4.4165457190000001</v>
      </c>
      <c r="Q244" s="2">
        <f t="shared" si="0"/>
        <v>5</v>
      </c>
      <c r="R244" s="1">
        <f t="shared" si="1"/>
        <v>0.89882227399999981</v>
      </c>
      <c r="S244" s="1">
        <f t="shared" si="2"/>
        <v>0.6523685099999994</v>
      </c>
      <c r="T244" s="1">
        <f t="shared" si="3"/>
        <v>0.51603524399999967</v>
      </c>
      <c r="U244" s="1">
        <f t="shared" si="4"/>
        <v>49</v>
      </c>
      <c r="V244" s="3">
        <f t="shared" si="5"/>
        <v>33</v>
      </c>
      <c r="W244" s="3">
        <f t="shared" si="6"/>
        <v>78</v>
      </c>
      <c r="X244" s="3" t="str">
        <f t="shared" si="7"/>
        <v/>
      </c>
      <c r="Y244" s="3" t="str">
        <f t="shared" si="8"/>
        <v/>
      </c>
      <c r="Z244" s="1" t="str">
        <f t="shared" si="9"/>
        <v/>
      </c>
      <c r="AA244" s="3">
        <f t="shared" si="10"/>
        <v>0.13633326599999973</v>
      </c>
      <c r="AB244" s="3" t="str">
        <f>LOOKUP($A244,Sheet2!$A$1:$B$233)</f>
        <v>Sub-Saharan Africa</v>
      </c>
    </row>
    <row r="245" spans="1:28">
      <c r="A245" s="1" t="s">
        <v>157</v>
      </c>
      <c r="B245" s="1">
        <v>2020</v>
      </c>
      <c r="C245" s="1">
        <v>27691.019530000001</v>
      </c>
      <c r="D245" s="1">
        <v>38.534000399999996</v>
      </c>
      <c r="E245" s="1">
        <v>53.385884910000001</v>
      </c>
      <c r="F245" s="1">
        <v>2.7179729799999999</v>
      </c>
      <c r="G245" s="1">
        <v>32.311459669999998</v>
      </c>
      <c r="H245" s="1">
        <v>11.58468244</v>
      </c>
      <c r="I245" s="1">
        <v>36.406420279999999</v>
      </c>
      <c r="J245" s="1">
        <v>1.601776163</v>
      </c>
      <c r="K245" s="1">
        <v>43.953893450000002</v>
      </c>
      <c r="L245" s="1">
        <v>18.037910109999999</v>
      </c>
      <c r="M245" s="1">
        <v>80.470006940000005</v>
      </c>
      <c r="N245" s="1">
        <v>4.4984302979999997</v>
      </c>
      <c r="O245" s="1">
        <v>13.74049434</v>
      </c>
      <c r="P245" s="1">
        <v>1.291068417</v>
      </c>
      <c r="Q245" s="2" t="str">
        <f t="shared" si="0"/>
        <v/>
      </c>
      <c r="R245" s="1" t="str">
        <f t="shared" si="1"/>
        <v/>
      </c>
      <c r="S245" s="1" t="str">
        <f t="shared" si="2"/>
        <v/>
      </c>
      <c r="T245" s="1" t="str">
        <f t="shared" si="3"/>
        <v/>
      </c>
      <c r="U245" s="1">
        <f t="shared" si="4"/>
        <v>53</v>
      </c>
      <c r="V245" s="3">
        <f t="shared" si="5"/>
        <v>36</v>
      </c>
      <c r="W245" s="3">
        <f t="shared" si="6"/>
        <v>80</v>
      </c>
      <c r="X245" s="3" t="str">
        <f t="shared" si="7"/>
        <v/>
      </c>
      <c r="Y245" s="3" t="str">
        <f t="shared" si="8"/>
        <v/>
      </c>
      <c r="Z245" s="1" t="str">
        <f t="shared" si="9"/>
        <v/>
      </c>
      <c r="AA245" s="3" t="str">
        <f t="shared" si="10"/>
        <v/>
      </c>
      <c r="AB245" s="3" t="str">
        <f>LOOKUP($A245,Sheet2!$A$1:$B$233)</f>
        <v>Sub-Saharan Africa</v>
      </c>
    </row>
    <row r="246" spans="1:28">
      <c r="A246" s="1" t="s">
        <v>158</v>
      </c>
      <c r="B246" s="1">
        <v>2015</v>
      </c>
      <c r="C246" s="1">
        <v>16745.304690000001</v>
      </c>
      <c r="D246" s="1">
        <v>16.312999730000001</v>
      </c>
      <c r="E246" s="1">
        <v>66.154959140000003</v>
      </c>
      <c r="F246" s="1">
        <v>19.716038309999998</v>
      </c>
      <c r="G246" s="1">
        <v>10.55451427</v>
      </c>
      <c r="H246" s="1">
        <v>3.5744882769999999</v>
      </c>
      <c r="I246" s="1">
        <v>62.240608639999998</v>
      </c>
      <c r="J246" s="1">
        <v>21.69810966</v>
      </c>
      <c r="K246" s="1">
        <v>11.875220280000001</v>
      </c>
      <c r="L246" s="1">
        <v>4.186061413</v>
      </c>
      <c r="M246" s="1">
        <v>86.235879850000003</v>
      </c>
      <c r="N246" s="1">
        <v>9.5478494880000007</v>
      </c>
      <c r="O246" s="1">
        <v>3.7792023349999999</v>
      </c>
      <c r="P246" s="1">
        <v>0.43706832449999999</v>
      </c>
      <c r="Q246" s="2">
        <f t="shared" si="0"/>
        <v>5</v>
      </c>
      <c r="R246" s="1">
        <f t="shared" si="1"/>
        <v>0.77855387399999931</v>
      </c>
      <c r="S246" s="1">
        <f t="shared" si="2"/>
        <v>0.8688870240000014</v>
      </c>
      <c r="T246" s="1">
        <f t="shared" si="3"/>
        <v>4.3763672000000045E-2</v>
      </c>
      <c r="U246" s="1">
        <f t="shared" si="4"/>
        <v>66</v>
      </c>
      <c r="V246" s="3">
        <f t="shared" si="5"/>
        <v>62</v>
      </c>
      <c r="W246" s="3">
        <f t="shared" si="6"/>
        <v>86</v>
      </c>
      <c r="X246" s="3" t="str">
        <f t="shared" si="7"/>
        <v/>
      </c>
      <c r="Y246" s="3" t="str">
        <f t="shared" si="8"/>
        <v/>
      </c>
      <c r="Z246" s="1" t="str">
        <f t="shared" si="9"/>
        <v/>
      </c>
      <c r="AA246" s="3">
        <f t="shared" si="10"/>
        <v>0.82512335200000131</v>
      </c>
      <c r="AB246" s="3" t="str">
        <f>LOOKUP($A246,Sheet2!$A$1:$B$233)</f>
        <v>Sub-Saharan Africa</v>
      </c>
    </row>
    <row r="247" spans="1:28">
      <c r="A247" s="1" t="s">
        <v>158</v>
      </c>
      <c r="B247" s="1">
        <v>2020</v>
      </c>
      <c r="C247" s="1">
        <v>19129.95508</v>
      </c>
      <c r="D247" s="1">
        <v>17.42700005</v>
      </c>
      <c r="E247" s="1">
        <v>70.047728509999999</v>
      </c>
      <c r="F247" s="1">
        <v>21.95081497</v>
      </c>
      <c r="G247" s="1">
        <v>5.7763044069999996</v>
      </c>
      <c r="H247" s="1">
        <v>2.2251521099999998</v>
      </c>
      <c r="I247" s="1">
        <v>66.585043760000005</v>
      </c>
      <c r="J247" s="1">
        <v>24.414158029999999</v>
      </c>
      <c r="K247" s="1">
        <v>6.3838741460000001</v>
      </c>
      <c r="L247" s="1">
        <v>2.6169240660000002</v>
      </c>
      <c r="M247" s="1">
        <v>86.454698210000004</v>
      </c>
      <c r="N247" s="1">
        <v>10.278948249999999</v>
      </c>
      <c r="O247" s="1">
        <v>2.8975039960000002</v>
      </c>
      <c r="P247" s="1">
        <v>0.36884954460000002</v>
      </c>
      <c r="Q247" s="2" t="str">
        <f t="shared" si="0"/>
        <v/>
      </c>
      <c r="R247" s="1" t="str">
        <f t="shared" si="1"/>
        <v/>
      </c>
      <c r="S247" s="1" t="str">
        <f t="shared" si="2"/>
        <v/>
      </c>
      <c r="T247" s="1" t="str">
        <f t="shared" si="3"/>
        <v/>
      </c>
      <c r="U247" s="1">
        <f t="shared" si="4"/>
        <v>70</v>
      </c>
      <c r="V247" s="3">
        <f t="shared" si="5"/>
        <v>67</v>
      </c>
      <c r="W247" s="3">
        <f t="shared" si="6"/>
        <v>86</v>
      </c>
      <c r="X247" s="3" t="str">
        <f t="shared" si="7"/>
        <v/>
      </c>
      <c r="Y247" s="3" t="str">
        <f t="shared" si="8"/>
        <v/>
      </c>
      <c r="Z247" s="1" t="str">
        <f t="shared" si="9"/>
        <v/>
      </c>
      <c r="AA247" s="3" t="str">
        <f t="shared" si="10"/>
        <v/>
      </c>
      <c r="AB247" s="3" t="str">
        <f>LOOKUP($A247,Sheet2!$A$1:$B$233)</f>
        <v>Sub-Saharan Africa</v>
      </c>
    </row>
    <row r="248" spans="1:28">
      <c r="A248" s="1" t="s">
        <v>159</v>
      </c>
      <c r="B248" s="1">
        <v>2015</v>
      </c>
      <c r="C248" s="1">
        <v>30270.964840000001</v>
      </c>
      <c r="D248" s="1">
        <v>74.212997439999995</v>
      </c>
      <c r="E248" s="1">
        <v>97.052202559999998</v>
      </c>
      <c r="F248" s="1">
        <v>0.36300550040000001</v>
      </c>
      <c r="G248" s="1">
        <v>2.584791939</v>
      </c>
      <c r="H248" s="1" t="s">
        <v>272</v>
      </c>
      <c r="I248" s="1">
        <v>90.918309219999998</v>
      </c>
      <c r="J248" s="1">
        <v>0.54880267140000005</v>
      </c>
      <c r="K248" s="1">
        <v>8.5328881049999996</v>
      </c>
      <c r="L248" s="1" t="s">
        <v>272</v>
      </c>
      <c r="M248" s="1">
        <v>99.183566049999996</v>
      </c>
      <c r="N248" s="1">
        <v>0.29844603629999999</v>
      </c>
      <c r="O248" s="1">
        <v>0.427987911</v>
      </c>
      <c r="P248" s="1">
        <v>0.09</v>
      </c>
      <c r="Q248" s="2">
        <f t="shared" si="0"/>
        <v>5</v>
      </c>
      <c r="R248" s="1">
        <f t="shared" si="1"/>
        <v>9.5409020000005278E-3</v>
      </c>
      <c r="S248" s="1">
        <f t="shared" si="2"/>
        <v>-0.14417221999999869</v>
      </c>
      <c r="T248" s="1">
        <f t="shared" si="3"/>
        <v>-8.0940279999992988E-3</v>
      </c>
      <c r="U248" s="1">
        <f t="shared" si="4"/>
        <v>97</v>
      </c>
      <c r="V248" s="3">
        <f t="shared" si="5"/>
        <v>91</v>
      </c>
      <c r="W248" s="3">
        <f t="shared" si="6"/>
        <v>99</v>
      </c>
      <c r="X248" s="3" t="str">
        <f t="shared" si="7"/>
        <v/>
      </c>
      <c r="Y248" s="3" t="str">
        <f t="shared" si="8"/>
        <v/>
      </c>
      <c r="Z248" s="1" t="str">
        <f t="shared" si="9"/>
        <v/>
      </c>
      <c r="AA248" s="3">
        <f t="shared" si="10"/>
        <v>-0.13607819199999938</v>
      </c>
      <c r="AB248" s="3" t="str">
        <f>LOOKUP($A248,Sheet2!$A$1:$B$233)</f>
        <v>South Asia</v>
      </c>
    </row>
    <row r="249" spans="1:28">
      <c r="A249" s="1" t="s">
        <v>159</v>
      </c>
      <c r="B249" s="1">
        <v>2020</v>
      </c>
      <c r="C249" s="1">
        <v>32365.998049999998</v>
      </c>
      <c r="D249" s="1">
        <v>77.159996030000002</v>
      </c>
      <c r="E249" s="1">
        <v>97.09990707</v>
      </c>
      <c r="F249" s="1">
        <v>0.35453968650000001</v>
      </c>
      <c r="G249" s="1">
        <v>2.5455532409999999</v>
      </c>
      <c r="H249" s="1" t="s">
        <v>272</v>
      </c>
      <c r="I249" s="1">
        <v>90.197448120000004</v>
      </c>
      <c r="J249" s="1">
        <v>0.54445139710000001</v>
      </c>
      <c r="K249" s="1">
        <v>9.2581004779999994</v>
      </c>
      <c r="L249" s="1" t="s">
        <v>272</v>
      </c>
      <c r="M249" s="1">
        <v>99.14309591</v>
      </c>
      <c r="N249" s="1">
        <v>0.29832426049999999</v>
      </c>
      <c r="O249" s="1">
        <v>0.46857983190000002</v>
      </c>
      <c r="P249" s="1">
        <v>0.09</v>
      </c>
      <c r="Q249" s="2" t="str">
        <f t="shared" si="0"/>
        <v/>
      </c>
      <c r="R249" s="1" t="str">
        <f t="shared" si="1"/>
        <v/>
      </c>
      <c r="S249" s="1" t="str">
        <f t="shared" si="2"/>
        <v/>
      </c>
      <c r="T249" s="1" t="str">
        <f t="shared" si="3"/>
        <v/>
      </c>
      <c r="U249" s="1">
        <f t="shared" si="4"/>
        <v>97</v>
      </c>
      <c r="V249" s="3">
        <f t="shared" si="5"/>
        <v>90</v>
      </c>
      <c r="W249" s="3">
        <f t="shared" si="6"/>
        <v>99</v>
      </c>
      <c r="X249" s="3" t="str">
        <f t="shared" si="7"/>
        <v/>
      </c>
      <c r="Y249" s="3" t="str">
        <f t="shared" si="8"/>
        <v/>
      </c>
      <c r="Z249" s="1" t="str">
        <f t="shared" si="9"/>
        <v/>
      </c>
      <c r="AA249" s="3" t="str">
        <f t="shared" si="10"/>
        <v/>
      </c>
      <c r="AB249" s="3" t="str">
        <f>LOOKUP($A249,Sheet2!$A$1:$B$233)</f>
        <v>South Asia</v>
      </c>
    </row>
    <row r="250" spans="1:28">
      <c r="A250" s="1" t="s">
        <v>160</v>
      </c>
      <c r="B250" s="1">
        <v>2015</v>
      </c>
      <c r="C250" s="1">
        <v>454.91400149999998</v>
      </c>
      <c r="D250" s="1">
        <v>38.528999329999998</v>
      </c>
      <c r="E250" s="1">
        <v>98.814244290000005</v>
      </c>
      <c r="F250" s="1">
        <v>0.11215787989999999</v>
      </c>
      <c r="G250" s="1">
        <v>1.0735978349999999</v>
      </c>
      <c r="H250" s="1">
        <v>0</v>
      </c>
      <c r="I250" s="1">
        <v>98.879699270000003</v>
      </c>
      <c r="J250" s="1">
        <v>0.16698528160000001</v>
      </c>
      <c r="K250" s="1">
        <v>0.95331545299999998</v>
      </c>
      <c r="L250" s="1">
        <v>0</v>
      </c>
      <c r="M250" s="1">
        <v>98.709805689999996</v>
      </c>
      <c r="N250" s="1">
        <v>2.4683622329999998E-2</v>
      </c>
      <c r="O250" s="1">
        <v>1.265510688</v>
      </c>
      <c r="P250" s="1">
        <v>0</v>
      </c>
      <c r="Q250" s="2">
        <f t="shared" si="0"/>
        <v>5</v>
      </c>
      <c r="R250" s="1">
        <f t="shared" si="1"/>
        <v>0.14603886200000032</v>
      </c>
      <c r="S250" s="1">
        <f t="shared" si="2"/>
        <v>0.2078626459999981</v>
      </c>
      <c r="T250" s="1">
        <f t="shared" si="3"/>
        <v>5.7636648000001858E-2</v>
      </c>
      <c r="U250" s="1">
        <f t="shared" si="4"/>
        <v>99</v>
      </c>
      <c r="V250" s="3">
        <f t="shared" si="5"/>
        <v>99</v>
      </c>
      <c r="W250" s="3">
        <f t="shared" si="6"/>
        <v>99</v>
      </c>
      <c r="X250" s="3" t="str">
        <f t="shared" si="7"/>
        <v/>
      </c>
      <c r="Y250" s="3" t="str">
        <f t="shared" si="8"/>
        <v/>
      </c>
      <c r="Z250" s="1" t="str">
        <f t="shared" si="9"/>
        <v/>
      </c>
      <c r="AA250" s="3">
        <f t="shared" si="10"/>
        <v>0.15022599799999625</v>
      </c>
      <c r="AB250" s="3" t="str">
        <f>LOOKUP($A250,Sheet2!$A$1:$B$233)</f>
        <v>South Asia</v>
      </c>
    </row>
    <row r="251" spans="1:28">
      <c r="A251" s="1" t="s">
        <v>160</v>
      </c>
      <c r="B251" s="1">
        <v>2020</v>
      </c>
      <c r="C251" s="1">
        <v>540.54199219999998</v>
      </c>
      <c r="D251" s="1">
        <v>40.668998719999998</v>
      </c>
      <c r="E251" s="1">
        <v>99.544438600000007</v>
      </c>
      <c r="F251" s="1">
        <v>4.8050691299999997E-2</v>
      </c>
      <c r="G251" s="1">
        <v>0.40751070499999997</v>
      </c>
      <c r="H251" s="1">
        <v>0</v>
      </c>
      <c r="I251" s="1">
        <v>99.919012499999994</v>
      </c>
      <c r="J251" s="1">
        <v>8.0987500000000004E-2</v>
      </c>
      <c r="K251" s="1">
        <v>0</v>
      </c>
      <c r="L251" s="1">
        <v>0</v>
      </c>
      <c r="M251" s="1">
        <v>98.997988930000005</v>
      </c>
      <c r="N251" s="1">
        <v>0</v>
      </c>
      <c r="O251" s="1">
        <v>1.0020110689999999</v>
      </c>
      <c r="P251" s="1">
        <v>0</v>
      </c>
      <c r="Q251" s="2" t="str">
        <f t="shared" si="0"/>
        <v/>
      </c>
      <c r="R251" s="1" t="str">
        <f t="shared" si="1"/>
        <v/>
      </c>
      <c r="S251" s="1" t="str">
        <f t="shared" si="2"/>
        <v/>
      </c>
      <c r="T251" s="1" t="str">
        <f t="shared" si="3"/>
        <v/>
      </c>
      <c r="U251" s="1">
        <f t="shared" si="4"/>
        <v>100</v>
      </c>
      <c r="V251" s="3">
        <f t="shared" si="5"/>
        <v>100</v>
      </c>
      <c r="W251" s="3">
        <f t="shared" si="6"/>
        <v>99</v>
      </c>
      <c r="X251" s="3" t="str">
        <f t="shared" si="7"/>
        <v/>
      </c>
      <c r="Y251" s="3" t="str">
        <f t="shared" si="8"/>
        <v/>
      </c>
      <c r="Z251" s="1" t="str">
        <f t="shared" si="9"/>
        <v/>
      </c>
      <c r="AA251" s="3" t="str">
        <f t="shared" si="10"/>
        <v/>
      </c>
      <c r="AB251" s="3" t="str">
        <f>LOOKUP($A251,Sheet2!$A$1:$B$233)</f>
        <v>South Asia</v>
      </c>
    </row>
    <row r="252" spans="1:28">
      <c r="A252" s="1" t="s">
        <v>161</v>
      </c>
      <c r="B252" s="1">
        <v>2015</v>
      </c>
      <c r="C252" s="1">
        <v>17438.771479999999</v>
      </c>
      <c r="D252" s="1">
        <v>39.990997309999997</v>
      </c>
      <c r="E252" s="1">
        <v>74.399512220000005</v>
      </c>
      <c r="F252" s="1">
        <v>4.1718464529999997</v>
      </c>
      <c r="G252" s="1">
        <v>19.37992934</v>
      </c>
      <c r="H252" s="1">
        <v>2.0487119809999998</v>
      </c>
      <c r="I252" s="1">
        <v>63.395714030000001</v>
      </c>
      <c r="J252" s="1">
        <v>4.4493824149999996</v>
      </c>
      <c r="K252" s="1">
        <v>28.94484164</v>
      </c>
      <c r="L252" s="1">
        <v>3.2100619199999998</v>
      </c>
      <c r="M252" s="1">
        <v>90.911405529999996</v>
      </c>
      <c r="N252" s="1">
        <v>3.7553866569999999</v>
      </c>
      <c r="O252" s="1">
        <v>5.0271739789999996</v>
      </c>
      <c r="P252" s="1">
        <v>0.306033834</v>
      </c>
      <c r="Q252" s="2">
        <f t="shared" si="0"/>
        <v>5</v>
      </c>
      <c r="R252" s="1">
        <f t="shared" si="1"/>
        <v>1.6295557619999983</v>
      </c>
      <c r="S252" s="1">
        <f t="shared" si="2"/>
        <v>1.7370362359999987</v>
      </c>
      <c r="T252" s="1">
        <f t="shared" si="3"/>
        <v>1.0012098440000017</v>
      </c>
      <c r="U252" s="1">
        <f t="shared" si="4"/>
        <v>74</v>
      </c>
      <c r="V252" s="3">
        <f t="shared" si="5"/>
        <v>63</v>
      </c>
      <c r="W252" s="3">
        <f t="shared" si="6"/>
        <v>91</v>
      </c>
      <c r="X252" s="3" t="str">
        <f t="shared" si="7"/>
        <v/>
      </c>
      <c r="Y252" s="3" t="str">
        <f t="shared" si="8"/>
        <v/>
      </c>
      <c r="Z252" s="1" t="str">
        <f t="shared" si="9"/>
        <v/>
      </c>
      <c r="AA252" s="3">
        <f t="shared" si="10"/>
        <v>0.735826391999997</v>
      </c>
      <c r="AB252" s="3" t="str">
        <f>LOOKUP($A252,Sheet2!$A$1:$B$233)</f>
        <v>Sub-Saharan Africa</v>
      </c>
    </row>
    <row r="253" spans="1:28">
      <c r="A253" s="1" t="s">
        <v>161</v>
      </c>
      <c r="B253" s="1">
        <v>2020</v>
      </c>
      <c r="C253" s="1">
        <v>20250.833979999999</v>
      </c>
      <c r="D253" s="1">
        <v>43.909004209999999</v>
      </c>
      <c r="E253" s="1">
        <v>82.547291029999997</v>
      </c>
      <c r="F253" s="1">
        <v>3.8547345270000002</v>
      </c>
      <c r="G253" s="1">
        <v>12.246971350000001</v>
      </c>
      <c r="H253" s="1">
        <v>1.3510030900000001</v>
      </c>
      <c r="I253" s="1">
        <v>72.080895209999994</v>
      </c>
      <c r="J253" s="1">
        <v>3.7824122299999998</v>
      </c>
      <c r="K253" s="1">
        <v>21.72810084</v>
      </c>
      <c r="L253" s="1">
        <v>2.4085917170000002</v>
      </c>
      <c r="M253" s="1">
        <v>95.917454750000005</v>
      </c>
      <c r="N253" s="1">
        <v>3.947121723</v>
      </c>
      <c r="O253" s="1">
        <v>0.13542353139999999</v>
      </c>
      <c r="P253" s="1">
        <v>0</v>
      </c>
      <c r="Q253" s="2" t="str">
        <f t="shared" si="0"/>
        <v/>
      </c>
      <c r="R253" s="1" t="str">
        <f t="shared" si="1"/>
        <v/>
      </c>
      <c r="S253" s="1" t="str">
        <f t="shared" si="2"/>
        <v/>
      </c>
      <c r="T253" s="1" t="str">
        <f t="shared" si="3"/>
        <v/>
      </c>
      <c r="U253" s="1">
        <f t="shared" si="4"/>
        <v>83</v>
      </c>
      <c r="V253" s="3">
        <f t="shared" si="5"/>
        <v>72</v>
      </c>
      <c r="W253" s="3">
        <f t="shared" si="6"/>
        <v>96</v>
      </c>
      <c r="X253" s="3" t="str">
        <f t="shared" si="7"/>
        <v/>
      </c>
      <c r="Y253" s="3" t="str">
        <f t="shared" si="8"/>
        <v/>
      </c>
      <c r="Z253" s="1" t="str">
        <f t="shared" si="9"/>
        <v/>
      </c>
      <c r="AA253" s="3" t="str">
        <f t="shared" si="10"/>
        <v/>
      </c>
      <c r="AB253" s="3" t="str">
        <f>LOOKUP($A253,Sheet2!$A$1:$B$233)</f>
        <v>Sub-Saharan Africa</v>
      </c>
    </row>
    <row r="254" spans="1:28">
      <c r="A254" s="1" t="s">
        <v>162</v>
      </c>
      <c r="B254" s="1">
        <v>2015</v>
      </c>
      <c r="C254" s="1">
        <v>433.55899049999999</v>
      </c>
      <c r="D254" s="1">
        <v>94.414001459999994</v>
      </c>
      <c r="E254" s="1">
        <v>100</v>
      </c>
      <c r="F254" s="1">
        <v>0</v>
      </c>
      <c r="G254" s="1">
        <v>0</v>
      </c>
      <c r="H254" s="1">
        <v>0</v>
      </c>
      <c r="I254" s="1">
        <v>100</v>
      </c>
      <c r="J254" s="1">
        <v>0</v>
      </c>
      <c r="K254" s="1">
        <v>0</v>
      </c>
      <c r="L254" s="1">
        <v>0</v>
      </c>
      <c r="M254" s="1">
        <v>100</v>
      </c>
      <c r="N254" s="1">
        <v>0</v>
      </c>
      <c r="O254" s="1">
        <v>0</v>
      </c>
      <c r="P254" s="1">
        <v>0</v>
      </c>
      <c r="Q254" s="2">
        <f t="shared" si="0"/>
        <v>5</v>
      </c>
      <c r="R254" s="1">
        <f t="shared" si="1"/>
        <v>8.0000000934887789E-8</v>
      </c>
      <c r="S254" s="1">
        <f t="shared" si="2"/>
        <v>0</v>
      </c>
      <c r="T254" s="1">
        <f t="shared" si="3"/>
        <v>0</v>
      </c>
      <c r="U254" s="1">
        <f t="shared" si="4"/>
        <v>100</v>
      </c>
      <c r="V254" s="3">
        <f t="shared" si="5"/>
        <v>100</v>
      </c>
      <c r="W254" s="3">
        <f t="shared" si="6"/>
        <v>100</v>
      </c>
      <c r="X254" s="3" t="str">
        <f t="shared" si="7"/>
        <v>fullaccesss</v>
      </c>
      <c r="Y254" s="3" t="str">
        <f t="shared" si="8"/>
        <v>fullaccesss</v>
      </c>
      <c r="Z254" s="1" t="str">
        <f t="shared" si="9"/>
        <v>fullaccesss</v>
      </c>
      <c r="AA254" s="3">
        <f t="shared" si="10"/>
        <v>0</v>
      </c>
      <c r="AB254" s="3" t="str">
        <f>LOOKUP($A254,Sheet2!$A$1:$B$233)</f>
        <v>Europe &amp; Central Asia</v>
      </c>
    </row>
    <row r="255" spans="1:28">
      <c r="A255" s="1" t="s">
        <v>162</v>
      </c>
      <c r="B255" s="1">
        <v>2020</v>
      </c>
      <c r="C255" s="1">
        <v>441.53900149999998</v>
      </c>
      <c r="D255" s="1">
        <v>94.744003300000003</v>
      </c>
      <c r="E255" s="1">
        <v>100.0000004</v>
      </c>
      <c r="F255" s="1">
        <v>0</v>
      </c>
      <c r="G255" s="1">
        <v>0</v>
      </c>
      <c r="H255" s="1">
        <v>0</v>
      </c>
      <c r="I255" s="1">
        <v>100</v>
      </c>
      <c r="J255" s="1">
        <v>0</v>
      </c>
      <c r="K255" s="1">
        <v>0</v>
      </c>
      <c r="L255" s="1">
        <v>0</v>
      </c>
      <c r="M255" s="1">
        <v>100</v>
      </c>
      <c r="N255" s="1">
        <v>0</v>
      </c>
      <c r="O255" s="1">
        <v>0</v>
      </c>
      <c r="P255" s="1">
        <v>0</v>
      </c>
      <c r="Q255" s="2" t="str">
        <f t="shared" si="0"/>
        <v/>
      </c>
      <c r="R255" s="1" t="str">
        <f t="shared" si="1"/>
        <v/>
      </c>
      <c r="S255" s="1" t="str">
        <f t="shared" si="2"/>
        <v/>
      </c>
      <c r="T255" s="1" t="str">
        <f t="shared" si="3"/>
        <v/>
      </c>
      <c r="U255" s="1">
        <f t="shared" si="4"/>
        <v>100</v>
      </c>
      <c r="V255" s="3">
        <f t="shared" si="5"/>
        <v>100</v>
      </c>
      <c r="W255" s="3">
        <f t="shared" si="6"/>
        <v>100</v>
      </c>
      <c r="X255" s="3" t="str">
        <f t="shared" si="7"/>
        <v/>
      </c>
      <c r="Y255" s="3" t="str">
        <f t="shared" si="8"/>
        <v/>
      </c>
      <c r="Z255" s="1" t="str">
        <f t="shared" si="9"/>
        <v/>
      </c>
      <c r="AA255" s="3" t="str">
        <f t="shared" si="10"/>
        <v/>
      </c>
      <c r="AB255" s="3" t="str">
        <f>LOOKUP($A255,Sheet2!$A$1:$B$233)</f>
        <v>Europe &amp; Central Asia</v>
      </c>
    </row>
    <row r="256" spans="1:28">
      <c r="A256" s="1" t="s">
        <v>163</v>
      </c>
      <c r="B256" s="1">
        <v>2015</v>
      </c>
      <c r="C256" s="1">
        <v>57.444000240000001</v>
      </c>
      <c r="D256" s="1">
        <v>75.810997009999994</v>
      </c>
      <c r="E256" s="1">
        <v>88.342523619999994</v>
      </c>
      <c r="F256" s="1">
        <v>11.18141559</v>
      </c>
      <c r="G256" s="1">
        <v>0.47606079179999999</v>
      </c>
      <c r="H256" s="1">
        <v>0</v>
      </c>
      <c r="I256" s="1">
        <v>94.278360000000006</v>
      </c>
      <c r="J256" s="1">
        <v>5.38164</v>
      </c>
      <c r="K256" s="1">
        <v>0.34</v>
      </c>
      <c r="L256" s="1">
        <v>0</v>
      </c>
      <c r="M256" s="1">
        <v>86.448577369999995</v>
      </c>
      <c r="N256" s="1">
        <v>13.03194895</v>
      </c>
      <c r="O256" s="1">
        <v>0.51947368419999995</v>
      </c>
      <c r="P256" s="1">
        <v>0</v>
      </c>
      <c r="Q256" s="2">
        <f t="shared" si="0"/>
        <v>5</v>
      </c>
      <c r="R256" s="1">
        <f t="shared" si="1"/>
        <v>4.5904672000000347E-2</v>
      </c>
      <c r="S256" s="1">
        <f t="shared" si="2"/>
        <v>3.0271999999999365E-2</v>
      </c>
      <c r="T256" s="1">
        <f t="shared" si="3"/>
        <v>9.0284526000002072E-2</v>
      </c>
      <c r="U256" s="1">
        <f t="shared" si="4"/>
        <v>88</v>
      </c>
      <c r="V256" s="3">
        <f t="shared" si="5"/>
        <v>94</v>
      </c>
      <c r="W256" s="3">
        <f t="shared" si="6"/>
        <v>86</v>
      </c>
      <c r="X256" s="3" t="str">
        <f t="shared" si="7"/>
        <v/>
      </c>
      <c r="Y256" s="3" t="str">
        <f t="shared" si="8"/>
        <v/>
      </c>
      <c r="Z256" s="1" t="str">
        <f t="shared" si="9"/>
        <v/>
      </c>
      <c r="AA256" s="3">
        <f t="shared" si="10"/>
        <v>-6.0012526000002703E-2</v>
      </c>
      <c r="AB256" s="3" t="str">
        <f>LOOKUP($A256,Sheet2!$A$1:$B$233)</f>
        <v>East Asia &amp; Pacific</v>
      </c>
    </row>
    <row r="257" spans="1:28">
      <c r="A257" s="1" t="s">
        <v>163</v>
      </c>
      <c r="B257" s="1">
        <v>2020</v>
      </c>
      <c r="C257" s="1">
        <v>59.194000240000001</v>
      </c>
      <c r="D257" s="1">
        <v>77.793991090000006</v>
      </c>
      <c r="E257" s="1">
        <v>88.572046979999996</v>
      </c>
      <c r="F257" s="1">
        <v>11.387979</v>
      </c>
      <c r="G257" s="1">
        <v>3.9974025849999997E-2</v>
      </c>
      <c r="H257" s="1">
        <v>0</v>
      </c>
      <c r="I257" s="1">
        <v>94.429720000000003</v>
      </c>
      <c r="J257" s="1">
        <v>5.3902799999999997</v>
      </c>
      <c r="K257" s="1">
        <v>0.18</v>
      </c>
      <c r="L257" s="1">
        <v>0</v>
      </c>
      <c r="M257" s="1">
        <v>86.9</v>
      </c>
      <c r="N257" s="1">
        <v>13.1</v>
      </c>
      <c r="O257" s="1">
        <v>0</v>
      </c>
      <c r="P257" s="1">
        <v>0</v>
      </c>
      <c r="Q257" s="2" t="str">
        <f t="shared" ref="Q257:Q463" si="11">IF(A258=A257,B258-B257,"")</f>
        <v/>
      </c>
      <c r="R257" s="1" t="str">
        <f t="shared" ref="R257:R463" si="12">IFERROR(IF($A258=$A257,($E258-$E257)/($B258-$B257),""),"null")</f>
        <v/>
      </c>
      <c r="S257" s="1" t="str">
        <f t="shared" ref="S257:S463" si="13">IFERROR(IF($A258=$A257,($I258-$I257)/($B258-$B257),""),"null")</f>
        <v/>
      </c>
      <c r="T257" s="1" t="str">
        <f t="shared" ref="T257:T463" si="14">IFERROR(IF($A258=$A257,($M258-$M257)/($B258-$B257),""),"null")</f>
        <v/>
      </c>
      <c r="U257" s="1">
        <f t="shared" ref="U257:U463" si="15">IFERROR(ROUND(E257,0),"null")</f>
        <v>89</v>
      </c>
      <c r="V257" s="3">
        <f t="shared" ref="V257:V463" si="16">IFERROR(ROUND(I257,0),"null")</f>
        <v>94</v>
      </c>
      <c r="W257" s="3">
        <f t="shared" ref="W257:W463" si="17">IFERROR(ROUND(M257,0),"null")</f>
        <v>87</v>
      </c>
      <c r="X257" s="3" t="str">
        <f t="shared" ref="X257:X463" si="18">IF(AND($A258=$A257,$U257=100,$U258=100),"fullaccesss","")</f>
        <v/>
      </c>
      <c r="Y257" s="3" t="str">
        <f t="shared" ref="Y257:Y463" si="19">IF(AND($A258=$A257,$V257=100,$V258=100),"fullaccesss","")</f>
        <v/>
      </c>
      <c r="Z257" s="1" t="str">
        <f t="shared" ref="Z257:Z463" si="20">IF(AND($A258=$A257,$W257=100,$W258=100),"fullaccesss","")</f>
        <v/>
      </c>
      <c r="AA257" s="3" t="str">
        <f t="shared" ref="AA257:AA463" si="21">IFERROR(IF(AND(S257&lt;&gt;"",T257&lt;&gt;""),S257-T257,""),"null")</f>
        <v/>
      </c>
      <c r="AB257" s="3" t="str">
        <f>LOOKUP($A257,Sheet2!$A$1:$B$233)</f>
        <v>East Asia &amp; Pacific</v>
      </c>
    </row>
    <row r="258" spans="1:28">
      <c r="A258" s="1" t="s">
        <v>164</v>
      </c>
      <c r="B258" s="1">
        <v>2015</v>
      </c>
      <c r="C258" s="1">
        <v>378.48300169999999</v>
      </c>
      <c r="D258" s="1">
        <v>88.981002810000007</v>
      </c>
      <c r="E258" s="1">
        <v>99.796030000000002</v>
      </c>
      <c r="F258" s="1">
        <v>0</v>
      </c>
      <c r="G258" s="1">
        <v>0.20396999539999999</v>
      </c>
      <c r="H258" s="1">
        <v>0</v>
      </c>
      <c r="I258" s="1" t="s">
        <v>272</v>
      </c>
      <c r="J258" s="1" t="s">
        <v>272</v>
      </c>
      <c r="K258" s="1" t="s">
        <v>272</v>
      </c>
      <c r="L258" s="1" t="s">
        <v>272</v>
      </c>
      <c r="M258" s="1" t="s">
        <v>272</v>
      </c>
      <c r="N258" s="1" t="s">
        <v>272</v>
      </c>
      <c r="O258" s="1" t="s">
        <v>272</v>
      </c>
      <c r="P258" s="1" t="s">
        <v>272</v>
      </c>
      <c r="Q258" s="2">
        <f t="shared" si="11"/>
        <v>5</v>
      </c>
      <c r="R258" s="1">
        <f t="shared" si="12"/>
        <v>9.1881559999990262E-3</v>
      </c>
      <c r="S258" s="1" t="str">
        <f t="shared" si="13"/>
        <v>null</v>
      </c>
      <c r="T258" s="1" t="str">
        <f t="shared" si="14"/>
        <v>null</v>
      </c>
      <c r="U258" s="1">
        <f t="shared" si="15"/>
        <v>100</v>
      </c>
      <c r="V258" s="3" t="str">
        <f t="shared" si="16"/>
        <v>null</v>
      </c>
      <c r="W258" s="3" t="str">
        <f t="shared" si="17"/>
        <v>null</v>
      </c>
      <c r="X258" s="3" t="str">
        <f t="shared" si="18"/>
        <v>fullaccesss</v>
      </c>
      <c r="Y258" s="3" t="str">
        <f t="shared" si="19"/>
        <v/>
      </c>
      <c r="Z258" s="1" t="str">
        <f t="shared" si="20"/>
        <v/>
      </c>
      <c r="AA258" s="3" t="str">
        <f t="shared" si="21"/>
        <v>null</v>
      </c>
      <c r="AB258" s="3" t="str">
        <f>LOOKUP($A258,Sheet2!$A$1:$B$233)</f>
        <v>Latin America &amp; Caribbean</v>
      </c>
    </row>
    <row r="259" spans="1:28">
      <c r="A259" s="1" t="s">
        <v>164</v>
      </c>
      <c r="B259" s="1">
        <v>2020</v>
      </c>
      <c r="C259" s="1">
        <v>375.26501459999997</v>
      </c>
      <c r="D259" s="1">
        <v>89.13999939</v>
      </c>
      <c r="E259" s="1">
        <v>99.841970779999997</v>
      </c>
      <c r="F259" s="1">
        <v>0</v>
      </c>
      <c r="G259" s="1">
        <v>0.15802921580000001</v>
      </c>
      <c r="H259" s="1">
        <v>0</v>
      </c>
      <c r="I259" s="1" t="s">
        <v>272</v>
      </c>
      <c r="J259" s="1" t="s">
        <v>272</v>
      </c>
      <c r="K259" s="1" t="s">
        <v>272</v>
      </c>
      <c r="L259" s="1" t="s">
        <v>272</v>
      </c>
      <c r="M259" s="1" t="s">
        <v>272</v>
      </c>
      <c r="N259" s="1" t="s">
        <v>272</v>
      </c>
      <c r="O259" s="1" t="s">
        <v>272</v>
      </c>
      <c r="P259" s="1" t="s">
        <v>272</v>
      </c>
      <c r="Q259" s="2" t="str">
        <f t="shared" si="11"/>
        <v/>
      </c>
      <c r="R259" s="1" t="str">
        <f t="shared" si="12"/>
        <v/>
      </c>
      <c r="S259" s="1" t="str">
        <f t="shared" si="13"/>
        <v/>
      </c>
      <c r="T259" s="1" t="str">
        <f t="shared" si="14"/>
        <v/>
      </c>
      <c r="U259" s="1">
        <f t="shared" si="15"/>
        <v>100</v>
      </c>
      <c r="V259" s="3" t="str">
        <f t="shared" si="16"/>
        <v>null</v>
      </c>
      <c r="W259" s="3" t="str">
        <f t="shared" si="17"/>
        <v>null</v>
      </c>
      <c r="X259" s="3" t="str">
        <f t="shared" si="18"/>
        <v/>
      </c>
      <c r="Y259" s="3" t="str">
        <f t="shared" si="19"/>
        <v/>
      </c>
      <c r="Z259" s="1" t="str">
        <f t="shared" si="20"/>
        <v/>
      </c>
      <c r="AA259" s="3" t="str">
        <f t="shared" si="21"/>
        <v/>
      </c>
      <c r="AB259" s="3" t="str">
        <f>LOOKUP($A259,Sheet2!$A$1:$B$233)</f>
        <v>Latin America &amp; Caribbean</v>
      </c>
    </row>
    <row r="260" spans="1:28">
      <c r="A260" s="1" t="s">
        <v>165</v>
      </c>
      <c r="B260" s="1">
        <v>2015</v>
      </c>
      <c r="C260" s="1">
        <v>4046.3039549999999</v>
      </c>
      <c r="D260" s="1">
        <v>51.0890007</v>
      </c>
      <c r="E260" s="1">
        <v>66.973309400000005</v>
      </c>
      <c r="F260" s="1">
        <v>14.811653570000001</v>
      </c>
      <c r="G260" s="1">
        <v>17.637023750000001</v>
      </c>
      <c r="H260" s="1">
        <v>0.57801328240000005</v>
      </c>
      <c r="I260" s="1">
        <v>46.69284218</v>
      </c>
      <c r="J260" s="1">
        <v>18.20063085</v>
      </c>
      <c r="K260" s="1">
        <v>33.924761500000002</v>
      </c>
      <c r="L260" s="1">
        <v>1.1817654639999999</v>
      </c>
      <c r="M260" s="1">
        <v>86.389188590000003</v>
      </c>
      <c r="N260" s="1">
        <v>11.56715369</v>
      </c>
      <c r="O260" s="1">
        <v>2.043657719</v>
      </c>
      <c r="P260" s="1">
        <v>0</v>
      </c>
      <c r="Q260" s="2">
        <f t="shared" si="11"/>
        <v>5</v>
      </c>
      <c r="R260" s="1">
        <f t="shared" si="12"/>
        <v>0.94154796599999879</v>
      </c>
      <c r="S260" s="1">
        <f t="shared" si="13"/>
        <v>0.64369934399999951</v>
      </c>
      <c r="T260" s="1">
        <f t="shared" si="14"/>
        <v>0.57390121199999844</v>
      </c>
      <c r="U260" s="1">
        <f t="shared" si="15"/>
        <v>67</v>
      </c>
      <c r="V260" s="3">
        <f t="shared" si="16"/>
        <v>47</v>
      </c>
      <c r="W260" s="3">
        <f t="shared" si="17"/>
        <v>86</v>
      </c>
      <c r="X260" s="3" t="str">
        <f t="shared" si="18"/>
        <v/>
      </c>
      <c r="Y260" s="3" t="str">
        <f t="shared" si="19"/>
        <v/>
      </c>
      <c r="Z260" s="1" t="str">
        <f t="shared" si="20"/>
        <v/>
      </c>
      <c r="AA260" s="3">
        <f t="shared" si="21"/>
        <v>6.9798132000001067E-2</v>
      </c>
      <c r="AB260" s="3" t="str">
        <f>LOOKUP($A260,Sheet2!$A$1:$B$233)</f>
        <v>Sub-Saharan Africa</v>
      </c>
    </row>
    <row r="261" spans="1:28">
      <c r="A261" s="1" t="s">
        <v>165</v>
      </c>
      <c r="B261" s="1">
        <v>2020</v>
      </c>
      <c r="C261" s="1">
        <v>4649.6601559999999</v>
      </c>
      <c r="D261" s="1">
        <v>55.326995850000003</v>
      </c>
      <c r="E261" s="1">
        <v>71.681049229999999</v>
      </c>
      <c r="F261" s="1">
        <v>13.476891930000001</v>
      </c>
      <c r="G261" s="1">
        <v>14.820326809999999</v>
      </c>
      <c r="H261" s="1">
        <v>2.173203433E-2</v>
      </c>
      <c r="I261" s="1">
        <v>49.911338899999997</v>
      </c>
      <c r="J261" s="1">
        <v>18.49039689</v>
      </c>
      <c r="K261" s="1">
        <v>31.549617300000001</v>
      </c>
      <c r="L261" s="1">
        <v>4.8646907220000001E-2</v>
      </c>
      <c r="M261" s="1">
        <v>89.258694649999995</v>
      </c>
      <c r="N261" s="1">
        <v>9.4288080829999998</v>
      </c>
      <c r="O261" s="1">
        <v>1.3124972699999999</v>
      </c>
      <c r="P261" s="1">
        <v>0</v>
      </c>
      <c r="Q261" s="2" t="str">
        <f t="shared" si="11"/>
        <v/>
      </c>
      <c r="R261" s="1" t="str">
        <f t="shared" si="12"/>
        <v/>
      </c>
      <c r="S261" s="1" t="str">
        <f t="shared" si="13"/>
        <v/>
      </c>
      <c r="T261" s="1" t="str">
        <f t="shared" si="14"/>
        <v/>
      </c>
      <c r="U261" s="1">
        <f t="shared" si="15"/>
        <v>72</v>
      </c>
      <c r="V261" s="3">
        <f t="shared" si="16"/>
        <v>50</v>
      </c>
      <c r="W261" s="3">
        <f t="shared" si="17"/>
        <v>89</v>
      </c>
      <c r="X261" s="3" t="str">
        <f t="shared" si="18"/>
        <v/>
      </c>
      <c r="Y261" s="3" t="str">
        <f t="shared" si="19"/>
        <v/>
      </c>
      <c r="Z261" s="1" t="str">
        <f t="shared" si="20"/>
        <v/>
      </c>
      <c r="AA261" s="3" t="str">
        <f t="shared" si="21"/>
        <v/>
      </c>
      <c r="AB261" s="3" t="str">
        <f>LOOKUP($A261,Sheet2!$A$1:$B$233)</f>
        <v>Sub-Saharan Africa</v>
      </c>
    </row>
    <row r="262" spans="1:28">
      <c r="A262" s="1" t="s">
        <v>166</v>
      </c>
      <c r="B262" s="1">
        <v>2015</v>
      </c>
      <c r="C262" s="1">
        <v>1259.4570309999999</v>
      </c>
      <c r="D262" s="1">
        <v>41</v>
      </c>
      <c r="E262" s="1">
        <v>99.866481820000004</v>
      </c>
      <c r="F262" s="1">
        <v>0</v>
      </c>
      <c r="G262" s="1">
        <v>0.13351818090000001</v>
      </c>
      <c r="H262" s="1">
        <v>0</v>
      </c>
      <c r="I262" s="1">
        <v>99.827682339999996</v>
      </c>
      <c r="J262" s="1">
        <v>0</v>
      </c>
      <c r="K262" s="1">
        <v>0.17231766179999999</v>
      </c>
      <c r="L262" s="1">
        <v>0</v>
      </c>
      <c r="M262" s="1">
        <v>99.922315220000002</v>
      </c>
      <c r="N262" s="1">
        <v>0</v>
      </c>
      <c r="O262" s="1">
        <v>7.7684781189999996E-2</v>
      </c>
      <c r="P262" s="1">
        <v>0</v>
      </c>
      <c r="Q262" s="2">
        <f t="shared" si="11"/>
        <v>5</v>
      </c>
      <c r="R262" s="1">
        <f t="shared" si="12"/>
        <v>-4.5424000001048624E-5</v>
      </c>
      <c r="S262" s="1">
        <f t="shared" si="13"/>
        <v>0</v>
      </c>
      <c r="T262" s="1">
        <f t="shared" si="14"/>
        <v>0</v>
      </c>
      <c r="U262" s="1">
        <f t="shared" si="15"/>
        <v>100</v>
      </c>
      <c r="V262" s="3">
        <f t="shared" si="16"/>
        <v>100</v>
      </c>
      <c r="W262" s="3">
        <f t="shared" si="17"/>
        <v>100</v>
      </c>
      <c r="X262" s="3" t="str">
        <f t="shared" si="18"/>
        <v>fullaccesss</v>
      </c>
      <c r="Y262" s="3" t="str">
        <f t="shared" si="19"/>
        <v>fullaccesss</v>
      </c>
      <c r="Z262" s="1" t="str">
        <f t="shared" si="20"/>
        <v>fullaccesss</v>
      </c>
      <c r="AA262" s="3">
        <f t="shared" si="21"/>
        <v>0</v>
      </c>
      <c r="AB262" s="3" t="str">
        <f>LOOKUP($A262,Sheet2!$A$1:$B$233)</f>
        <v>Sub-Saharan Africa</v>
      </c>
    </row>
    <row r="263" spans="1:28">
      <c r="A263" s="1" t="s">
        <v>166</v>
      </c>
      <c r="B263" s="1">
        <v>2020</v>
      </c>
      <c r="C263" s="1">
        <v>1271.7669679999999</v>
      </c>
      <c r="D263" s="1">
        <v>40.759998320000001</v>
      </c>
      <c r="E263" s="1">
        <v>99.866254699999999</v>
      </c>
      <c r="F263" s="1">
        <v>0</v>
      </c>
      <c r="G263" s="1">
        <v>0.13374530139999999</v>
      </c>
      <c r="H263" s="1">
        <v>0</v>
      </c>
      <c r="I263" s="1">
        <v>99.827682339999996</v>
      </c>
      <c r="J263" s="1">
        <v>0</v>
      </c>
      <c r="K263" s="1">
        <v>0.17231766179999999</v>
      </c>
      <c r="L263" s="1">
        <v>0</v>
      </c>
      <c r="M263" s="1">
        <v>99.922315220000002</v>
      </c>
      <c r="N263" s="1">
        <v>0</v>
      </c>
      <c r="O263" s="1">
        <v>7.7684781189999996E-2</v>
      </c>
      <c r="P263" s="1">
        <v>0</v>
      </c>
      <c r="Q263" s="2" t="str">
        <f t="shared" si="11"/>
        <v/>
      </c>
      <c r="R263" s="1" t="str">
        <f t="shared" si="12"/>
        <v/>
      </c>
      <c r="S263" s="1" t="str">
        <f t="shared" si="13"/>
        <v/>
      </c>
      <c r="T263" s="1" t="str">
        <f t="shared" si="14"/>
        <v/>
      </c>
      <c r="U263" s="1">
        <f t="shared" si="15"/>
        <v>100</v>
      </c>
      <c r="V263" s="3">
        <f t="shared" si="16"/>
        <v>100</v>
      </c>
      <c r="W263" s="3">
        <f t="shared" si="17"/>
        <v>100</v>
      </c>
      <c r="X263" s="3" t="str">
        <f t="shared" si="18"/>
        <v/>
      </c>
      <c r="Y263" s="3" t="str">
        <f t="shared" si="19"/>
        <v/>
      </c>
      <c r="Z263" s="1" t="str">
        <f t="shared" si="20"/>
        <v/>
      </c>
      <c r="AA263" s="3" t="str">
        <f t="shared" si="21"/>
        <v/>
      </c>
      <c r="AB263" s="3" t="str">
        <f>LOOKUP($A263,Sheet2!$A$1:$B$233)</f>
        <v>Sub-Saharan Africa</v>
      </c>
    </row>
    <row r="264" spans="1:28">
      <c r="A264" s="1" t="s">
        <v>167</v>
      </c>
      <c r="B264" s="1">
        <v>2015</v>
      </c>
      <c r="C264" s="1">
        <v>240.01100159999999</v>
      </c>
      <c r="D264" s="1">
        <v>46.989002229999997</v>
      </c>
      <c r="E264" s="1">
        <v>96.837811279999997</v>
      </c>
      <c r="F264" s="1">
        <v>0</v>
      </c>
      <c r="G264" s="1">
        <v>0.28201846689999999</v>
      </c>
      <c r="H264" s="1">
        <v>2.880170256</v>
      </c>
      <c r="I264" s="1" t="s">
        <v>272</v>
      </c>
      <c r="J264" s="1" t="s">
        <v>272</v>
      </c>
      <c r="K264" s="1" t="s">
        <v>272</v>
      </c>
      <c r="L264" s="1" t="s">
        <v>272</v>
      </c>
      <c r="M264" s="1" t="s">
        <v>272</v>
      </c>
      <c r="N264" s="1" t="s">
        <v>272</v>
      </c>
      <c r="O264" s="1" t="s">
        <v>272</v>
      </c>
      <c r="P264" s="1" t="s">
        <v>272</v>
      </c>
      <c r="Q264" s="2">
        <f t="shared" si="11"/>
        <v>5</v>
      </c>
      <c r="R264" s="1">
        <f t="shared" si="12"/>
        <v>-9.3326313999997981E-2</v>
      </c>
      <c r="S264" s="1" t="str">
        <f t="shared" si="13"/>
        <v>null</v>
      </c>
      <c r="T264" s="1" t="str">
        <f t="shared" si="14"/>
        <v>null</v>
      </c>
      <c r="U264" s="1">
        <f t="shared" si="15"/>
        <v>97</v>
      </c>
      <c r="V264" s="3" t="str">
        <f t="shared" si="16"/>
        <v>null</v>
      </c>
      <c r="W264" s="3" t="str">
        <f t="shared" si="17"/>
        <v>null</v>
      </c>
      <c r="X264" s="3" t="str">
        <f t="shared" si="18"/>
        <v/>
      </c>
      <c r="Y264" s="3" t="str">
        <f t="shared" si="19"/>
        <v/>
      </c>
      <c r="Z264" s="1" t="str">
        <f t="shared" si="20"/>
        <v/>
      </c>
      <c r="AA264" s="3" t="str">
        <f t="shared" si="21"/>
        <v>null</v>
      </c>
      <c r="AB264" s="3" t="str">
        <f>LOOKUP($A264,Sheet2!$A$1:$B$233)</f>
        <v>Sub-Saharan Africa</v>
      </c>
    </row>
    <row r="265" spans="1:28">
      <c r="A265" s="1" t="s">
        <v>167</v>
      </c>
      <c r="B265" s="1">
        <v>2020</v>
      </c>
      <c r="C265" s="1">
        <v>272.81298829999997</v>
      </c>
      <c r="D265" s="1">
        <v>45.750999450000002</v>
      </c>
      <c r="E265" s="1">
        <v>96.371179710000007</v>
      </c>
      <c r="F265" s="1">
        <v>0</v>
      </c>
      <c r="G265" s="1">
        <v>3.6288202950000001</v>
      </c>
      <c r="H265" s="1" t="s">
        <v>272</v>
      </c>
      <c r="I265" s="1" t="s">
        <v>272</v>
      </c>
      <c r="J265" s="1" t="s">
        <v>272</v>
      </c>
      <c r="K265" s="1" t="s">
        <v>272</v>
      </c>
      <c r="L265" s="1" t="s">
        <v>272</v>
      </c>
      <c r="M265" s="1" t="s">
        <v>272</v>
      </c>
      <c r="N265" s="1" t="s">
        <v>272</v>
      </c>
      <c r="O265" s="1" t="s">
        <v>272</v>
      </c>
      <c r="P265" s="1" t="s">
        <v>272</v>
      </c>
      <c r="Q265" s="2" t="str">
        <f t="shared" si="11"/>
        <v/>
      </c>
      <c r="R265" s="1" t="str">
        <f t="shared" si="12"/>
        <v/>
      </c>
      <c r="S265" s="1" t="str">
        <f t="shared" si="13"/>
        <v/>
      </c>
      <c r="T265" s="1" t="str">
        <f t="shared" si="14"/>
        <v/>
      </c>
      <c r="U265" s="1">
        <f t="shared" si="15"/>
        <v>96</v>
      </c>
      <c r="V265" s="3" t="str">
        <f t="shared" si="16"/>
        <v>null</v>
      </c>
      <c r="W265" s="3" t="str">
        <f t="shared" si="17"/>
        <v>null</v>
      </c>
      <c r="X265" s="3" t="str">
        <f t="shared" si="18"/>
        <v/>
      </c>
      <c r="Y265" s="3" t="str">
        <f t="shared" si="19"/>
        <v/>
      </c>
      <c r="Z265" s="1" t="str">
        <f t="shared" si="20"/>
        <v/>
      </c>
      <c r="AA265" s="3" t="str">
        <f t="shared" si="21"/>
        <v/>
      </c>
      <c r="AB265" s="3" t="str">
        <f>LOOKUP($A265,Sheet2!$A$1:$B$233)</f>
        <v>Sub-Saharan Africa</v>
      </c>
    </row>
    <row r="266" spans="1:28">
      <c r="A266" s="1" t="s">
        <v>168</v>
      </c>
      <c r="B266" s="1">
        <v>2015</v>
      </c>
      <c r="C266" s="1">
        <v>121858.25</v>
      </c>
      <c r="D266" s="1">
        <v>79.284996030000002</v>
      </c>
      <c r="E266" s="1">
        <v>98.025443539999998</v>
      </c>
      <c r="F266" s="1">
        <v>0</v>
      </c>
      <c r="G266" s="1">
        <v>1.4123609640000001</v>
      </c>
      <c r="H266" s="1">
        <v>0.56219549209999997</v>
      </c>
      <c r="I266" s="1">
        <v>93.286694030000007</v>
      </c>
      <c r="J266" s="1">
        <v>0</v>
      </c>
      <c r="K266" s="1">
        <v>4.3109388519999996</v>
      </c>
      <c r="L266" s="1">
        <v>2.4023671210000002</v>
      </c>
      <c r="M266" s="1">
        <v>99.263552899999993</v>
      </c>
      <c r="N266" s="1">
        <v>0</v>
      </c>
      <c r="O266" s="1">
        <v>0.65503800599999995</v>
      </c>
      <c r="P266" s="1">
        <v>8.140909465E-2</v>
      </c>
      <c r="Q266" s="2">
        <f t="shared" si="11"/>
        <v>5</v>
      </c>
      <c r="R266" s="1">
        <f t="shared" si="12"/>
        <v>0.33082494800000006</v>
      </c>
      <c r="S266" s="1">
        <f t="shared" si="13"/>
        <v>1.0100749799999988</v>
      </c>
      <c r="T266" s="1">
        <f t="shared" si="14"/>
        <v>0.14728942000000131</v>
      </c>
      <c r="U266" s="1">
        <f t="shared" si="15"/>
        <v>98</v>
      </c>
      <c r="V266" s="3">
        <f t="shared" si="16"/>
        <v>93</v>
      </c>
      <c r="W266" s="3">
        <f t="shared" si="17"/>
        <v>99</v>
      </c>
      <c r="X266" s="3" t="str">
        <f t="shared" si="18"/>
        <v/>
      </c>
      <c r="Y266" s="3" t="str">
        <f t="shared" si="19"/>
        <v/>
      </c>
      <c r="Z266" s="1" t="str">
        <f t="shared" si="20"/>
        <v/>
      </c>
      <c r="AA266" s="3">
        <f t="shared" si="21"/>
        <v>0.86278555999999751</v>
      </c>
      <c r="AB266" s="3" t="str">
        <f>LOOKUP($A266,Sheet2!$A$1:$B$233)</f>
        <v>Latin America &amp; Caribbean</v>
      </c>
    </row>
    <row r="267" spans="1:28">
      <c r="A267" s="1" t="s">
        <v>168</v>
      </c>
      <c r="B267" s="1">
        <v>2020</v>
      </c>
      <c r="C267" s="1">
        <v>128932.75</v>
      </c>
      <c r="D267" s="1">
        <v>80.730995179999994</v>
      </c>
      <c r="E267" s="1">
        <v>99.679568279999998</v>
      </c>
      <c r="F267" s="1">
        <v>0</v>
      </c>
      <c r="G267" s="1">
        <v>0.3204317169</v>
      </c>
      <c r="H267" s="1">
        <v>0</v>
      </c>
      <c r="I267" s="1">
        <v>98.337068930000001</v>
      </c>
      <c r="J267" s="1">
        <v>0</v>
      </c>
      <c r="K267" s="1">
        <v>1.6629310669999999</v>
      </c>
      <c r="L267" s="1">
        <v>0</v>
      </c>
      <c r="M267" s="1">
        <v>100</v>
      </c>
      <c r="N267" s="1">
        <v>0</v>
      </c>
      <c r="O267" s="1">
        <v>0</v>
      </c>
      <c r="P267" s="1">
        <v>0</v>
      </c>
      <c r="Q267" s="2" t="str">
        <f t="shared" si="11"/>
        <v/>
      </c>
      <c r="R267" s="1" t="str">
        <f t="shared" si="12"/>
        <v/>
      </c>
      <c r="S267" s="1" t="str">
        <f t="shared" si="13"/>
        <v/>
      </c>
      <c r="T267" s="1" t="str">
        <f t="shared" si="14"/>
        <v/>
      </c>
      <c r="U267" s="1">
        <f t="shared" si="15"/>
        <v>100</v>
      </c>
      <c r="V267" s="3">
        <f t="shared" si="16"/>
        <v>98</v>
      </c>
      <c r="W267" s="3">
        <f t="shared" si="17"/>
        <v>100</v>
      </c>
      <c r="X267" s="3" t="str">
        <f t="shared" si="18"/>
        <v/>
      </c>
      <c r="Y267" s="3" t="str">
        <f t="shared" si="19"/>
        <v/>
      </c>
      <c r="Z267" s="1" t="str">
        <f t="shared" si="20"/>
        <v/>
      </c>
      <c r="AA267" s="3" t="str">
        <f t="shared" si="21"/>
        <v/>
      </c>
      <c r="AB267" s="3" t="str">
        <f>LOOKUP($A267,Sheet2!$A$1:$B$233)</f>
        <v>Latin America &amp; Caribbean</v>
      </c>
    </row>
    <row r="268" spans="1:28">
      <c r="A268" s="1" t="s">
        <v>169</v>
      </c>
      <c r="B268" s="1">
        <v>2015</v>
      </c>
      <c r="C268" s="1">
        <v>108.8860016</v>
      </c>
      <c r="D268" s="1">
        <v>22.455999370000001</v>
      </c>
      <c r="E268" s="1">
        <v>88.308156679999996</v>
      </c>
      <c r="F268" s="1">
        <v>0</v>
      </c>
      <c r="G268" s="1">
        <v>11.69184332</v>
      </c>
      <c r="H268" s="1" t="s">
        <v>272</v>
      </c>
      <c r="I268" s="1" t="s">
        <v>272</v>
      </c>
      <c r="J268" s="1" t="s">
        <v>272</v>
      </c>
      <c r="K268" s="1" t="s">
        <v>272</v>
      </c>
      <c r="L268" s="1" t="s">
        <v>272</v>
      </c>
      <c r="M268" s="1" t="s">
        <v>272</v>
      </c>
      <c r="N268" s="1" t="s">
        <v>272</v>
      </c>
      <c r="O268" s="1" t="s">
        <v>272</v>
      </c>
      <c r="P268" s="1" t="s">
        <v>272</v>
      </c>
      <c r="Q268" s="2">
        <f t="shared" si="11"/>
        <v>4</v>
      </c>
      <c r="R268" s="1">
        <f t="shared" si="12"/>
        <v>0</v>
      </c>
      <c r="S268" s="1" t="str">
        <f t="shared" si="13"/>
        <v>null</v>
      </c>
      <c r="T268" s="1" t="str">
        <f t="shared" si="14"/>
        <v>null</v>
      </c>
      <c r="U268" s="1">
        <f t="shared" si="15"/>
        <v>88</v>
      </c>
      <c r="V268" s="3" t="str">
        <f t="shared" si="16"/>
        <v>null</v>
      </c>
      <c r="W268" s="3" t="str">
        <f t="shared" si="17"/>
        <v>null</v>
      </c>
      <c r="X268" s="3" t="str">
        <f t="shared" si="18"/>
        <v/>
      </c>
      <c r="Y268" s="3" t="str">
        <f t="shared" si="19"/>
        <v/>
      </c>
      <c r="Z268" s="1" t="str">
        <f t="shared" si="20"/>
        <v/>
      </c>
      <c r="AA268" s="3" t="str">
        <f t="shared" si="21"/>
        <v>null</v>
      </c>
      <c r="AB268" s="3" t="str">
        <f>LOOKUP($A268,Sheet2!$A$1:$B$233)</f>
        <v>East Asia &amp; Pacific</v>
      </c>
    </row>
    <row r="269" spans="1:28">
      <c r="A269" s="1" t="s">
        <v>169</v>
      </c>
      <c r="B269" s="1">
        <v>2019</v>
      </c>
      <c r="C269" s="1">
        <v>113.810997</v>
      </c>
      <c r="D269" s="1">
        <v>22.812000269999999</v>
      </c>
      <c r="E269" s="1">
        <v>88.308156679999996</v>
      </c>
      <c r="F269" s="1">
        <v>0</v>
      </c>
      <c r="G269" s="1">
        <v>11.69184332</v>
      </c>
      <c r="H269" s="1" t="s">
        <v>272</v>
      </c>
      <c r="I269" s="1" t="s">
        <v>272</v>
      </c>
      <c r="J269" s="1" t="s">
        <v>272</v>
      </c>
      <c r="K269" s="1" t="s">
        <v>272</v>
      </c>
      <c r="L269" s="1" t="s">
        <v>272</v>
      </c>
      <c r="M269" s="1" t="s">
        <v>272</v>
      </c>
      <c r="N269" s="1" t="s">
        <v>272</v>
      </c>
      <c r="O269" s="1" t="s">
        <v>272</v>
      </c>
      <c r="P269" s="1" t="s">
        <v>272</v>
      </c>
      <c r="Q269" s="2" t="str">
        <f t="shared" si="11"/>
        <v/>
      </c>
      <c r="R269" s="1" t="str">
        <f t="shared" si="12"/>
        <v/>
      </c>
      <c r="S269" s="1" t="str">
        <f t="shared" si="13"/>
        <v/>
      </c>
      <c r="T269" s="1" t="str">
        <f t="shared" si="14"/>
        <v/>
      </c>
      <c r="U269" s="1">
        <f t="shared" si="15"/>
        <v>88</v>
      </c>
      <c r="V269" s="3" t="str">
        <f t="shared" si="16"/>
        <v>null</v>
      </c>
      <c r="W269" s="3" t="str">
        <f t="shared" si="17"/>
        <v>null</v>
      </c>
      <c r="X269" s="3" t="str">
        <f t="shared" si="18"/>
        <v/>
      </c>
      <c r="Y269" s="3" t="str">
        <f t="shared" si="19"/>
        <v/>
      </c>
      <c r="Z269" s="1" t="str">
        <f t="shared" si="20"/>
        <v/>
      </c>
      <c r="AA269" s="3" t="str">
        <f t="shared" si="21"/>
        <v/>
      </c>
      <c r="AB269" s="3" t="str">
        <f>LOOKUP($A269,Sheet2!$A$1:$B$233)</f>
        <v>East Asia &amp; Pacific</v>
      </c>
    </row>
    <row r="270" spans="1:28">
      <c r="A270" s="1" t="s">
        <v>170</v>
      </c>
      <c r="B270" s="1">
        <v>2015</v>
      </c>
      <c r="C270" s="1">
        <v>37.722999569999999</v>
      </c>
      <c r="D270" s="1">
        <v>100</v>
      </c>
      <c r="E270" s="1">
        <v>100</v>
      </c>
      <c r="F270" s="1">
        <v>0</v>
      </c>
      <c r="G270" s="1">
        <v>0</v>
      </c>
      <c r="H270" s="1">
        <v>0</v>
      </c>
      <c r="I270" s="1" t="s">
        <v>272</v>
      </c>
      <c r="J270" s="1" t="s">
        <v>272</v>
      </c>
      <c r="K270" s="1" t="s">
        <v>272</v>
      </c>
      <c r="L270" s="1" t="s">
        <v>272</v>
      </c>
      <c r="M270" s="1">
        <v>100</v>
      </c>
      <c r="N270" s="1">
        <v>0</v>
      </c>
      <c r="O270" s="1">
        <v>0</v>
      </c>
      <c r="P270" s="1">
        <v>0</v>
      </c>
      <c r="Q270" s="2">
        <f t="shared" si="11"/>
        <v>5</v>
      </c>
      <c r="R270" s="1">
        <f t="shared" si="12"/>
        <v>0</v>
      </c>
      <c r="S270" s="1" t="str">
        <f t="shared" si="13"/>
        <v>null</v>
      </c>
      <c r="T270" s="1">
        <f t="shared" si="14"/>
        <v>0</v>
      </c>
      <c r="U270" s="1">
        <f t="shared" si="15"/>
        <v>100</v>
      </c>
      <c r="V270" s="3" t="str">
        <f t="shared" si="16"/>
        <v>null</v>
      </c>
      <c r="W270" s="3">
        <f t="shared" si="17"/>
        <v>100</v>
      </c>
      <c r="X270" s="3" t="str">
        <f t="shared" si="18"/>
        <v>fullaccesss</v>
      </c>
      <c r="Y270" s="3" t="str">
        <f t="shared" si="19"/>
        <v/>
      </c>
      <c r="Z270" s="1" t="str">
        <f t="shared" si="20"/>
        <v>fullaccesss</v>
      </c>
      <c r="AA270" s="3" t="str">
        <f t="shared" si="21"/>
        <v>null</v>
      </c>
      <c r="AB270" s="3" t="str">
        <f>LOOKUP($A270,Sheet2!$A$1:$B$233)</f>
        <v>Europe &amp; Central Asia</v>
      </c>
    </row>
    <row r="271" spans="1:28">
      <c r="A271" s="1" t="s">
        <v>170</v>
      </c>
      <c r="B271" s="1">
        <v>2020</v>
      </c>
      <c r="C271" s="1">
        <v>39.243999479999999</v>
      </c>
      <c r="D271" s="1">
        <v>100</v>
      </c>
      <c r="E271" s="1">
        <v>100</v>
      </c>
      <c r="F271" s="1">
        <v>0</v>
      </c>
      <c r="G271" s="1">
        <v>0</v>
      </c>
      <c r="H271" s="1">
        <v>0</v>
      </c>
      <c r="I271" s="1" t="s">
        <v>272</v>
      </c>
      <c r="J271" s="1" t="s">
        <v>272</v>
      </c>
      <c r="K271" s="1" t="s">
        <v>272</v>
      </c>
      <c r="L271" s="1" t="s">
        <v>272</v>
      </c>
      <c r="M271" s="1">
        <v>100</v>
      </c>
      <c r="N271" s="1">
        <v>0</v>
      </c>
      <c r="O271" s="1">
        <v>0</v>
      </c>
      <c r="P271" s="1">
        <v>0</v>
      </c>
      <c r="Q271" s="2" t="str">
        <f t="shared" si="11"/>
        <v/>
      </c>
      <c r="R271" s="1" t="str">
        <f t="shared" si="12"/>
        <v/>
      </c>
      <c r="S271" s="1" t="str">
        <f t="shared" si="13"/>
        <v/>
      </c>
      <c r="T271" s="1" t="str">
        <f t="shared" si="14"/>
        <v/>
      </c>
      <c r="U271" s="1">
        <f t="shared" si="15"/>
        <v>100</v>
      </c>
      <c r="V271" s="3" t="str">
        <f t="shared" si="16"/>
        <v>null</v>
      </c>
      <c r="W271" s="3">
        <f t="shared" si="17"/>
        <v>100</v>
      </c>
      <c r="X271" s="3" t="str">
        <f t="shared" si="18"/>
        <v/>
      </c>
      <c r="Y271" s="3" t="str">
        <f t="shared" si="19"/>
        <v/>
      </c>
      <c r="Z271" s="1" t="str">
        <f t="shared" si="20"/>
        <v/>
      </c>
      <c r="AA271" s="3" t="str">
        <f t="shared" si="21"/>
        <v/>
      </c>
      <c r="AB271" s="3" t="str">
        <f>LOOKUP($A271,Sheet2!$A$1:$B$233)</f>
        <v>Europe &amp; Central Asia</v>
      </c>
    </row>
    <row r="272" spans="1:28">
      <c r="A272" s="1" t="s">
        <v>171</v>
      </c>
      <c r="B272" s="1">
        <v>2015</v>
      </c>
      <c r="C272" s="1">
        <v>2998.4331050000001</v>
      </c>
      <c r="D272" s="1">
        <v>68.229995729999999</v>
      </c>
      <c r="E272" s="1">
        <v>80.813012090000001</v>
      </c>
      <c r="F272" s="1">
        <v>3.905181378</v>
      </c>
      <c r="G272" s="1">
        <v>7.5786445809999998</v>
      </c>
      <c r="H272" s="1">
        <v>7.7031619500000001</v>
      </c>
      <c r="I272" s="1">
        <v>52.093888010000001</v>
      </c>
      <c r="J272" s="1">
        <v>5.3335891499999999</v>
      </c>
      <c r="K272" s="1">
        <v>18.718643360000002</v>
      </c>
      <c r="L272" s="1">
        <v>23.85387948</v>
      </c>
      <c r="M272" s="1">
        <v>94.185527239999999</v>
      </c>
      <c r="N272" s="1">
        <v>3.240070405</v>
      </c>
      <c r="O272" s="1">
        <v>2.3915155440000002</v>
      </c>
      <c r="P272" s="1">
        <v>0.1828868106</v>
      </c>
      <c r="Q272" s="2">
        <f t="shared" si="11"/>
        <v>5</v>
      </c>
      <c r="R272" s="1">
        <f t="shared" si="12"/>
        <v>0.93652263600000085</v>
      </c>
      <c r="S272" s="1">
        <f t="shared" si="13"/>
        <v>1.7953726259999996</v>
      </c>
      <c r="T272" s="1">
        <f t="shared" si="14"/>
        <v>0.4920876679999992</v>
      </c>
      <c r="U272" s="1">
        <f t="shared" si="15"/>
        <v>81</v>
      </c>
      <c r="V272" s="3">
        <f t="shared" si="16"/>
        <v>52</v>
      </c>
      <c r="W272" s="3">
        <f t="shared" si="17"/>
        <v>94</v>
      </c>
      <c r="X272" s="3" t="str">
        <f t="shared" si="18"/>
        <v/>
      </c>
      <c r="Y272" s="3" t="str">
        <f t="shared" si="19"/>
        <v/>
      </c>
      <c r="Z272" s="1" t="str">
        <f t="shared" si="20"/>
        <v/>
      </c>
      <c r="AA272" s="3">
        <f t="shared" si="21"/>
        <v>1.3032849580000003</v>
      </c>
      <c r="AB272" s="3" t="str">
        <f>LOOKUP($A272,Sheet2!$A$1:$B$233)</f>
        <v>East Asia &amp; Pacific</v>
      </c>
    </row>
    <row r="273" spans="1:28">
      <c r="A273" s="1" t="s">
        <v>171</v>
      </c>
      <c r="B273" s="1">
        <v>2020</v>
      </c>
      <c r="C273" s="1">
        <v>3278.2919919999999</v>
      </c>
      <c r="D273" s="1">
        <v>68.656997680000003</v>
      </c>
      <c r="E273" s="1">
        <v>85.495625270000005</v>
      </c>
      <c r="F273" s="1">
        <v>2.1464289299999999</v>
      </c>
      <c r="G273" s="1">
        <v>6.6333667140000001</v>
      </c>
      <c r="H273" s="1">
        <v>5.7245790809999999</v>
      </c>
      <c r="I273" s="1">
        <v>61.070751139999999</v>
      </c>
      <c r="J273" s="1">
        <v>3.0841705720000001</v>
      </c>
      <c r="K273" s="1">
        <v>17.580781160000001</v>
      </c>
      <c r="L273" s="1">
        <v>18.264297129999999</v>
      </c>
      <c r="M273" s="1">
        <v>96.645965579999995</v>
      </c>
      <c r="N273" s="1">
        <v>1.718335079</v>
      </c>
      <c r="O273" s="1">
        <v>1.635699341</v>
      </c>
      <c r="P273" s="1">
        <v>0</v>
      </c>
      <c r="Q273" s="2" t="str">
        <f t="shared" si="11"/>
        <v/>
      </c>
      <c r="R273" s="1" t="str">
        <f t="shared" si="12"/>
        <v/>
      </c>
      <c r="S273" s="1" t="str">
        <f t="shared" si="13"/>
        <v/>
      </c>
      <c r="T273" s="1" t="str">
        <f t="shared" si="14"/>
        <v/>
      </c>
      <c r="U273" s="1">
        <f t="shared" si="15"/>
        <v>85</v>
      </c>
      <c r="V273" s="3">
        <f t="shared" si="16"/>
        <v>61</v>
      </c>
      <c r="W273" s="3">
        <f t="shared" si="17"/>
        <v>97</v>
      </c>
      <c r="X273" s="3" t="str">
        <f t="shared" si="18"/>
        <v/>
      </c>
      <c r="Y273" s="3" t="str">
        <f t="shared" si="19"/>
        <v/>
      </c>
      <c r="Z273" s="1" t="str">
        <f t="shared" si="20"/>
        <v/>
      </c>
      <c r="AA273" s="3" t="str">
        <f t="shared" si="21"/>
        <v/>
      </c>
      <c r="AB273" s="3" t="str">
        <f>LOOKUP($A273,Sheet2!$A$1:$B$233)</f>
        <v>East Asia &amp; Pacific</v>
      </c>
    </row>
    <row r="274" spans="1:28">
      <c r="A274" s="1" t="s">
        <v>172</v>
      </c>
      <c r="B274" s="1">
        <v>2015</v>
      </c>
      <c r="C274" s="1">
        <v>626.9569702</v>
      </c>
      <c r="D274" s="1">
        <v>65.805999760000006</v>
      </c>
      <c r="E274" s="1">
        <v>97.391295369999995</v>
      </c>
      <c r="F274" s="1">
        <v>1.68690191</v>
      </c>
      <c r="G274" s="1">
        <v>0.88144584619999999</v>
      </c>
      <c r="H274" s="1">
        <v>4.035686954E-2</v>
      </c>
      <c r="I274" s="1">
        <v>95.96066218</v>
      </c>
      <c r="J274" s="1">
        <v>1.539303155</v>
      </c>
      <c r="K274" s="1">
        <v>2.3820114100000001</v>
      </c>
      <c r="L274" s="1">
        <v>0.1180232558</v>
      </c>
      <c r="M274" s="1">
        <v>98.134678449999996</v>
      </c>
      <c r="N274" s="1">
        <v>1.763596913</v>
      </c>
      <c r="O274" s="1">
        <v>0.10172463599999999</v>
      </c>
      <c r="P274" s="1">
        <v>0</v>
      </c>
      <c r="Q274" s="2">
        <f t="shared" si="11"/>
        <v>5</v>
      </c>
      <c r="R274" s="1">
        <f t="shared" si="12"/>
        <v>0.29312423000000082</v>
      </c>
      <c r="S274" s="1">
        <f t="shared" si="13"/>
        <v>0.44024507199999902</v>
      </c>
      <c r="T274" s="1">
        <f t="shared" si="14"/>
        <v>0.21141222800000037</v>
      </c>
      <c r="U274" s="1">
        <f t="shared" si="15"/>
        <v>97</v>
      </c>
      <c r="V274" s="3">
        <f t="shared" si="16"/>
        <v>96</v>
      </c>
      <c r="W274" s="3">
        <f t="shared" si="17"/>
        <v>98</v>
      </c>
      <c r="X274" s="3" t="str">
        <f t="shared" si="18"/>
        <v/>
      </c>
      <c r="Y274" s="3" t="str">
        <f t="shared" si="19"/>
        <v/>
      </c>
      <c r="Z274" s="1" t="str">
        <f t="shared" si="20"/>
        <v/>
      </c>
      <c r="AA274" s="3">
        <f t="shared" si="21"/>
        <v>0.22883284399999865</v>
      </c>
      <c r="AB274" s="3" t="str">
        <f>LOOKUP($A274,Sheet2!$A$1:$B$233)</f>
        <v>Europe &amp; Central Asia</v>
      </c>
    </row>
    <row r="275" spans="1:28">
      <c r="A275" s="1" t="s">
        <v>172</v>
      </c>
      <c r="B275" s="1">
        <v>2020</v>
      </c>
      <c r="C275" s="1">
        <v>628.06201169999997</v>
      </c>
      <c r="D275" s="1">
        <v>67.488006589999998</v>
      </c>
      <c r="E275" s="1">
        <v>98.856916519999999</v>
      </c>
      <c r="F275" s="1">
        <v>0.54547882039999995</v>
      </c>
      <c r="G275" s="1">
        <v>0.59231201099999997</v>
      </c>
      <c r="H275" s="1">
        <v>5.2926508940000002E-3</v>
      </c>
      <c r="I275" s="1">
        <v>98.161887539999995</v>
      </c>
      <c r="J275" s="1">
        <v>0</v>
      </c>
      <c r="K275" s="1">
        <v>1.821833386</v>
      </c>
      <c r="L275" s="1">
        <v>1.6279069770000001E-2</v>
      </c>
      <c r="M275" s="1">
        <v>99.191739589999997</v>
      </c>
      <c r="N275" s="1">
        <v>0.80826041280000005</v>
      </c>
      <c r="O275" s="1">
        <v>0</v>
      </c>
      <c r="P275" s="1">
        <v>0</v>
      </c>
      <c r="Q275" s="2" t="str">
        <f t="shared" si="11"/>
        <v/>
      </c>
      <c r="R275" s="1" t="str">
        <f t="shared" si="12"/>
        <v/>
      </c>
      <c r="S275" s="1" t="str">
        <f t="shared" si="13"/>
        <v/>
      </c>
      <c r="T275" s="1" t="str">
        <f t="shared" si="14"/>
        <v/>
      </c>
      <c r="U275" s="1">
        <f t="shared" si="15"/>
        <v>99</v>
      </c>
      <c r="V275" s="3">
        <f t="shared" si="16"/>
        <v>98</v>
      </c>
      <c r="W275" s="3">
        <f t="shared" si="17"/>
        <v>99</v>
      </c>
      <c r="X275" s="3" t="str">
        <f t="shared" si="18"/>
        <v/>
      </c>
      <c r="Y275" s="3" t="str">
        <f t="shared" si="19"/>
        <v/>
      </c>
      <c r="Z275" s="1" t="str">
        <f t="shared" si="20"/>
        <v/>
      </c>
      <c r="AA275" s="3" t="str">
        <f t="shared" si="21"/>
        <v/>
      </c>
      <c r="AB275" s="3" t="str">
        <f>LOOKUP($A275,Sheet2!$A$1:$B$233)</f>
        <v>Europe &amp; Central Asia</v>
      </c>
    </row>
    <row r="276" spans="1:28">
      <c r="A276" s="1" t="s">
        <v>173</v>
      </c>
      <c r="B276" s="1">
        <v>2015</v>
      </c>
      <c r="C276" s="1">
        <v>4.9660000799999997</v>
      </c>
      <c r="D276" s="1">
        <v>9.0410003660000005</v>
      </c>
      <c r="E276" s="1">
        <v>98.070820560000001</v>
      </c>
      <c r="F276" s="1">
        <v>0</v>
      </c>
      <c r="G276" s="1">
        <v>1.9291794390000001</v>
      </c>
      <c r="H276" s="1">
        <v>0</v>
      </c>
      <c r="I276" s="1" t="s">
        <v>272</v>
      </c>
      <c r="J276" s="1" t="s">
        <v>272</v>
      </c>
      <c r="K276" s="1" t="s">
        <v>272</v>
      </c>
      <c r="L276" s="1" t="s">
        <v>272</v>
      </c>
      <c r="M276" s="1" t="s">
        <v>272</v>
      </c>
      <c r="N276" s="1" t="s">
        <v>272</v>
      </c>
      <c r="O276" s="1" t="s">
        <v>272</v>
      </c>
      <c r="P276" s="1" t="s">
        <v>272</v>
      </c>
      <c r="Q276" s="2">
        <f t="shared" si="11"/>
        <v>5</v>
      </c>
      <c r="R276" s="1">
        <f t="shared" si="12"/>
        <v>1.3324119999992945E-3</v>
      </c>
      <c r="S276" s="1" t="str">
        <f t="shared" si="13"/>
        <v>null</v>
      </c>
      <c r="T276" s="1" t="str">
        <f t="shared" si="14"/>
        <v>null</v>
      </c>
      <c r="U276" s="1">
        <f t="shared" si="15"/>
        <v>98</v>
      </c>
      <c r="V276" s="3" t="str">
        <f t="shared" si="16"/>
        <v>null</v>
      </c>
      <c r="W276" s="3" t="str">
        <f t="shared" si="17"/>
        <v>null</v>
      </c>
      <c r="X276" s="3" t="str">
        <f t="shared" si="18"/>
        <v/>
      </c>
      <c r="Y276" s="3" t="str">
        <f t="shared" si="19"/>
        <v/>
      </c>
      <c r="Z276" s="1" t="str">
        <f t="shared" si="20"/>
        <v/>
      </c>
      <c r="AA276" s="3" t="str">
        <f t="shared" si="21"/>
        <v>null</v>
      </c>
      <c r="AB276" s="3" t="str">
        <f>LOOKUP($A276,Sheet2!$A$1:$B$233)</f>
        <v>Latin America &amp; Caribbean</v>
      </c>
    </row>
    <row r="277" spans="1:28">
      <c r="A277" s="1" t="s">
        <v>173</v>
      </c>
      <c r="B277" s="1">
        <v>2020</v>
      </c>
      <c r="C277" s="1">
        <v>4.9990000720000003</v>
      </c>
      <c r="D277" s="1">
        <v>9.1149997710000008</v>
      </c>
      <c r="E277" s="1">
        <v>98.077482619999998</v>
      </c>
      <c r="F277" s="1">
        <v>0</v>
      </c>
      <c r="G277" s="1">
        <v>1.922517378</v>
      </c>
      <c r="H277" s="1">
        <v>0</v>
      </c>
      <c r="I277" s="1" t="s">
        <v>272</v>
      </c>
      <c r="J277" s="1" t="s">
        <v>272</v>
      </c>
      <c r="K277" s="1" t="s">
        <v>272</v>
      </c>
      <c r="L277" s="1" t="s">
        <v>272</v>
      </c>
      <c r="M277" s="1" t="s">
        <v>272</v>
      </c>
      <c r="N277" s="1" t="s">
        <v>272</v>
      </c>
      <c r="O277" s="1" t="s">
        <v>272</v>
      </c>
      <c r="P277" s="1" t="s">
        <v>272</v>
      </c>
      <c r="Q277" s="2" t="str">
        <f t="shared" si="11"/>
        <v/>
      </c>
      <c r="R277" s="1" t="str">
        <f t="shared" si="12"/>
        <v/>
      </c>
      <c r="S277" s="1" t="str">
        <f t="shared" si="13"/>
        <v/>
      </c>
      <c r="T277" s="1" t="str">
        <f t="shared" si="14"/>
        <v/>
      </c>
      <c r="U277" s="1">
        <f t="shared" si="15"/>
        <v>98</v>
      </c>
      <c r="V277" s="3" t="str">
        <f t="shared" si="16"/>
        <v>null</v>
      </c>
      <c r="W277" s="3" t="str">
        <f t="shared" si="17"/>
        <v>null</v>
      </c>
      <c r="X277" s="3" t="str">
        <f t="shared" si="18"/>
        <v/>
      </c>
      <c r="Y277" s="3" t="str">
        <f t="shared" si="19"/>
        <v/>
      </c>
      <c r="Z277" s="1" t="str">
        <f t="shared" si="20"/>
        <v/>
      </c>
      <c r="AA277" s="3" t="str">
        <f t="shared" si="21"/>
        <v/>
      </c>
      <c r="AB277" s="3" t="str">
        <f>LOOKUP($A277,Sheet2!$A$1:$B$233)</f>
        <v>Latin America &amp; Caribbean</v>
      </c>
    </row>
    <row r="278" spans="1:28">
      <c r="A278" s="1" t="s">
        <v>174</v>
      </c>
      <c r="B278" s="1">
        <v>2015</v>
      </c>
      <c r="C278" s="1">
        <v>34663.609380000002</v>
      </c>
      <c r="D278" s="1">
        <v>60.808998109999997</v>
      </c>
      <c r="E278" s="1">
        <v>83.75113288</v>
      </c>
      <c r="F278" s="1">
        <v>5.9371884149999996</v>
      </c>
      <c r="G278" s="1">
        <v>8.5178818580000009</v>
      </c>
      <c r="H278" s="1">
        <v>1.793796851</v>
      </c>
      <c r="I278" s="1">
        <v>64.172528740000004</v>
      </c>
      <c r="J278" s="1">
        <v>12.25581871</v>
      </c>
      <c r="K278" s="1">
        <v>19.029579640000001</v>
      </c>
      <c r="L278" s="1">
        <v>4.5420729140000002</v>
      </c>
      <c r="M278" s="1">
        <v>96.369415020000005</v>
      </c>
      <c r="N278" s="1">
        <v>1.864872571</v>
      </c>
      <c r="O278" s="1">
        <v>1.743161481</v>
      </c>
      <c r="P278" s="1">
        <v>2.255092798E-2</v>
      </c>
      <c r="Q278" s="2">
        <f t="shared" si="11"/>
        <v>5</v>
      </c>
      <c r="R278" s="1">
        <f t="shared" si="12"/>
        <v>1.3302423599999997</v>
      </c>
      <c r="S278" s="1">
        <f t="shared" si="13"/>
        <v>2.6347200439999994</v>
      </c>
      <c r="T278" s="1">
        <f t="shared" si="14"/>
        <v>0.30546619799999919</v>
      </c>
      <c r="U278" s="1">
        <f t="shared" si="15"/>
        <v>84</v>
      </c>
      <c r="V278" s="3">
        <f t="shared" si="16"/>
        <v>64</v>
      </c>
      <c r="W278" s="3">
        <f t="shared" si="17"/>
        <v>96</v>
      </c>
      <c r="X278" s="3" t="str">
        <f t="shared" si="18"/>
        <v/>
      </c>
      <c r="Y278" s="3" t="str">
        <f t="shared" si="19"/>
        <v/>
      </c>
      <c r="Z278" s="1" t="str">
        <f t="shared" si="20"/>
        <v/>
      </c>
      <c r="AA278" s="3">
        <f t="shared" si="21"/>
        <v>2.3292538460000003</v>
      </c>
      <c r="AB278" s="3" t="str">
        <f>LOOKUP($A278,Sheet2!$A$1:$B$233)</f>
        <v>Middle East &amp; North Africa</v>
      </c>
    </row>
    <row r="279" spans="1:28">
      <c r="A279" s="1" t="s">
        <v>174</v>
      </c>
      <c r="B279" s="1">
        <v>2020</v>
      </c>
      <c r="C279" s="1">
        <v>36910.558590000001</v>
      </c>
      <c r="D279" s="1">
        <v>63.531997680000003</v>
      </c>
      <c r="E279" s="1">
        <v>90.402344679999999</v>
      </c>
      <c r="F279" s="1">
        <v>5.2635496010000002</v>
      </c>
      <c r="G279" s="1">
        <v>2.8776725000000001</v>
      </c>
      <c r="H279" s="1">
        <v>1.456433219</v>
      </c>
      <c r="I279" s="1">
        <v>77.346128960000001</v>
      </c>
      <c r="J279" s="1">
        <v>12.03707816</v>
      </c>
      <c r="K279" s="1">
        <v>6.6230633729999999</v>
      </c>
      <c r="L279" s="1">
        <v>3.9937295019999999</v>
      </c>
      <c r="M279" s="1">
        <v>97.896746010000001</v>
      </c>
      <c r="N279" s="1">
        <v>1.375477117</v>
      </c>
      <c r="O279" s="1">
        <v>0.72777687589999995</v>
      </c>
      <c r="P279" s="1">
        <v>0</v>
      </c>
      <c r="Q279" s="2" t="str">
        <f t="shared" si="11"/>
        <v/>
      </c>
      <c r="R279" s="1" t="str">
        <f t="shared" si="12"/>
        <v/>
      </c>
      <c r="S279" s="1" t="str">
        <f t="shared" si="13"/>
        <v/>
      </c>
      <c r="T279" s="1" t="str">
        <f t="shared" si="14"/>
        <v/>
      </c>
      <c r="U279" s="1">
        <f t="shared" si="15"/>
        <v>90</v>
      </c>
      <c r="V279" s="3">
        <f t="shared" si="16"/>
        <v>77</v>
      </c>
      <c r="W279" s="3">
        <f t="shared" si="17"/>
        <v>98</v>
      </c>
      <c r="X279" s="3" t="str">
        <f t="shared" si="18"/>
        <v/>
      </c>
      <c r="Y279" s="3" t="str">
        <f t="shared" si="19"/>
        <v/>
      </c>
      <c r="Z279" s="1" t="str">
        <f t="shared" si="20"/>
        <v/>
      </c>
      <c r="AA279" s="3" t="str">
        <f t="shared" si="21"/>
        <v/>
      </c>
      <c r="AB279" s="3" t="str">
        <f>LOOKUP($A279,Sheet2!$A$1:$B$233)</f>
        <v>Middle East &amp; North Africa</v>
      </c>
    </row>
    <row r="280" spans="1:28">
      <c r="A280" s="1" t="s">
        <v>175</v>
      </c>
      <c r="B280" s="1">
        <v>2015</v>
      </c>
      <c r="C280" s="1">
        <v>27042.001950000002</v>
      </c>
      <c r="D280" s="1">
        <v>34.400001529999997</v>
      </c>
      <c r="E280" s="1">
        <v>51.176175209999997</v>
      </c>
      <c r="F280" s="1">
        <v>10.3714084</v>
      </c>
      <c r="G280" s="1">
        <v>26.513493149999999</v>
      </c>
      <c r="H280" s="1">
        <v>11.938923239999999</v>
      </c>
      <c r="I280" s="1">
        <v>35.97137876</v>
      </c>
      <c r="J280" s="1">
        <v>12.36707992</v>
      </c>
      <c r="K280" s="1">
        <v>34.814873949999999</v>
      </c>
      <c r="L280" s="1">
        <v>16.846667360000001</v>
      </c>
      <c r="M280" s="1">
        <v>80.171365829999999</v>
      </c>
      <c r="N280" s="1">
        <v>6.5657095710000002</v>
      </c>
      <c r="O280" s="1">
        <v>10.68295442</v>
      </c>
      <c r="P280" s="1">
        <v>2.5799701810000002</v>
      </c>
      <c r="Q280" s="2">
        <f t="shared" si="11"/>
        <v>5</v>
      </c>
      <c r="R280" s="1">
        <f t="shared" si="12"/>
        <v>2.4386500840000012</v>
      </c>
      <c r="S280" s="1">
        <f t="shared" si="13"/>
        <v>2.5790615479999999</v>
      </c>
      <c r="T280" s="1">
        <f t="shared" si="14"/>
        <v>1.5627364180000001</v>
      </c>
      <c r="U280" s="1">
        <f t="shared" si="15"/>
        <v>51</v>
      </c>
      <c r="V280" s="3">
        <f t="shared" si="16"/>
        <v>36</v>
      </c>
      <c r="W280" s="3">
        <f t="shared" si="17"/>
        <v>80</v>
      </c>
      <c r="X280" s="3" t="str">
        <f t="shared" si="18"/>
        <v/>
      </c>
      <c r="Y280" s="3" t="str">
        <f t="shared" si="19"/>
        <v/>
      </c>
      <c r="Z280" s="1" t="str">
        <f t="shared" si="20"/>
        <v/>
      </c>
      <c r="AA280" s="3">
        <f t="shared" si="21"/>
        <v>1.0163251299999998</v>
      </c>
      <c r="AB280" s="3" t="str">
        <f>LOOKUP($A280,Sheet2!$A$1:$B$233)</f>
        <v>Sub-Saharan Africa</v>
      </c>
    </row>
    <row r="281" spans="1:28">
      <c r="A281" s="1" t="s">
        <v>175</v>
      </c>
      <c r="B281" s="1">
        <v>2020</v>
      </c>
      <c r="C281" s="1">
        <v>31255.435549999998</v>
      </c>
      <c r="D281" s="1">
        <v>37.073997499999997</v>
      </c>
      <c r="E281" s="1">
        <v>63.369425630000002</v>
      </c>
      <c r="F281" s="1">
        <v>9.9757845070000002</v>
      </c>
      <c r="G281" s="1">
        <v>16.726145110000001</v>
      </c>
      <c r="H281" s="1">
        <v>9.9286447590000009</v>
      </c>
      <c r="I281" s="1">
        <v>48.8666865</v>
      </c>
      <c r="J281" s="1">
        <v>12.64088359</v>
      </c>
      <c r="K281" s="1">
        <v>23.686256400000001</v>
      </c>
      <c r="L281" s="1">
        <v>14.80617352</v>
      </c>
      <c r="M281" s="1">
        <v>87.98504792</v>
      </c>
      <c r="N281" s="1">
        <v>5.4522910270000002</v>
      </c>
      <c r="O281" s="1">
        <v>4.9126846439999996</v>
      </c>
      <c r="P281" s="1">
        <v>1.649976404</v>
      </c>
      <c r="Q281" s="2" t="str">
        <f t="shared" si="11"/>
        <v/>
      </c>
      <c r="R281" s="1" t="str">
        <f t="shared" si="12"/>
        <v/>
      </c>
      <c r="S281" s="1" t="str">
        <f t="shared" si="13"/>
        <v/>
      </c>
      <c r="T281" s="1" t="str">
        <f t="shared" si="14"/>
        <v/>
      </c>
      <c r="U281" s="1">
        <f t="shared" si="15"/>
        <v>63</v>
      </c>
      <c r="V281" s="3">
        <f t="shared" si="16"/>
        <v>49</v>
      </c>
      <c r="W281" s="3">
        <f t="shared" si="17"/>
        <v>88</v>
      </c>
      <c r="X281" s="3" t="str">
        <f t="shared" si="18"/>
        <v/>
      </c>
      <c r="Y281" s="3" t="str">
        <f t="shared" si="19"/>
        <v/>
      </c>
      <c r="Z281" s="1" t="str">
        <f t="shared" si="20"/>
        <v/>
      </c>
      <c r="AA281" s="3" t="str">
        <f t="shared" si="21"/>
        <v/>
      </c>
      <c r="AB281" s="3" t="str">
        <f>LOOKUP($A281,Sheet2!$A$1:$B$233)</f>
        <v>Sub-Saharan Africa</v>
      </c>
    </row>
    <row r="282" spans="1:28">
      <c r="A282" s="1" t="s">
        <v>176</v>
      </c>
      <c r="B282" s="1">
        <v>2015</v>
      </c>
      <c r="C282" s="1">
        <v>52680.722659999999</v>
      </c>
      <c r="D282" s="1">
        <v>29.857999800000002</v>
      </c>
      <c r="E282" s="1">
        <v>73.587470499999995</v>
      </c>
      <c r="F282" s="1">
        <v>6.8355322689999998</v>
      </c>
      <c r="G282" s="1">
        <v>8.269037119</v>
      </c>
      <c r="H282" s="1">
        <v>11.30796011</v>
      </c>
      <c r="I282" s="1">
        <v>67.249613539999999</v>
      </c>
      <c r="J282" s="1">
        <v>8.0422803540000007</v>
      </c>
      <c r="K282" s="1">
        <v>10.1459869</v>
      </c>
      <c r="L282" s="1">
        <v>14.562119210000001</v>
      </c>
      <c r="M282" s="1">
        <v>88.476276290000001</v>
      </c>
      <c r="N282" s="1">
        <v>4.0006563789999996</v>
      </c>
      <c r="O282" s="1">
        <v>3.859732696</v>
      </c>
      <c r="P282" s="1">
        <v>3.6633346320000002</v>
      </c>
      <c r="Q282" s="2">
        <f t="shared" si="11"/>
        <v>5</v>
      </c>
      <c r="R282" s="1">
        <f t="shared" si="12"/>
        <v>2.0261442820000015</v>
      </c>
      <c r="S282" s="1">
        <f t="shared" si="13"/>
        <v>2.2345902300000007</v>
      </c>
      <c r="T282" s="1">
        <f t="shared" si="14"/>
        <v>1.3903219540000009</v>
      </c>
      <c r="U282" s="1">
        <f t="shared" si="15"/>
        <v>74</v>
      </c>
      <c r="V282" s="3">
        <f t="shared" si="16"/>
        <v>67</v>
      </c>
      <c r="W282" s="3">
        <f t="shared" si="17"/>
        <v>88</v>
      </c>
      <c r="X282" s="3" t="str">
        <f t="shared" si="18"/>
        <v/>
      </c>
      <c r="Y282" s="3" t="str">
        <f t="shared" si="19"/>
        <v/>
      </c>
      <c r="Z282" s="1" t="str">
        <f t="shared" si="20"/>
        <v/>
      </c>
      <c r="AA282" s="3">
        <f t="shared" si="21"/>
        <v>0.84426827599999976</v>
      </c>
      <c r="AB282" s="3" t="str">
        <f>LOOKUP($A282,Sheet2!$A$1:$B$233)</f>
        <v>East Asia &amp; Pacific</v>
      </c>
    </row>
    <row r="283" spans="1:28">
      <c r="A283" s="1" t="s">
        <v>176</v>
      </c>
      <c r="B283" s="1">
        <v>2020</v>
      </c>
      <c r="C283" s="1">
        <v>54409.792970000002</v>
      </c>
      <c r="D283" s="1">
        <v>31.14100075</v>
      </c>
      <c r="E283" s="1">
        <v>83.718191910000002</v>
      </c>
      <c r="F283" s="1">
        <v>1.595436949</v>
      </c>
      <c r="G283" s="1">
        <v>5.1094247800000003</v>
      </c>
      <c r="H283" s="1">
        <v>9.5769463619999993</v>
      </c>
      <c r="I283" s="1">
        <v>78.422564690000002</v>
      </c>
      <c r="J283" s="1">
        <v>2.3169621419999999</v>
      </c>
      <c r="K283" s="1">
        <v>6.5923936940000001</v>
      </c>
      <c r="L283" s="1">
        <v>12.66807947</v>
      </c>
      <c r="M283" s="1">
        <v>95.427886060000006</v>
      </c>
      <c r="N283" s="1">
        <v>0</v>
      </c>
      <c r="O283" s="1">
        <v>1.8302830059999999</v>
      </c>
      <c r="P283" s="1">
        <v>2.741830931</v>
      </c>
      <c r="Q283" s="2" t="str">
        <f t="shared" si="11"/>
        <v/>
      </c>
      <c r="R283" s="1" t="str">
        <f t="shared" si="12"/>
        <v/>
      </c>
      <c r="S283" s="1" t="str">
        <f t="shared" si="13"/>
        <v/>
      </c>
      <c r="T283" s="1" t="str">
        <f t="shared" si="14"/>
        <v/>
      </c>
      <c r="U283" s="1">
        <f t="shared" si="15"/>
        <v>84</v>
      </c>
      <c r="V283" s="3">
        <f t="shared" si="16"/>
        <v>78</v>
      </c>
      <c r="W283" s="3">
        <f t="shared" si="17"/>
        <v>95</v>
      </c>
      <c r="X283" s="3" t="str">
        <f t="shared" si="18"/>
        <v/>
      </c>
      <c r="Y283" s="3" t="str">
        <f t="shared" si="19"/>
        <v/>
      </c>
      <c r="Z283" s="1" t="str">
        <f t="shared" si="20"/>
        <v/>
      </c>
      <c r="AA283" s="3" t="str">
        <f t="shared" si="21"/>
        <v/>
      </c>
      <c r="AB283" s="3" t="str">
        <f>LOOKUP($A283,Sheet2!$A$1:$B$233)</f>
        <v>East Asia &amp; Pacific</v>
      </c>
    </row>
    <row r="284" spans="1:28">
      <c r="A284" s="1" t="s">
        <v>177</v>
      </c>
      <c r="B284" s="1">
        <v>2015</v>
      </c>
      <c r="C284" s="1">
        <v>2314.9008789999998</v>
      </c>
      <c r="D284" s="1">
        <v>46.90000534</v>
      </c>
      <c r="E284" s="1">
        <v>82.524135150000006</v>
      </c>
      <c r="F284" s="1">
        <v>7.2754761539999997</v>
      </c>
      <c r="G284" s="1">
        <v>4.4164614110000002</v>
      </c>
      <c r="H284" s="1">
        <v>5.7839272810000004</v>
      </c>
      <c r="I284" s="1">
        <v>70.141031380000001</v>
      </c>
      <c r="J284" s="1">
        <v>11.72007222</v>
      </c>
      <c r="K284" s="1">
        <v>7.6143896370000004</v>
      </c>
      <c r="L284" s="1">
        <v>10.52450676</v>
      </c>
      <c r="M284" s="1">
        <v>96.544235619999995</v>
      </c>
      <c r="N284" s="1">
        <v>2.2433222979999998</v>
      </c>
      <c r="O284" s="1">
        <v>0.79577988889999995</v>
      </c>
      <c r="P284" s="1">
        <v>0.41666219110000002</v>
      </c>
      <c r="Q284" s="2">
        <f t="shared" si="11"/>
        <v>5</v>
      </c>
      <c r="R284" s="1">
        <f t="shared" si="12"/>
        <v>0.34918022599999859</v>
      </c>
      <c r="S284" s="1">
        <f t="shared" si="13"/>
        <v>0.22302721000000075</v>
      </c>
      <c r="T284" s="1">
        <f t="shared" si="14"/>
        <v>-5.5454053999997657E-2</v>
      </c>
      <c r="U284" s="1">
        <f t="shared" si="15"/>
        <v>83</v>
      </c>
      <c r="V284" s="3">
        <f t="shared" si="16"/>
        <v>70</v>
      </c>
      <c r="W284" s="3">
        <f t="shared" si="17"/>
        <v>97</v>
      </c>
      <c r="X284" s="3" t="str">
        <f t="shared" si="18"/>
        <v/>
      </c>
      <c r="Y284" s="3" t="str">
        <f t="shared" si="19"/>
        <v/>
      </c>
      <c r="Z284" s="1" t="str">
        <f t="shared" si="20"/>
        <v/>
      </c>
      <c r="AA284" s="3">
        <f t="shared" si="21"/>
        <v>0.2784812639999984</v>
      </c>
      <c r="AB284" s="3" t="str">
        <f>LOOKUP($A284,Sheet2!$A$1:$B$233)</f>
        <v>Sub-Saharan Africa</v>
      </c>
    </row>
    <row r="285" spans="1:28">
      <c r="A285" s="1" t="s">
        <v>177</v>
      </c>
      <c r="B285" s="1">
        <v>2020</v>
      </c>
      <c r="C285" s="1">
        <v>2540.9160160000001</v>
      </c>
      <c r="D285" s="1">
        <v>52.033000950000002</v>
      </c>
      <c r="E285" s="1">
        <v>84.270036279999999</v>
      </c>
      <c r="F285" s="1">
        <v>7.0876275099999999</v>
      </c>
      <c r="G285" s="1">
        <v>3.740143722</v>
      </c>
      <c r="H285" s="1">
        <v>4.9021924849999996</v>
      </c>
      <c r="I285" s="1">
        <v>71.256167430000005</v>
      </c>
      <c r="J285" s="1">
        <v>11.97218925</v>
      </c>
      <c r="K285" s="1">
        <v>7.0818037589999996</v>
      </c>
      <c r="L285" s="1">
        <v>9.6898395629999996</v>
      </c>
      <c r="M285" s="1">
        <v>96.266965350000007</v>
      </c>
      <c r="N285" s="1">
        <v>2.5847589649999998</v>
      </c>
      <c r="O285" s="1">
        <v>0.65961026379999999</v>
      </c>
      <c r="P285" s="1">
        <v>0.4886654211</v>
      </c>
      <c r="Q285" s="2" t="str">
        <f t="shared" si="11"/>
        <v/>
      </c>
      <c r="R285" s="1" t="str">
        <f t="shared" si="12"/>
        <v/>
      </c>
      <c r="S285" s="1" t="str">
        <f t="shared" si="13"/>
        <v/>
      </c>
      <c r="T285" s="1" t="str">
        <f t="shared" si="14"/>
        <v/>
      </c>
      <c r="U285" s="1">
        <f t="shared" si="15"/>
        <v>84</v>
      </c>
      <c r="V285" s="3">
        <f t="shared" si="16"/>
        <v>71</v>
      </c>
      <c r="W285" s="3">
        <f t="shared" si="17"/>
        <v>96</v>
      </c>
      <c r="X285" s="3" t="str">
        <f t="shared" si="18"/>
        <v/>
      </c>
      <c r="Y285" s="3" t="str">
        <f t="shared" si="19"/>
        <v/>
      </c>
      <c r="Z285" s="1" t="str">
        <f t="shared" si="20"/>
        <v/>
      </c>
      <c r="AA285" s="3" t="str">
        <f t="shared" si="21"/>
        <v/>
      </c>
      <c r="AB285" s="3" t="str">
        <f>LOOKUP($A285,Sheet2!$A$1:$B$233)</f>
        <v>Sub-Saharan Africa</v>
      </c>
    </row>
    <row r="286" spans="1:28">
      <c r="A286" s="1" t="s">
        <v>178</v>
      </c>
      <c r="B286" s="1">
        <v>2015</v>
      </c>
      <c r="C286" s="1">
        <v>10.373999599999999</v>
      </c>
      <c r="D286" s="1">
        <v>100</v>
      </c>
      <c r="E286" s="1">
        <v>100</v>
      </c>
      <c r="F286" s="1">
        <v>0</v>
      </c>
      <c r="G286" s="1">
        <v>0</v>
      </c>
      <c r="H286" s="1">
        <v>0</v>
      </c>
      <c r="I286" s="1" t="s">
        <v>272</v>
      </c>
      <c r="J286" s="1" t="s">
        <v>272</v>
      </c>
      <c r="K286" s="1" t="s">
        <v>272</v>
      </c>
      <c r="L286" s="1" t="s">
        <v>272</v>
      </c>
      <c r="M286" s="1">
        <v>100</v>
      </c>
      <c r="N286" s="1">
        <v>0</v>
      </c>
      <c r="O286" s="1">
        <v>0</v>
      </c>
      <c r="P286" s="1">
        <v>0</v>
      </c>
      <c r="Q286" s="2">
        <f t="shared" si="11"/>
        <v>5</v>
      </c>
      <c r="R286" s="1">
        <f t="shared" si="12"/>
        <v>0</v>
      </c>
      <c r="S286" s="1" t="str">
        <f t="shared" si="13"/>
        <v>null</v>
      </c>
      <c r="T286" s="1">
        <f t="shared" si="14"/>
        <v>0</v>
      </c>
      <c r="U286" s="1">
        <f t="shared" si="15"/>
        <v>100</v>
      </c>
      <c r="V286" s="3" t="str">
        <f t="shared" si="16"/>
        <v>null</v>
      </c>
      <c r="W286" s="3">
        <f t="shared" si="17"/>
        <v>100</v>
      </c>
      <c r="X286" s="3" t="str">
        <f t="shared" si="18"/>
        <v>fullaccesss</v>
      </c>
      <c r="Y286" s="3" t="str">
        <f t="shared" si="19"/>
        <v/>
      </c>
      <c r="Z286" s="1" t="str">
        <f t="shared" si="20"/>
        <v>fullaccesss</v>
      </c>
      <c r="AA286" s="3" t="str">
        <f t="shared" si="21"/>
        <v>null</v>
      </c>
      <c r="AB286" s="3" t="str">
        <f>LOOKUP($A286,Sheet2!$A$1:$B$233)</f>
        <v>East Asia &amp; Pacific</v>
      </c>
    </row>
    <row r="287" spans="1:28">
      <c r="A287" s="1" t="s">
        <v>178</v>
      </c>
      <c r="B287" s="1">
        <v>2020</v>
      </c>
      <c r="C287" s="1">
        <v>10.833999629999999</v>
      </c>
      <c r="D287" s="1">
        <v>100</v>
      </c>
      <c r="E287" s="1">
        <v>100</v>
      </c>
      <c r="F287" s="1">
        <v>0</v>
      </c>
      <c r="G287" s="1">
        <v>0</v>
      </c>
      <c r="H287" s="1">
        <v>0</v>
      </c>
      <c r="I287" s="1" t="s">
        <v>272</v>
      </c>
      <c r="J287" s="1" t="s">
        <v>272</v>
      </c>
      <c r="K287" s="1" t="s">
        <v>272</v>
      </c>
      <c r="L287" s="1" t="s">
        <v>272</v>
      </c>
      <c r="M287" s="1">
        <v>100</v>
      </c>
      <c r="N287" s="1">
        <v>0</v>
      </c>
      <c r="O287" s="1">
        <v>0</v>
      </c>
      <c r="P287" s="1">
        <v>0</v>
      </c>
      <c r="Q287" s="2" t="str">
        <f t="shared" si="11"/>
        <v/>
      </c>
      <c r="R287" s="1" t="str">
        <f t="shared" si="12"/>
        <v/>
      </c>
      <c r="S287" s="1" t="str">
        <f t="shared" si="13"/>
        <v/>
      </c>
      <c r="T287" s="1" t="str">
        <f t="shared" si="14"/>
        <v/>
      </c>
      <c r="U287" s="1">
        <f t="shared" si="15"/>
        <v>100</v>
      </c>
      <c r="V287" s="3" t="str">
        <f t="shared" si="16"/>
        <v>null</v>
      </c>
      <c r="W287" s="3">
        <f t="shared" si="17"/>
        <v>100</v>
      </c>
      <c r="X287" s="3" t="str">
        <f t="shared" si="18"/>
        <v/>
      </c>
      <c r="Y287" s="3" t="str">
        <f t="shared" si="19"/>
        <v/>
      </c>
      <c r="Z287" s="1" t="str">
        <f t="shared" si="20"/>
        <v/>
      </c>
      <c r="AA287" s="3" t="str">
        <f t="shared" si="21"/>
        <v/>
      </c>
      <c r="AB287" s="3" t="str">
        <f>LOOKUP($A287,Sheet2!$A$1:$B$233)</f>
        <v>East Asia &amp; Pacific</v>
      </c>
    </row>
    <row r="288" spans="1:28">
      <c r="A288" s="1" t="s">
        <v>179</v>
      </c>
      <c r="B288" s="1">
        <v>2015</v>
      </c>
      <c r="C288" s="1">
        <v>27015.033200000002</v>
      </c>
      <c r="D288" s="1">
        <v>18.556999210000001</v>
      </c>
      <c r="E288" s="1">
        <v>87.808467590000006</v>
      </c>
      <c r="F288" s="1">
        <v>3.1679044589999998</v>
      </c>
      <c r="G288" s="1">
        <v>7.2642085280000002</v>
      </c>
      <c r="H288" s="1">
        <v>1.759419423</v>
      </c>
      <c r="I288" s="1">
        <v>87.241979639999997</v>
      </c>
      <c r="J288" s="1">
        <v>3.3102712580000002</v>
      </c>
      <c r="K288" s="1">
        <v>7.5313174839999997</v>
      </c>
      <c r="L288" s="1">
        <v>1.9164316180000001</v>
      </c>
      <c r="M288" s="1">
        <v>90.294671100000002</v>
      </c>
      <c r="N288" s="1">
        <v>2.5430847519999999</v>
      </c>
      <c r="O288" s="1">
        <v>6.091920182</v>
      </c>
      <c r="P288" s="1">
        <v>1.07032397</v>
      </c>
      <c r="Q288" s="2">
        <f t="shared" si="11"/>
        <v>5</v>
      </c>
      <c r="R288" s="1">
        <f t="shared" si="12"/>
        <v>0.45321483999999829</v>
      </c>
      <c r="S288" s="1">
        <f t="shared" si="13"/>
        <v>0.59225840200000168</v>
      </c>
      <c r="T288" s="1">
        <f t="shared" si="14"/>
        <v>-0.14340758799999948</v>
      </c>
      <c r="U288" s="1">
        <f t="shared" si="15"/>
        <v>88</v>
      </c>
      <c r="V288" s="3">
        <f t="shared" si="16"/>
        <v>87</v>
      </c>
      <c r="W288" s="3">
        <f t="shared" si="17"/>
        <v>90</v>
      </c>
      <c r="X288" s="3" t="str">
        <f t="shared" si="18"/>
        <v/>
      </c>
      <c r="Y288" s="3" t="str">
        <f t="shared" si="19"/>
        <v/>
      </c>
      <c r="Z288" s="1" t="str">
        <f t="shared" si="20"/>
        <v/>
      </c>
      <c r="AA288" s="3">
        <f t="shared" si="21"/>
        <v>0.7356659900000011</v>
      </c>
      <c r="AB288" s="3" t="str">
        <f>LOOKUP($A288,Sheet2!$A$1:$B$233)</f>
        <v>South Asia</v>
      </c>
    </row>
    <row r="289" spans="1:28">
      <c r="A289" s="1" t="s">
        <v>179</v>
      </c>
      <c r="B289" s="1">
        <v>2020</v>
      </c>
      <c r="C289" s="1">
        <v>29136.808590000001</v>
      </c>
      <c r="D289" s="1">
        <v>20.57600021</v>
      </c>
      <c r="E289" s="1">
        <v>90.074541789999998</v>
      </c>
      <c r="F289" s="1">
        <v>3.979825725</v>
      </c>
      <c r="G289" s="1">
        <v>4.699081176</v>
      </c>
      <c r="H289" s="1">
        <v>1.246551314</v>
      </c>
      <c r="I289" s="1">
        <v>90.203271650000005</v>
      </c>
      <c r="J289" s="1">
        <v>4.2073482459999996</v>
      </c>
      <c r="K289" s="1">
        <v>4.2690239510000003</v>
      </c>
      <c r="L289" s="1">
        <v>1.320356149</v>
      </c>
      <c r="M289" s="1">
        <v>89.577633160000005</v>
      </c>
      <c r="N289" s="1">
        <v>3.1015814110000002</v>
      </c>
      <c r="O289" s="1">
        <v>6.359123168</v>
      </c>
      <c r="P289" s="1">
        <v>0.96166225849999998</v>
      </c>
      <c r="Q289" s="2" t="str">
        <f t="shared" si="11"/>
        <v/>
      </c>
      <c r="R289" s="1" t="str">
        <f t="shared" si="12"/>
        <v/>
      </c>
      <c r="S289" s="1" t="str">
        <f t="shared" si="13"/>
        <v/>
      </c>
      <c r="T289" s="1" t="str">
        <f t="shared" si="14"/>
        <v/>
      </c>
      <c r="U289" s="1">
        <f t="shared" si="15"/>
        <v>90</v>
      </c>
      <c r="V289" s="3">
        <f t="shared" si="16"/>
        <v>90</v>
      </c>
      <c r="W289" s="3">
        <f t="shared" si="17"/>
        <v>90</v>
      </c>
      <c r="X289" s="3" t="str">
        <f t="shared" si="18"/>
        <v/>
      </c>
      <c r="Y289" s="3" t="str">
        <f t="shared" si="19"/>
        <v/>
      </c>
      <c r="Z289" s="1" t="str">
        <f t="shared" si="20"/>
        <v/>
      </c>
      <c r="AA289" s="3" t="str">
        <f t="shared" si="21"/>
        <v/>
      </c>
      <c r="AB289" s="3" t="str">
        <f>LOOKUP($A289,Sheet2!$A$1:$B$233)</f>
        <v>South Asia</v>
      </c>
    </row>
    <row r="290" spans="1:28">
      <c r="A290" s="1" t="s">
        <v>180</v>
      </c>
      <c r="B290" s="1">
        <v>2015</v>
      </c>
      <c r="C290" s="1">
        <v>16938.492190000001</v>
      </c>
      <c r="D290" s="1">
        <v>90.172996519999998</v>
      </c>
      <c r="E290" s="1">
        <v>99.999998559999995</v>
      </c>
      <c r="F290" s="1">
        <v>0</v>
      </c>
      <c r="G290" s="1">
        <v>1.441336238E-6</v>
      </c>
      <c r="H290" s="1">
        <v>0</v>
      </c>
      <c r="I290" s="1">
        <v>100</v>
      </c>
      <c r="J290" s="1">
        <v>0</v>
      </c>
      <c r="K290" s="1">
        <v>0</v>
      </c>
      <c r="L290" s="1">
        <v>0</v>
      </c>
      <c r="M290" s="1">
        <v>100</v>
      </c>
      <c r="N290" s="1">
        <v>0</v>
      </c>
      <c r="O290" s="1">
        <v>0</v>
      </c>
      <c r="P290" s="1">
        <v>0</v>
      </c>
      <c r="Q290" s="2">
        <f t="shared" si="11"/>
        <v>5</v>
      </c>
      <c r="R290" s="1">
        <f t="shared" si="12"/>
        <v>1.4600000213249588E-7</v>
      </c>
      <c r="S290" s="1">
        <f t="shared" si="13"/>
        <v>0</v>
      </c>
      <c r="T290" s="1">
        <f t="shared" si="14"/>
        <v>0</v>
      </c>
      <c r="U290" s="1">
        <f t="shared" si="15"/>
        <v>100</v>
      </c>
      <c r="V290" s="3">
        <f t="shared" si="16"/>
        <v>100</v>
      </c>
      <c r="W290" s="3">
        <f t="shared" si="17"/>
        <v>100</v>
      </c>
      <c r="X290" s="3" t="str">
        <f t="shared" si="18"/>
        <v>fullaccesss</v>
      </c>
      <c r="Y290" s="3" t="str">
        <f t="shared" si="19"/>
        <v>fullaccesss</v>
      </c>
      <c r="Z290" s="1" t="str">
        <f t="shared" si="20"/>
        <v>fullaccesss</v>
      </c>
      <c r="AA290" s="3">
        <f t="shared" si="21"/>
        <v>0</v>
      </c>
      <c r="AB290" s="3" t="str">
        <f>LOOKUP($A290,Sheet2!$A$1:$B$233)</f>
        <v>Europe &amp; Central Asia</v>
      </c>
    </row>
    <row r="291" spans="1:28">
      <c r="A291" s="1" t="s">
        <v>180</v>
      </c>
      <c r="B291" s="1">
        <v>2020</v>
      </c>
      <c r="C291" s="1">
        <v>17134.873049999998</v>
      </c>
      <c r="D291" s="1">
        <v>92.236000059999995</v>
      </c>
      <c r="E291" s="1">
        <v>99.999999290000005</v>
      </c>
      <c r="F291" s="1">
        <v>0</v>
      </c>
      <c r="G291" s="1">
        <v>7.1240862099999999E-7</v>
      </c>
      <c r="H291" s="1">
        <v>0</v>
      </c>
      <c r="I291" s="1">
        <v>100</v>
      </c>
      <c r="J291" s="1">
        <v>0</v>
      </c>
      <c r="K291" s="1">
        <v>0</v>
      </c>
      <c r="L291" s="1">
        <v>0</v>
      </c>
      <c r="M291" s="1">
        <v>100</v>
      </c>
      <c r="N291" s="1">
        <v>0</v>
      </c>
      <c r="O291" s="1">
        <v>0</v>
      </c>
      <c r="P291" s="1">
        <v>0</v>
      </c>
      <c r="Q291" s="2" t="str">
        <f t="shared" si="11"/>
        <v/>
      </c>
      <c r="R291" s="1" t="str">
        <f t="shared" si="12"/>
        <v/>
      </c>
      <c r="S291" s="1" t="str">
        <f t="shared" si="13"/>
        <v/>
      </c>
      <c r="T291" s="1" t="str">
        <f t="shared" si="14"/>
        <v/>
      </c>
      <c r="U291" s="1">
        <f t="shared" si="15"/>
        <v>100</v>
      </c>
      <c r="V291" s="3">
        <f t="shared" si="16"/>
        <v>100</v>
      </c>
      <c r="W291" s="3">
        <f t="shared" si="17"/>
        <v>100</v>
      </c>
      <c r="X291" s="3" t="str">
        <f t="shared" si="18"/>
        <v/>
      </c>
      <c r="Y291" s="3" t="str">
        <f t="shared" si="19"/>
        <v/>
      </c>
      <c r="Z291" s="1" t="str">
        <f t="shared" si="20"/>
        <v/>
      </c>
      <c r="AA291" s="3" t="str">
        <f t="shared" si="21"/>
        <v/>
      </c>
      <c r="AB291" s="3" t="str">
        <f>LOOKUP($A291,Sheet2!$A$1:$B$233)</f>
        <v>Europe &amp; Central Asia</v>
      </c>
    </row>
    <row r="292" spans="1:28">
      <c r="A292" s="1" t="s">
        <v>181</v>
      </c>
      <c r="B292" s="1">
        <v>2015</v>
      </c>
      <c r="C292" s="1">
        <v>271.06201170000003</v>
      </c>
      <c r="D292" s="1">
        <v>69.379005430000007</v>
      </c>
      <c r="E292" s="1">
        <v>98.138558489999994</v>
      </c>
      <c r="F292" s="1">
        <v>0</v>
      </c>
      <c r="G292" s="1">
        <v>1.861441508</v>
      </c>
      <c r="H292" s="1">
        <v>0</v>
      </c>
      <c r="I292" s="1" t="s">
        <v>272</v>
      </c>
      <c r="J292" s="1" t="s">
        <v>272</v>
      </c>
      <c r="K292" s="1" t="s">
        <v>272</v>
      </c>
      <c r="L292" s="1" t="s">
        <v>272</v>
      </c>
      <c r="M292" s="1" t="s">
        <v>272</v>
      </c>
      <c r="N292" s="1" t="s">
        <v>272</v>
      </c>
      <c r="O292" s="1" t="s">
        <v>272</v>
      </c>
      <c r="P292" s="1" t="s">
        <v>272</v>
      </c>
      <c r="Q292" s="2">
        <f t="shared" si="11"/>
        <v>5</v>
      </c>
      <c r="R292" s="1">
        <f t="shared" si="12"/>
        <v>0.23335241600000245</v>
      </c>
      <c r="S292" s="1" t="str">
        <f t="shared" si="13"/>
        <v>null</v>
      </c>
      <c r="T292" s="1" t="str">
        <f t="shared" si="14"/>
        <v>null</v>
      </c>
      <c r="U292" s="1">
        <f t="shared" si="15"/>
        <v>98</v>
      </c>
      <c r="V292" s="3" t="str">
        <f t="shared" si="16"/>
        <v>null</v>
      </c>
      <c r="W292" s="3" t="str">
        <f t="shared" si="17"/>
        <v>null</v>
      </c>
      <c r="X292" s="3" t="str">
        <f t="shared" si="18"/>
        <v/>
      </c>
      <c r="Y292" s="3" t="str">
        <f t="shared" si="19"/>
        <v/>
      </c>
      <c r="Z292" s="1" t="str">
        <f t="shared" si="20"/>
        <v/>
      </c>
      <c r="AA292" s="3" t="str">
        <f t="shared" si="21"/>
        <v>null</v>
      </c>
      <c r="AB292" s="3" t="str">
        <f>LOOKUP($A292,Sheet2!$A$1:$B$233)</f>
        <v>East Asia &amp; Pacific</v>
      </c>
    </row>
    <row r="293" spans="1:28">
      <c r="A293" s="1" t="s">
        <v>181</v>
      </c>
      <c r="B293" s="1">
        <v>2020</v>
      </c>
      <c r="C293" s="1">
        <v>285.4909973</v>
      </c>
      <c r="D293" s="1">
        <v>71.517997739999998</v>
      </c>
      <c r="E293" s="1">
        <v>99.305320570000006</v>
      </c>
      <c r="F293" s="1">
        <v>0</v>
      </c>
      <c r="G293" s="1">
        <v>0.69467942780000003</v>
      </c>
      <c r="H293" s="1">
        <v>0</v>
      </c>
      <c r="I293" s="1" t="s">
        <v>272</v>
      </c>
      <c r="J293" s="1" t="s">
        <v>272</v>
      </c>
      <c r="K293" s="1" t="s">
        <v>272</v>
      </c>
      <c r="L293" s="1" t="s">
        <v>272</v>
      </c>
      <c r="M293" s="1" t="s">
        <v>272</v>
      </c>
      <c r="N293" s="1" t="s">
        <v>272</v>
      </c>
      <c r="O293" s="1" t="s">
        <v>272</v>
      </c>
      <c r="P293" s="1" t="s">
        <v>272</v>
      </c>
      <c r="Q293" s="2" t="str">
        <f t="shared" si="11"/>
        <v/>
      </c>
      <c r="R293" s="1" t="str">
        <f t="shared" si="12"/>
        <v/>
      </c>
      <c r="S293" s="1" t="str">
        <f t="shared" si="13"/>
        <v/>
      </c>
      <c r="T293" s="1" t="str">
        <f t="shared" si="14"/>
        <v/>
      </c>
      <c r="U293" s="1">
        <f t="shared" si="15"/>
        <v>99</v>
      </c>
      <c r="V293" s="3" t="str">
        <f t="shared" si="16"/>
        <v>null</v>
      </c>
      <c r="W293" s="3" t="str">
        <f t="shared" si="17"/>
        <v>null</v>
      </c>
      <c r="X293" s="3" t="str">
        <f t="shared" si="18"/>
        <v/>
      </c>
      <c r="Y293" s="3" t="str">
        <f t="shared" si="19"/>
        <v/>
      </c>
      <c r="Z293" s="1" t="str">
        <f t="shared" si="20"/>
        <v/>
      </c>
      <c r="AA293" s="3" t="str">
        <f t="shared" si="21"/>
        <v/>
      </c>
      <c r="AB293" s="3" t="str">
        <f>LOOKUP($A293,Sheet2!$A$1:$B$233)</f>
        <v>East Asia &amp; Pacific</v>
      </c>
    </row>
    <row r="294" spans="1:28">
      <c r="A294" s="1" t="s">
        <v>182</v>
      </c>
      <c r="B294" s="1">
        <v>2015</v>
      </c>
      <c r="C294" s="1">
        <v>4614.5268550000001</v>
      </c>
      <c r="D294" s="1">
        <v>86.340995789999994</v>
      </c>
      <c r="E294" s="1">
        <v>99.999997350000001</v>
      </c>
      <c r="F294" s="1">
        <v>0</v>
      </c>
      <c r="G294" s="1">
        <v>2.6453484029999998E-6</v>
      </c>
      <c r="H294" s="1">
        <v>0</v>
      </c>
      <c r="I294" s="1">
        <v>100</v>
      </c>
      <c r="J294" s="1">
        <v>0</v>
      </c>
      <c r="K294" s="1">
        <v>0</v>
      </c>
      <c r="L294" s="1">
        <v>0</v>
      </c>
      <c r="M294" s="1">
        <v>100</v>
      </c>
      <c r="N294" s="1">
        <v>0</v>
      </c>
      <c r="O294" s="1">
        <v>0</v>
      </c>
      <c r="P294" s="1">
        <v>0</v>
      </c>
      <c r="Q294" s="2">
        <f t="shared" si="11"/>
        <v>5</v>
      </c>
      <c r="R294" s="1">
        <f t="shared" si="12"/>
        <v>7.8999999857387589E-7</v>
      </c>
      <c r="S294" s="1">
        <f t="shared" si="13"/>
        <v>0</v>
      </c>
      <c r="T294" s="1">
        <f t="shared" si="14"/>
        <v>0</v>
      </c>
      <c r="U294" s="1">
        <f t="shared" si="15"/>
        <v>100</v>
      </c>
      <c r="V294" s="3">
        <f t="shared" si="16"/>
        <v>100</v>
      </c>
      <c r="W294" s="3">
        <f t="shared" si="17"/>
        <v>100</v>
      </c>
      <c r="X294" s="3" t="str">
        <f t="shared" si="18"/>
        <v>fullaccesss</v>
      </c>
      <c r="Y294" s="3" t="str">
        <f t="shared" si="19"/>
        <v>fullaccesss</v>
      </c>
      <c r="Z294" s="1" t="str">
        <f t="shared" si="20"/>
        <v>fullaccesss</v>
      </c>
      <c r="AA294" s="3">
        <f t="shared" si="21"/>
        <v>0</v>
      </c>
      <c r="AB294" s="3" t="str">
        <f>LOOKUP($A294,Sheet2!$A$1:$B$233)</f>
        <v>East Asia &amp; Pacific</v>
      </c>
    </row>
    <row r="295" spans="1:28">
      <c r="A295" s="1" t="s">
        <v>182</v>
      </c>
      <c r="B295" s="1">
        <v>2020</v>
      </c>
      <c r="C295" s="1">
        <v>4822.2329099999997</v>
      </c>
      <c r="D295" s="1">
        <v>86.698997500000004</v>
      </c>
      <c r="E295" s="1">
        <v>100.00000129999999</v>
      </c>
      <c r="F295" s="1">
        <v>0</v>
      </c>
      <c r="G295" s="1">
        <v>0</v>
      </c>
      <c r="H295" s="1">
        <v>0</v>
      </c>
      <c r="I295" s="1">
        <v>100</v>
      </c>
      <c r="J295" s="1">
        <v>0</v>
      </c>
      <c r="K295" s="1">
        <v>0</v>
      </c>
      <c r="L295" s="1">
        <v>0</v>
      </c>
      <c r="M295" s="1">
        <v>100</v>
      </c>
      <c r="N295" s="1">
        <v>0</v>
      </c>
      <c r="O295" s="1">
        <v>0</v>
      </c>
      <c r="P295" s="1">
        <v>0</v>
      </c>
      <c r="Q295" s="2" t="str">
        <f t="shared" si="11"/>
        <v/>
      </c>
      <c r="R295" s="1" t="str">
        <f t="shared" si="12"/>
        <v/>
      </c>
      <c r="S295" s="1" t="str">
        <f t="shared" si="13"/>
        <v/>
      </c>
      <c r="T295" s="1" t="str">
        <f t="shared" si="14"/>
        <v/>
      </c>
      <c r="U295" s="1">
        <f t="shared" si="15"/>
        <v>100</v>
      </c>
      <c r="V295" s="3">
        <f t="shared" si="16"/>
        <v>100</v>
      </c>
      <c r="W295" s="3">
        <f t="shared" si="17"/>
        <v>100</v>
      </c>
      <c r="X295" s="3" t="str">
        <f t="shared" si="18"/>
        <v/>
      </c>
      <c r="Y295" s="3" t="str">
        <f t="shared" si="19"/>
        <v/>
      </c>
      <c r="Z295" s="1" t="str">
        <f t="shared" si="20"/>
        <v/>
      </c>
      <c r="AA295" s="3" t="str">
        <f t="shared" si="21"/>
        <v/>
      </c>
      <c r="AB295" s="3" t="str">
        <f>LOOKUP($A295,Sheet2!$A$1:$B$233)</f>
        <v>East Asia &amp; Pacific</v>
      </c>
    </row>
    <row r="296" spans="1:28">
      <c r="A296" s="1" t="s">
        <v>183</v>
      </c>
      <c r="B296" s="1">
        <v>2015</v>
      </c>
      <c r="C296" s="1">
        <v>6223.2338870000003</v>
      </c>
      <c r="D296" s="1">
        <v>57.894996640000002</v>
      </c>
      <c r="E296" s="1">
        <v>81.35312854</v>
      </c>
      <c r="F296" s="1">
        <v>1.4259273880000001</v>
      </c>
      <c r="G296" s="1">
        <v>13.835758999999999</v>
      </c>
      <c r="H296" s="1">
        <v>3.3851850699999999</v>
      </c>
      <c r="I296" s="1">
        <v>59.50465784</v>
      </c>
      <c r="J296" s="1">
        <v>3.2389618649999998</v>
      </c>
      <c r="K296" s="1">
        <v>29.55960602</v>
      </c>
      <c r="L296" s="1">
        <v>7.6967742709999998</v>
      </c>
      <c r="M296" s="1">
        <v>97.242754880000007</v>
      </c>
      <c r="N296" s="1">
        <v>0.1073710103</v>
      </c>
      <c r="O296" s="1">
        <v>2.4003566219999999</v>
      </c>
      <c r="P296" s="1">
        <v>0.24951748460000001</v>
      </c>
      <c r="Q296" s="2">
        <f t="shared" si="11"/>
        <v>5</v>
      </c>
      <c r="R296" s="1">
        <f t="shared" si="12"/>
        <v>7.11250519999993E-2</v>
      </c>
      <c r="S296" s="1">
        <f t="shared" si="13"/>
        <v>-7.9442242000000357E-2</v>
      </c>
      <c r="T296" s="1">
        <f t="shared" si="14"/>
        <v>3.2840345999997564E-2</v>
      </c>
      <c r="U296" s="1">
        <f t="shared" si="15"/>
        <v>81</v>
      </c>
      <c r="V296" s="3">
        <f t="shared" si="16"/>
        <v>60</v>
      </c>
      <c r="W296" s="3">
        <f t="shared" si="17"/>
        <v>97</v>
      </c>
      <c r="X296" s="3" t="str">
        <f t="shared" si="18"/>
        <v/>
      </c>
      <c r="Y296" s="3" t="str">
        <f t="shared" si="19"/>
        <v/>
      </c>
      <c r="Z296" s="1" t="str">
        <f t="shared" si="20"/>
        <v/>
      </c>
      <c r="AA296" s="3">
        <f t="shared" si="21"/>
        <v>-0.11228258799999792</v>
      </c>
      <c r="AB296" s="3" t="str">
        <f>LOOKUP($A296,Sheet2!$A$1:$B$233)</f>
        <v>Latin America &amp; Caribbean</v>
      </c>
    </row>
    <row r="297" spans="1:28">
      <c r="A297" s="1" t="s">
        <v>183</v>
      </c>
      <c r="B297" s="1">
        <v>2020</v>
      </c>
      <c r="C297" s="1">
        <v>6624.5541990000002</v>
      </c>
      <c r="D297" s="1">
        <v>59.012001040000001</v>
      </c>
      <c r="E297" s="1">
        <v>81.708753799999997</v>
      </c>
      <c r="F297" s="1">
        <v>1.506645682</v>
      </c>
      <c r="G297" s="1">
        <v>13.530531140000001</v>
      </c>
      <c r="H297" s="1">
        <v>3.2540693780000001</v>
      </c>
      <c r="I297" s="1">
        <v>59.107446629999998</v>
      </c>
      <c r="J297" s="1">
        <v>3.5209742849999999</v>
      </c>
      <c r="K297" s="1">
        <v>29.780173680000001</v>
      </c>
      <c r="L297" s="1">
        <v>7.5914054000000002</v>
      </c>
      <c r="M297" s="1">
        <v>97.406956609999995</v>
      </c>
      <c r="N297" s="1">
        <v>0.10755231429999999</v>
      </c>
      <c r="O297" s="1">
        <v>2.244007656</v>
      </c>
      <c r="P297" s="1">
        <v>0.24148342289999999</v>
      </c>
      <c r="Q297" s="2" t="str">
        <f t="shared" si="11"/>
        <v/>
      </c>
      <c r="R297" s="1" t="str">
        <f t="shared" si="12"/>
        <v/>
      </c>
      <c r="S297" s="1" t="str">
        <f t="shared" si="13"/>
        <v/>
      </c>
      <c r="T297" s="1" t="str">
        <f t="shared" si="14"/>
        <v/>
      </c>
      <c r="U297" s="1">
        <f t="shared" si="15"/>
        <v>82</v>
      </c>
      <c r="V297" s="3">
        <f t="shared" si="16"/>
        <v>59</v>
      </c>
      <c r="W297" s="3">
        <f t="shared" si="17"/>
        <v>97</v>
      </c>
      <c r="X297" s="3" t="str">
        <f t="shared" si="18"/>
        <v/>
      </c>
      <c r="Y297" s="3" t="str">
        <f t="shared" si="19"/>
        <v/>
      </c>
      <c r="Z297" s="1" t="str">
        <f t="shared" si="20"/>
        <v/>
      </c>
      <c r="AA297" s="3" t="str">
        <f t="shared" si="21"/>
        <v/>
      </c>
      <c r="AB297" s="3" t="str">
        <f>LOOKUP($A297,Sheet2!$A$1:$B$233)</f>
        <v>Latin America &amp; Caribbean</v>
      </c>
    </row>
    <row r="298" spans="1:28">
      <c r="A298" s="1" t="s">
        <v>184</v>
      </c>
      <c r="B298" s="1">
        <v>2015</v>
      </c>
      <c r="C298" s="1">
        <v>20001.662110000001</v>
      </c>
      <c r="D298" s="1">
        <v>16.24699974</v>
      </c>
      <c r="E298" s="1">
        <v>45.482458059999999</v>
      </c>
      <c r="F298" s="1">
        <v>16.128836960000001</v>
      </c>
      <c r="G298" s="1">
        <v>34.719560010000002</v>
      </c>
      <c r="H298" s="1">
        <v>3.6691449719999998</v>
      </c>
      <c r="I298" s="1">
        <v>37.329941650000002</v>
      </c>
      <c r="J298" s="1">
        <v>17.64359486</v>
      </c>
      <c r="K298" s="1">
        <v>40.888487750000003</v>
      </c>
      <c r="L298" s="1">
        <v>4.1379757509999999</v>
      </c>
      <c r="M298" s="1">
        <v>87.508539040000002</v>
      </c>
      <c r="N298" s="1">
        <v>8.3202861959999996</v>
      </c>
      <c r="O298" s="1">
        <v>2.918844344</v>
      </c>
      <c r="P298" s="1">
        <v>1.252330425</v>
      </c>
      <c r="Q298" s="2">
        <f t="shared" si="11"/>
        <v>5</v>
      </c>
      <c r="R298" s="1">
        <f t="shared" si="12"/>
        <v>0.28586788200000085</v>
      </c>
      <c r="S298" s="1">
        <f t="shared" si="13"/>
        <v>0.36484353399999919</v>
      </c>
      <c r="T298" s="1">
        <f t="shared" si="14"/>
        <v>-0.33893985600000176</v>
      </c>
      <c r="U298" s="1">
        <f t="shared" si="15"/>
        <v>45</v>
      </c>
      <c r="V298" s="3">
        <f t="shared" si="16"/>
        <v>37</v>
      </c>
      <c r="W298" s="3">
        <f t="shared" si="17"/>
        <v>88</v>
      </c>
      <c r="X298" s="3" t="str">
        <f t="shared" si="18"/>
        <v/>
      </c>
      <c r="Y298" s="3" t="str">
        <f t="shared" si="19"/>
        <v/>
      </c>
      <c r="Z298" s="1" t="str">
        <f t="shared" si="20"/>
        <v/>
      </c>
      <c r="AA298" s="3">
        <f t="shared" si="21"/>
        <v>0.70378339000000101</v>
      </c>
      <c r="AB298" s="3" t="str">
        <f>LOOKUP($A298,Sheet2!$A$1:$B$233)</f>
        <v>Sub-Saharan Africa</v>
      </c>
    </row>
    <row r="299" spans="1:28">
      <c r="A299" s="1" t="s">
        <v>184</v>
      </c>
      <c r="B299" s="1">
        <v>2020</v>
      </c>
      <c r="C299" s="1">
        <v>24206.636719999999</v>
      </c>
      <c r="D299" s="1">
        <v>16.625999449999998</v>
      </c>
      <c r="E299" s="1">
        <v>46.911797470000003</v>
      </c>
      <c r="F299" s="1">
        <v>21.653898699999999</v>
      </c>
      <c r="G299" s="1">
        <v>27.027512439999999</v>
      </c>
      <c r="H299" s="1">
        <v>4.4067913919999997</v>
      </c>
      <c r="I299" s="1">
        <v>39.154159319999998</v>
      </c>
      <c r="J299" s="1">
        <v>23.987740389999999</v>
      </c>
      <c r="K299" s="1">
        <v>31.991506480000002</v>
      </c>
      <c r="L299" s="1">
        <v>4.8665938129999997</v>
      </c>
      <c r="M299" s="1">
        <v>85.813839759999993</v>
      </c>
      <c r="N299" s="1">
        <v>9.9504408289999997</v>
      </c>
      <c r="O299" s="1">
        <v>2.1346877800000001</v>
      </c>
      <c r="P299" s="1">
        <v>2.1010316339999999</v>
      </c>
      <c r="Q299" s="2" t="str">
        <f t="shared" si="11"/>
        <v/>
      </c>
      <c r="R299" s="1" t="str">
        <f t="shared" si="12"/>
        <v/>
      </c>
      <c r="S299" s="1" t="str">
        <f t="shared" si="13"/>
        <v/>
      </c>
      <c r="T299" s="1" t="str">
        <f t="shared" si="14"/>
        <v/>
      </c>
      <c r="U299" s="1">
        <f t="shared" si="15"/>
        <v>47</v>
      </c>
      <c r="V299" s="3">
        <f t="shared" si="16"/>
        <v>39</v>
      </c>
      <c r="W299" s="3">
        <f t="shared" si="17"/>
        <v>86</v>
      </c>
      <c r="X299" s="3" t="str">
        <f t="shared" si="18"/>
        <v/>
      </c>
      <c r="Y299" s="3" t="str">
        <f t="shared" si="19"/>
        <v/>
      </c>
      <c r="Z299" s="1" t="str">
        <f t="shared" si="20"/>
        <v/>
      </c>
      <c r="AA299" s="3" t="str">
        <f t="shared" si="21"/>
        <v/>
      </c>
      <c r="AB299" s="3" t="str">
        <f>LOOKUP($A299,Sheet2!$A$1:$B$233)</f>
        <v>Sub-Saharan Africa</v>
      </c>
    </row>
    <row r="300" spans="1:28">
      <c r="A300" s="1" t="s">
        <v>185</v>
      </c>
      <c r="B300" s="1">
        <v>2015</v>
      </c>
      <c r="C300" s="1">
        <v>181137.45310000001</v>
      </c>
      <c r="D300" s="1">
        <v>47.837997440000002</v>
      </c>
      <c r="E300" s="1">
        <v>68.779755460000004</v>
      </c>
      <c r="F300" s="1">
        <v>6.7135509960000004</v>
      </c>
      <c r="G300" s="1">
        <v>14.733762459999999</v>
      </c>
      <c r="H300" s="1">
        <v>9.7729310859999998</v>
      </c>
      <c r="I300" s="1">
        <v>53.492449000000001</v>
      </c>
      <c r="J300" s="1">
        <v>7.1064402710000003</v>
      </c>
      <c r="K300" s="1">
        <v>23.107160100000002</v>
      </c>
      <c r="L300" s="1">
        <v>16.29395062</v>
      </c>
      <c r="M300" s="1">
        <v>85.448858319999999</v>
      </c>
      <c r="N300" s="1">
        <v>6.2851490559999998</v>
      </c>
      <c r="O300" s="1">
        <v>5.6035061180000003</v>
      </c>
      <c r="P300" s="1">
        <v>2.6624865010000001</v>
      </c>
      <c r="Q300" s="2">
        <f t="shared" si="11"/>
        <v>5</v>
      </c>
      <c r="R300" s="1">
        <f t="shared" si="12"/>
        <v>1.7658595840000004</v>
      </c>
      <c r="S300" s="1">
        <f t="shared" si="13"/>
        <v>1.6331522059999997</v>
      </c>
      <c r="T300" s="1">
        <f t="shared" si="14"/>
        <v>1.381769374000001</v>
      </c>
      <c r="U300" s="1">
        <f t="shared" si="15"/>
        <v>69</v>
      </c>
      <c r="V300" s="3">
        <f t="shared" si="16"/>
        <v>53</v>
      </c>
      <c r="W300" s="3">
        <f t="shared" si="17"/>
        <v>85</v>
      </c>
      <c r="X300" s="3" t="str">
        <f t="shared" si="18"/>
        <v/>
      </c>
      <c r="Y300" s="3" t="str">
        <f t="shared" si="19"/>
        <v/>
      </c>
      <c r="Z300" s="1" t="str">
        <f t="shared" si="20"/>
        <v/>
      </c>
      <c r="AA300" s="3">
        <f t="shared" si="21"/>
        <v>0.25138283199999867</v>
      </c>
      <c r="AB300" s="3" t="str">
        <f>LOOKUP($A300,Sheet2!$A$1:$B$233)</f>
        <v>Sub-Saharan Africa</v>
      </c>
    </row>
    <row r="301" spans="1:28">
      <c r="A301" s="1" t="s">
        <v>185</v>
      </c>
      <c r="B301" s="1">
        <v>2020</v>
      </c>
      <c r="C301" s="1">
        <v>206139.5938</v>
      </c>
      <c r="D301" s="1">
        <v>51.958000179999999</v>
      </c>
      <c r="E301" s="1">
        <v>77.609053380000006</v>
      </c>
      <c r="F301" s="1">
        <v>4.9793993429999999</v>
      </c>
      <c r="G301" s="1">
        <v>11.79691148</v>
      </c>
      <c r="H301" s="1">
        <v>5.6146357939999998</v>
      </c>
      <c r="I301" s="1">
        <v>61.658210029999999</v>
      </c>
      <c r="J301" s="1">
        <v>7.1289245829999999</v>
      </c>
      <c r="K301" s="1">
        <v>20.924875350000001</v>
      </c>
      <c r="L301" s="1">
        <v>10.28799004</v>
      </c>
      <c r="M301" s="1">
        <v>92.357705190000004</v>
      </c>
      <c r="N301" s="1">
        <v>2.9918806500000001</v>
      </c>
      <c r="O301" s="1">
        <v>3.356908786</v>
      </c>
      <c r="P301" s="1">
        <v>1.2935053700000001</v>
      </c>
      <c r="Q301" s="2" t="str">
        <f t="shared" si="11"/>
        <v/>
      </c>
      <c r="R301" s="1" t="str">
        <f t="shared" si="12"/>
        <v/>
      </c>
      <c r="S301" s="1" t="str">
        <f t="shared" si="13"/>
        <v/>
      </c>
      <c r="T301" s="1" t="str">
        <f t="shared" si="14"/>
        <v/>
      </c>
      <c r="U301" s="1">
        <f t="shared" si="15"/>
        <v>78</v>
      </c>
      <c r="V301" s="3">
        <f t="shared" si="16"/>
        <v>62</v>
      </c>
      <c r="W301" s="3">
        <f t="shared" si="17"/>
        <v>92</v>
      </c>
      <c r="X301" s="3" t="str">
        <f t="shared" si="18"/>
        <v/>
      </c>
      <c r="Y301" s="3" t="str">
        <f t="shared" si="19"/>
        <v/>
      </c>
      <c r="Z301" s="1" t="str">
        <f t="shared" si="20"/>
        <v/>
      </c>
      <c r="AA301" s="3" t="str">
        <f t="shared" si="21"/>
        <v/>
      </c>
      <c r="AB301" s="3" t="str">
        <f>LOOKUP($A301,Sheet2!$A$1:$B$233)</f>
        <v>Sub-Saharan Africa</v>
      </c>
    </row>
    <row r="302" spans="1:28">
      <c r="A302" s="1" t="s">
        <v>186</v>
      </c>
      <c r="B302" s="1">
        <v>2015</v>
      </c>
      <c r="C302" s="1">
        <v>1.6100000139999999</v>
      </c>
      <c r="D302" s="1">
        <v>42.568000789999999</v>
      </c>
      <c r="E302" s="1">
        <v>97.606139409999997</v>
      </c>
      <c r="F302" s="1">
        <v>0</v>
      </c>
      <c r="G302" s="1">
        <v>2.393860594</v>
      </c>
      <c r="H302" s="1">
        <v>0</v>
      </c>
      <c r="I302" s="1" t="s">
        <v>272</v>
      </c>
      <c r="J302" s="1" t="s">
        <v>272</v>
      </c>
      <c r="K302" s="1" t="s">
        <v>272</v>
      </c>
      <c r="L302" s="1" t="s">
        <v>272</v>
      </c>
      <c r="M302" s="1" t="s">
        <v>272</v>
      </c>
      <c r="N302" s="1" t="s">
        <v>272</v>
      </c>
      <c r="O302" s="1" t="s">
        <v>272</v>
      </c>
      <c r="P302" s="1" t="s">
        <v>272</v>
      </c>
      <c r="Q302" s="2">
        <f t="shared" si="11"/>
        <v>5</v>
      </c>
      <c r="R302" s="1">
        <f t="shared" si="12"/>
        <v>-0.1190526460000001</v>
      </c>
      <c r="S302" s="1" t="str">
        <f t="shared" si="13"/>
        <v>null</v>
      </c>
      <c r="T302" s="1" t="str">
        <f t="shared" si="14"/>
        <v>null</v>
      </c>
      <c r="U302" s="1">
        <f t="shared" si="15"/>
        <v>98</v>
      </c>
      <c r="V302" s="3" t="str">
        <f t="shared" si="16"/>
        <v>null</v>
      </c>
      <c r="W302" s="3" t="str">
        <f t="shared" si="17"/>
        <v>null</v>
      </c>
      <c r="X302" s="3" t="str">
        <f t="shared" si="18"/>
        <v/>
      </c>
      <c r="Y302" s="3" t="str">
        <f t="shared" si="19"/>
        <v/>
      </c>
      <c r="Z302" s="1" t="str">
        <f t="shared" si="20"/>
        <v/>
      </c>
      <c r="AA302" s="3" t="str">
        <f t="shared" si="21"/>
        <v>null</v>
      </c>
      <c r="AB302" s="3" t="str">
        <f>LOOKUP($A302,Sheet2!$A$1:$B$233)</f>
        <v>East Asia &amp; Pacific</v>
      </c>
    </row>
    <row r="303" spans="1:28">
      <c r="A303" s="1" t="s">
        <v>186</v>
      </c>
      <c r="B303" s="1">
        <v>2020</v>
      </c>
      <c r="C303" s="1">
        <v>1.618000031</v>
      </c>
      <c r="D303" s="1">
        <v>46.202003480000002</v>
      </c>
      <c r="E303" s="1">
        <v>97.010876179999997</v>
      </c>
      <c r="F303" s="1">
        <v>0</v>
      </c>
      <c r="G303" s="1">
        <v>2.9891238219999998</v>
      </c>
      <c r="H303" s="1">
        <v>0</v>
      </c>
      <c r="I303" s="1" t="s">
        <v>272</v>
      </c>
      <c r="J303" s="1" t="s">
        <v>272</v>
      </c>
      <c r="K303" s="1" t="s">
        <v>272</v>
      </c>
      <c r="L303" s="1" t="s">
        <v>272</v>
      </c>
      <c r="M303" s="1" t="s">
        <v>272</v>
      </c>
      <c r="N303" s="1" t="s">
        <v>272</v>
      </c>
      <c r="O303" s="1" t="s">
        <v>272</v>
      </c>
      <c r="P303" s="1" t="s">
        <v>272</v>
      </c>
      <c r="Q303" s="2" t="str">
        <f t="shared" si="11"/>
        <v/>
      </c>
      <c r="R303" s="1" t="str">
        <f t="shared" si="12"/>
        <v/>
      </c>
      <c r="S303" s="1" t="str">
        <f t="shared" si="13"/>
        <v/>
      </c>
      <c r="T303" s="1" t="str">
        <f t="shared" si="14"/>
        <v/>
      </c>
      <c r="U303" s="1">
        <f t="shared" si="15"/>
        <v>97</v>
      </c>
      <c r="V303" s="3" t="str">
        <f t="shared" si="16"/>
        <v>null</v>
      </c>
      <c r="W303" s="3" t="str">
        <f t="shared" si="17"/>
        <v>null</v>
      </c>
      <c r="X303" s="3" t="str">
        <f t="shared" si="18"/>
        <v/>
      </c>
      <c r="Y303" s="3" t="str">
        <f t="shared" si="19"/>
        <v/>
      </c>
      <c r="Z303" s="1" t="str">
        <f t="shared" si="20"/>
        <v/>
      </c>
      <c r="AA303" s="3" t="str">
        <f t="shared" si="21"/>
        <v/>
      </c>
      <c r="AB303" s="3" t="str">
        <f>LOOKUP($A303,Sheet2!$A$1:$B$233)</f>
        <v>East Asia &amp; Pacific</v>
      </c>
    </row>
    <row r="304" spans="1:28">
      <c r="A304" s="1" t="s">
        <v>187</v>
      </c>
      <c r="B304" s="1">
        <v>2015</v>
      </c>
      <c r="C304" s="1">
        <v>2079.334961</v>
      </c>
      <c r="D304" s="1">
        <v>57.407997129999998</v>
      </c>
      <c r="E304" s="1">
        <v>97.472332829999999</v>
      </c>
      <c r="F304" s="1">
        <v>1.8859917129999999</v>
      </c>
      <c r="G304" s="1">
        <v>0.59247317450000003</v>
      </c>
      <c r="H304" s="1">
        <v>4.9202279760000002E-2</v>
      </c>
      <c r="I304" s="1">
        <v>97.633233129999994</v>
      </c>
      <c r="J304" s="1">
        <v>1.2224645000000001</v>
      </c>
      <c r="K304" s="1">
        <v>1.0287823730000001</v>
      </c>
      <c r="L304" s="1">
        <v>0.11552</v>
      </c>
      <c r="M304" s="1">
        <v>97.352958079999993</v>
      </c>
      <c r="N304" s="1">
        <v>2.37827419</v>
      </c>
      <c r="O304" s="1">
        <v>0.2687677275</v>
      </c>
      <c r="P304" s="1">
        <v>0</v>
      </c>
      <c r="Q304" s="2">
        <f t="shared" si="11"/>
        <v>5</v>
      </c>
      <c r="R304" s="1">
        <f t="shared" si="12"/>
        <v>5.4096591999999076E-2</v>
      </c>
      <c r="S304" s="1">
        <f t="shared" si="13"/>
        <v>-3.2903711999998107E-2</v>
      </c>
      <c r="T304" s="1">
        <f t="shared" si="14"/>
        <v>0.11688898200000039</v>
      </c>
      <c r="U304" s="1">
        <f t="shared" si="15"/>
        <v>97</v>
      </c>
      <c r="V304" s="3">
        <f t="shared" si="16"/>
        <v>98</v>
      </c>
      <c r="W304" s="3">
        <f t="shared" si="17"/>
        <v>97</v>
      </c>
      <c r="X304" s="3" t="str">
        <f t="shared" si="18"/>
        <v/>
      </c>
      <c r="Y304" s="3" t="str">
        <f t="shared" si="19"/>
        <v/>
      </c>
      <c r="Z304" s="1" t="str">
        <f t="shared" si="20"/>
        <v/>
      </c>
      <c r="AA304" s="3">
        <f t="shared" si="21"/>
        <v>-0.14979269399999851</v>
      </c>
      <c r="AB304" s="3" t="str">
        <f>LOOKUP($A304,Sheet2!$A$1:$B$233)</f>
        <v>Europe &amp; Central Asia</v>
      </c>
    </row>
    <row r="305" spans="1:28">
      <c r="A305" s="1" t="s">
        <v>187</v>
      </c>
      <c r="B305" s="1">
        <v>2020</v>
      </c>
      <c r="C305" s="1">
        <v>2083.3798830000001</v>
      </c>
      <c r="D305" s="1">
        <v>58.481998439999998</v>
      </c>
      <c r="E305" s="1">
        <v>97.742815789999995</v>
      </c>
      <c r="F305" s="1">
        <v>1.6349941400000001</v>
      </c>
      <c r="G305" s="1">
        <v>0.57422847619999995</v>
      </c>
      <c r="H305" s="1">
        <v>4.796159706E-2</v>
      </c>
      <c r="I305" s="1">
        <v>97.468714570000003</v>
      </c>
      <c r="J305" s="1">
        <v>1.505202232</v>
      </c>
      <c r="K305" s="1">
        <v>0.91056319819999998</v>
      </c>
      <c r="L305" s="1">
        <v>0.11552</v>
      </c>
      <c r="M305" s="1">
        <v>97.937402989999995</v>
      </c>
      <c r="N305" s="1">
        <v>1.7271369539999999</v>
      </c>
      <c r="O305" s="1">
        <v>0.33546005629999998</v>
      </c>
      <c r="P305" s="1">
        <v>0</v>
      </c>
      <c r="Q305" s="2" t="str">
        <f t="shared" si="11"/>
        <v/>
      </c>
      <c r="R305" s="1" t="str">
        <f t="shared" si="12"/>
        <v/>
      </c>
      <c r="S305" s="1" t="str">
        <f t="shared" si="13"/>
        <v/>
      </c>
      <c r="T305" s="1" t="str">
        <f t="shared" si="14"/>
        <v/>
      </c>
      <c r="U305" s="1">
        <f t="shared" si="15"/>
        <v>98</v>
      </c>
      <c r="V305" s="3">
        <f t="shared" si="16"/>
        <v>97</v>
      </c>
      <c r="W305" s="3">
        <f t="shared" si="17"/>
        <v>98</v>
      </c>
      <c r="X305" s="3" t="str">
        <f t="shared" si="18"/>
        <v/>
      </c>
      <c r="Y305" s="3" t="str">
        <f t="shared" si="19"/>
        <v/>
      </c>
      <c r="Z305" s="1" t="str">
        <f t="shared" si="20"/>
        <v/>
      </c>
      <c r="AA305" s="3" t="str">
        <f t="shared" si="21"/>
        <v/>
      </c>
      <c r="AB305" s="3" t="str">
        <f>LOOKUP($A305,Sheet2!$A$1:$B$233)</f>
        <v>Europe &amp; Central Asia</v>
      </c>
    </row>
    <row r="306" spans="1:28">
      <c r="A306" s="1" t="s">
        <v>188</v>
      </c>
      <c r="B306" s="1">
        <v>2015</v>
      </c>
      <c r="C306" s="1">
        <v>55.778999329999998</v>
      </c>
      <c r="D306" s="1">
        <v>91.356994630000003</v>
      </c>
      <c r="E306" s="1">
        <v>99.980183389999993</v>
      </c>
      <c r="F306" s="1">
        <v>0</v>
      </c>
      <c r="G306" s="1">
        <v>1.9816611519999999E-2</v>
      </c>
      <c r="H306" s="1">
        <v>0</v>
      </c>
      <c r="I306" s="1" t="s">
        <v>272</v>
      </c>
      <c r="J306" s="1" t="s">
        <v>272</v>
      </c>
      <c r="K306" s="1" t="s">
        <v>272</v>
      </c>
      <c r="L306" s="1" t="s">
        <v>272</v>
      </c>
      <c r="M306" s="1" t="s">
        <v>272</v>
      </c>
      <c r="N306" s="1" t="s">
        <v>272</v>
      </c>
      <c r="O306" s="1" t="s">
        <v>272</v>
      </c>
      <c r="P306" s="1" t="s">
        <v>272</v>
      </c>
      <c r="Q306" s="2">
        <f t="shared" si="11"/>
        <v>5</v>
      </c>
      <c r="R306" s="1">
        <f t="shared" si="12"/>
        <v>3.9633220000013123E-3</v>
      </c>
      <c r="S306" s="1" t="str">
        <f t="shared" si="13"/>
        <v>null</v>
      </c>
      <c r="T306" s="1" t="str">
        <f t="shared" si="14"/>
        <v>null</v>
      </c>
      <c r="U306" s="1">
        <f t="shared" si="15"/>
        <v>100</v>
      </c>
      <c r="V306" s="3" t="str">
        <f t="shared" si="16"/>
        <v>null</v>
      </c>
      <c r="W306" s="3" t="str">
        <f t="shared" si="17"/>
        <v>null</v>
      </c>
      <c r="X306" s="3" t="str">
        <f t="shared" si="18"/>
        <v>fullaccesss</v>
      </c>
      <c r="Y306" s="3" t="str">
        <f t="shared" si="19"/>
        <v/>
      </c>
      <c r="Z306" s="1" t="str">
        <f t="shared" si="20"/>
        <v/>
      </c>
      <c r="AA306" s="3" t="str">
        <f t="shared" si="21"/>
        <v>null</v>
      </c>
      <c r="AB306" s="3" t="str">
        <f>LOOKUP($A306,Sheet2!$A$1:$B$233)</f>
        <v>East Asia &amp; Pacific</v>
      </c>
    </row>
    <row r="307" spans="1:28">
      <c r="A307" s="1" t="s">
        <v>188</v>
      </c>
      <c r="B307" s="1">
        <v>2020</v>
      </c>
      <c r="C307" s="1">
        <v>57.556999210000001</v>
      </c>
      <c r="D307" s="1">
        <v>91.797996519999998</v>
      </c>
      <c r="E307" s="1">
        <v>100</v>
      </c>
      <c r="F307" s="1">
        <v>0</v>
      </c>
      <c r="G307" s="1">
        <v>0</v>
      </c>
      <c r="H307" s="1">
        <v>0</v>
      </c>
      <c r="I307" s="1" t="s">
        <v>272</v>
      </c>
      <c r="J307" s="1" t="s">
        <v>272</v>
      </c>
      <c r="K307" s="1" t="s">
        <v>272</v>
      </c>
      <c r="L307" s="1" t="s">
        <v>272</v>
      </c>
      <c r="M307" s="1" t="s">
        <v>272</v>
      </c>
      <c r="N307" s="1" t="s">
        <v>272</v>
      </c>
      <c r="O307" s="1" t="s">
        <v>272</v>
      </c>
      <c r="P307" s="1" t="s">
        <v>272</v>
      </c>
      <c r="Q307" s="2" t="str">
        <f t="shared" si="11"/>
        <v/>
      </c>
      <c r="R307" s="1" t="str">
        <f t="shared" si="12"/>
        <v/>
      </c>
      <c r="S307" s="1" t="str">
        <f t="shared" si="13"/>
        <v/>
      </c>
      <c r="T307" s="1" t="str">
        <f t="shared" si="14"/>
        <v/>
      </c>
      <c r="U307" s="1">
        <f t="shared" si="15"/>
        <v>100</v>
      </c>
      <c r="V307" s="3" t="str">
        <f t="shared" si="16"/>
        <v>null</v>
      </c>
      <c r="W307" s="3" t="str">
        <f t="shared" si="17"/>
        <v>null</v>
      </c>
      <c r="X307" s="3" t="str">
        <f t="shared" si="18"/>
        <v/>
      </c>
      <c r="Y307" s="3" t="str">
        <f t="shared" si="19"/>
        <v/>
      </c>
      <c r="Z307" s="1" t="str">
        <f t="shared" si="20"/>
        <v/>
      </c>
      <c r="AA307" s="3" t="str">
        <f t="shared" si="21"/>
        <v/>
      </c>
      <c r="AB307" s="3" t="str">
        <f>LOOKUP($A307,Sheet2!$A$1:$B$233)</f>
        <v>East Asia &amp; Pacific</v>
      </c>
    </row>
    <row r="308" spans="1:28">
      <c r="A308" s="1" t="s">
        <v>189</v>
      </c>
      <c r="B308" s="1">
        <v>2015</v>
      </c>
      <c r="C308" s="1">
        <v>5199.8271480000003</v>
      </c>
      <c r="D308" s="1">
        <v>81.090995789999994</v>
      </c>
      <c r="E308" s="1">
        <v>100.0000012</v>
      </c>
      <c r="F308" s="1">
        <v>0</v>
      </c>
      <c r="G308" s="1">
        <v>0</v>
      </c>
      <c r="H308" s="1">
        <v>0</v>
      </c>
      <c r="I308" s="1">
        <v>100</v>
      </c>
      <c r="J308" s="1">
        <v>0</v>
      </c>
      <c r="K308" s="1">
        <v>0</v>
      </c>
      <c r="L308" s="1">
        <v>0</v>
      </c>
      <c r="M308" s="1">
        <v>100</v>
      </c>
      <c r="N308" s="1">
        <v>0</v>
      </c>
      <c r="O308" s="1">
        <v>0</v>
      </c>
      <c r="P308" s="1">
        <v>0</v>
      </c>
      <c r="Q308" s="2">
        <f t="shared" si="11"/>
        <v>5</v>
      </c>
      <c r="R308" s="1">
        <f t="shared" si="12"/>
        <v>-1.1400000005323819E-6</v>
      </c>
      <c r="S308" s="1">
        <f t="shared" si="13"/>
        <v>0</v>
      </c>
      <c r="T308" s="1">
        <f t="shared" si="14"/>
        <v>0</v>
      </c>
      <c r="U308" s="1">
        <f t="shared" si="15"/>
        <v>100</v>
      </c>
      <c r="V308" s="3">
        <f t="shared" si="16"/>
        <v>100</v>
      </c>
      <c r="W308" s="3">
        <f t="shared" si="17"/>
        <v>100</v>
      </c>
      <c r="X308" s="3" t="str">
        <f t="shared" si="18"/>
        <v>fullaccesss</v>
      </c>
      <c r="Y308" s="3" t="str">
        <f t="shared" si="19"/>
        <v>fullaccesss</v>
      </c>
      <c r="Z308" s="1" t="str">
        <f t="shared" si="20"/>
        <v>fullaccesss</v>
      </c>
      <c r="AA308" s="3">
        <f t="shared" si="21"/>
        <v>0</v>
      </c>
      <c r="AB308" s="3" t="str">
        <f>LOOKUP($A308,Sheet2!$A$1:$B$233)</f>
        <v>Europe &amp; Central Asia</v>
      </c>
    </row>
    <row r="309" spans="1:28">
      <c r="A309" s="1" t="s">
        <v>189</v>
      </c>
      <c r="B309" s="1">
        <v>2020</v>
      </c>
      <c r="C309" s="1">
        <v>5421.2421880000002</v>
      </c>
      <c r="D309" s="1">
        <v>82.973991389999995</v>
      </c>
      <c r="E309" s="1">
        <v>99.999995499999997</v>
      </c>
      <c r="F309" s="1">
        <v>0</v>
      </c>
      <c r="G309" s="1">
        <v>4.5034074529999998E-6</v>
      </c>
      <c r="H309" s="1">
        <v>0</v>
      </c>
      <c r="I309" s="1">
        <v>100</v>
      </c>
      <c r="J309" s="1">
        <v>0</v>
      </c>
      <c r="K309" s="1">
        <v>0</v>
      </c>
      <c r="L309" s="1">
        <v>0</v>
      </c>
      <c r="M309" s="1">
        <v>100</v>
      </c>
      <c r="N309" s="1">
        <v>0</v>
      </c>
      <c r="O309" s="1">
        <v>0</v>
      </c>
      <c r="P309" s="1">
        <v>0</v>
      </c>
      <c r="Q309" s="2" t="str">
        <f t="shared" si="11"/>
        <v/>
      </c>
      <c r="R309" s="1" t="str">
        <f t="shared" si="12"/>
        <v/>
      </c>
      <c r="S309" s="1" t="str">
        <f t="shared" si="13"/>
        <v/>
      </c>
      <c r="T309" s="1" t="str">
        <f t="shared" si="14"/>
        <v/>
      </c>
      <c r="U309" s="1">
        <f t="shared" si="15"/>
        <v>100</v>
      </c>
      <c r="V309" s="3">
        <f t="shared" si="16"/>
        <v>100</v>
      </c>
      <c r="W309" s="3">
        <f t="shared" si="17"/>
        <v>100</v>
      </c>
      <c r="X309" s="3" t="str">
        <f t="shared" si="18"/>
        <v/>
      </c>
      <c r="Y309" s="3" t="str">
        <f t="shared" si="19"/>
        <v/>
      </c>
      <c r="Z309" s="1" t="str">
        <f t="shared" si="20"/>
        <v/>
      </c>
      <c r="AA309" s="3" t="str">
        <f t="shared" si="21"/>
        <v/>
      </c>
      <c r="AB309" s="3" t="str">
        <f>LOOKUP($A309,Sheet2!$A$1:$B$233)</f>
        <v>Europe &amp; Central Asia</v>
      </c>
    </row>
    <row r="310" spans="1:28">
      <c r="A310" s="1" t="s">
        <v>190</v>
      </c>
      <c r="B310" s="1">
        <v>2015</v>
      </c>
      <c r="C310" s="1">
        <v>4267.3408200000003</v>
      </c>
      <c r="D310" s="1">
        <v>81.349998470000003</v>
      </c>
      <c r="E310" s="1">
        <v>90.238485639999993</v>
      </c>
      <c r="F310" s="1">
        <v>8.2088027879999999</v>
      </c>
      <c r="G310" s="1">
        <v>1.473142599</v>
      </c>
      <c r="H310" s="1">
        <v>7.9568975099999995E-2</v>
      </c>
      <c r="I310" s="1">
        <v>74.366908460000005</v>
      </c>
      <c r="J310" s="1">
        <v>21.097672360000001</v>
      </c>
      <c r="K310" s="1">
        <v>4.3867318319999997</v>
      </c>
      <c r="L310" s="1">
        <v>0.14868735080000001</v>
      </c>
      <c r="M310" s="1">
        <v>93.877145080000005</v>
      </c>
      <c r="N310" s="1">
        <v>5.2539479289999997</v>
      </c>
      <c r="O310" s="1">
        <v>0.80518384210000005</v>
      </c>
      <c r="P310" s="1">
        <v>6.3723150359999994E-2</v>
      </c>
      <c r="Q310" s="2">
        <f t="shared" si="11"/>
        <v>5</v>
      </c>
      <c r="R310" s="1">
        <f t="shared" si="12"/>
        <v>0.38590781000000052</v>
      </c>
      <c r="S310" s="1">
        <f t="shared" si="13"/>
        <v>0.37677429000000018</v>
      </c>
      <c r="T310" s="1">
        <f t="shared" si="14"/>
        <v>0.1645709839999995</v>
      </c>
      <c r="U310" s="1">
        <f t="shared" si="15"/>
        <v>90</v>
      </c>
      <c r="V310" s="3">
        <f t="shared" si="16"/>
        <v>74</v>
      </c>
      <c r="W310" s="3">
        <f t="shared" si="17"/>
        <v>94</v>
      </c>
      <c r="X310" s="3" t="str">
        <f t="shared" si="18"/>
        <v/>
      </c>
      <c r="Y310" s="3" t="str">
        <f t="shared" si="19"/>
        <v/>
      </c>
      <c r="Z310" s="1" t="str">
        <f t="shared" si="20"/>
        <v/>
      </c>
      <c r="AA310" s="3">
        <f t="shared" si="21"/>
        <v>0.21220330600000067</v>
      </c>
      <c r="AB310" s="3" t="str">
        <f>LOOKUP($A310,Sheet2!$A$1:$B$233)</f>
        <v>Middle East &amp; North Africa</v>
      </c>
    </row>
    <row r="311" spans="1:28">
      <c r="A311" s="1" t="s">
        <v>190</v>
      </c>
      <c r="B311" s="1">
        <v>2020</v>
      </c>
      <c r="C311" s="1">
        <v>5106.6220700000003</v>
      </c>
      <c r="D311" s="1">
        <v>86.275993349999993</v>
      </c>
      <c r="E311" s="1">
        <v>92.168024689999996</v>
      </c>
      <c r="F311" s="1">
        <v>7.5414198929999996</v>
      </c>
      <c r="G311" s="1">
        <v>0.26040520360000002</v>
      </c>
      <c r="H311" s="1">
        <v>3.0150217449999999E-2</v>
      </c>
      <c r="I311" s="1">
        <v>76.250779910000006</v>
      </c>
      <c r="J311" s="1">
        <v>21.632121130000002</v>
      </c>
      <c r="K311" s="1">
        <v>1.897409218</v>
      </c>
      <c r="L311" s="1">
        <v>0.21968973750000001</v>
      </c>
      <c r="M311" s="1">
        <v>94.7</v>
      </c>
      <c r="N311" s="1">
        <v>5.3</v>
      </c>
      <c r="O311" s="1">
        <v>0</v>
      </c>
      <c r="P311" s="1">
        <v>0</v>
      </c>
      <c r="Q311" s="2" t="str">
        <f t="shared" si="11"/>
        <v/>
      </c>
      <c r="R311" s="1" t="str">
        <f t="shared" si="12"/>
        <v/>
      </c>
      <c r="S311" s="1" t="str">
        <f t="shared" si="13"/>
        <v/>
      </c>
      <c r="T311" s="1" t="str">
        <f t="shared" si="14"/>
        <v/>
      </c>
      <c r="U311" s="1">
        <f t="shared" si="15"/>
        <v>92</v>
      </c>
      <c r="V311" s="3">
        <f t="shared" si="16"/>
        <v>76</v>
      </c>
      <c r="W311" s="3">
        <f t="shared" si="17"/>
        <v>95</v>
      </c>
      <c r="X311" s="3" t="str">
        <f t="shared" si="18"/>
        <v/>
      </c>
      <c r="Y311" s="3" t="str">
        <f t="shared" si="19"/>
        <v/>
      </c>
      <c r="Z311" s="1" t="str">
        <f t="shared" si="20"/>
        <v/>
      </c>
      <c r="AA311" s="3" t="str">
        <f t="shared" si="21"/>
        <v/>
      </c>
      <c r="AB311" s="3" t="str">
        <f>LOOKUP($A311,Sheet2!$A$1:$B$233)</f>
        <v>Middle East &amp; North Africa</v>
      </c>
    </row>
    <row r="312" spans="1:28">
      <c r="A312" s="1" t="s">
        <v>191</v>
      </c>
      <c r="B312" s="1">
        <v>2015</v>
      </c>
      <c r="C312" s="1">
        <v>199426.95310000001</v>
      </c>
      <c r="D312" s="1">
        <v>36.026000979999999</v>
      </c>
      <c r="E312" s="1">
        <v>89.454982340000001</v>
      </c>
      <c r="F312" s="1">
        <v>3.6559530200000001</v>
      </c>
      <c r="G312" s="1">
        <v>4.4216911899999998</v>
      </c>
      <c r="H312" s="1">
        <v>2.4673734469999999</v>
      </c>
      <c r="I312" s="1">
        <v>87.15095676</v>
      </c>
      <c r="J312" s="1">
        <v>3.9565638390000002</v>
      </c>
      <c r="K312" s="1">
        <v>5.2364128790000004</v>
      </c>
      <c r="L312" s="1">
        <v>3.6560665229999998</v>
      </c>
      <c r="M312" s="1">
        <v>93.546408839999998</v>
      </c>
      <c r="N312" s="1">
        <v>3.1221364330000001</v>
      </c>
      <c r="O312" s="1">
        <v>2.9749303889999998</v>
      </c>
      <c r="P312" s="1">
        <v>0.35652434</v>
      </c>
      <c r="Q312" s="2">
        <f t="shared" si="11"/>
        <v>5</v>
      </c>
      <c r="R312" s="1">
        <f t="shared" si="12"/>
        <v>0.13879654799999913</v>
      </c>
      <c r="S312" s="1">
        <f t="shared" si="13"/>
        <v>0.28978079999999978</v>
      </c>
      <c r="T312" s="1">
        <f t="shared" si="14"/>
        <v>-0.15567179800000019</v>
      </c>
      <c r="U312" s="1">
        <f t="shared" si="15"/>
        <v>89</v>
      </c>
      <c r="V312" s="3">
        <f t="shared" si="16"/>
        <v>87</v>
      </c>
      <c r="W312" s="3">
        <f t="shared" si="17"/>
        <v>94</v>
      </c>
      <c r="X312" s="3" t="str">
        <f t="shared" si="18"/>
        <v/>
      </c>
      <c r="Y312" s="3" t="str">
        <f t="shared" si="19"/>
        <v/>
      </c>
      <c r="Z312" s="1" t="str">
        <f t="shared" si="20"/>
        <v/>
      </c>
      <c r="AA312" s="3">
        <f t="shared" si="21"/>
        <v>0.44545259799999998</v>
      </c>
      <c r="AB312" s="3" t="str">
        <f>LOOKUP($A312,Sheet2!$A$1:$B$233)</f>
        <v>South Asia</v>
      </c>
    </row>
    <row r="313" spans="1:28">
      <c r="A313" s="1" t="s">
        <v>191</v>
      </c>
      <c r="B313" s="1">
        <v>2020</v>
      </c>
      <c r="C313" s="1">
        <v>220892.32810000001</v>
      </c>
      <c r="D313" s="1">
        <v>37.165000919999997</v>
      </c>
      <c r="E313" s="1">
        <v>90.148965079999996</v>
      </c>
      <c r="F313" s="1">
        <v>3.8222795249999999</v>
      </c>
      <c r="G313" s="1">
        <v>4.4133075740000001</v>
      </c>
      <c r="H313" s="1">
        <v>1.61544782</v>
      </c>
      <c r="I313" s="1">
        <v>88.599860759999999</v>
      </c>
      <c r="J313" s="1">
        <v>3.852278117</v>
      </c>
      <c r="K313" s="1">
        <v>5.1745965089999997</v>
      </c>
      <c r="L313" s="1">
        <v>2.3732646169999998</v>
      </c>
      <c r="M313" s="1">
        <v>92.768049849999997</v>
      </c>
      <c r="N313" s="1">
        <v>3.7715611619999998</v>
      </c>
      <c r="O313" s="1">
        <v>3.126184571</v>
      </c>
      <c r="P313" s="1">
        <v>0.33420442230000003</v>
      </c>
      <c r="Q313" s="2" t="str">
        <f t="shared" si="11"/>
        <v/>
      </c>
      <c r="R313" s="1" t="str">
        <f t="shared" si="12"/>
        <v/>
      </c>
      <c r="S313" s="1" t="str">
        <f t="shared" si="13"/>
        <v/>
      </c>
      <c r="T313" s="1" t="str">
        <f t="shared" si="14"/>
        <v/>
      </c>
      <c r="U313" s="1">
        <f t="shared" si="15"/>
        <v>90</v>
      </c>
      <c r="V313" s="3">
        <f t="shared" si="16"/>
        <v>89</v>
      </c>
      <c r="W313" s="3">
        <f t="shared" si="17"/>
        <v>93</v>
      </c>
      <c r="X313" s="3" t="str">
        <f t="shared" si="18"/>
        <v/>
      </c>
      <c r="Y313" s="3" t="str">
        <f t="shared" si="19"/>
        <v/>
      </c>
      <c r="Z313" s="1" t="str">
        <f t="shared" si="20"/>
        <v/>
      </c>
      <c r="AA313" s="3" t="str">
        <f t="shared" si="21"/>
        <v/>
      </c>
      <c r="AB313" s="3" t="str">
        <f>LOOKUP($A313,Sheet2!$A$1:$B$233)</f>
        <v>South Asia</v>
      </c>
    </row>
    <row r="314" spans="1:28">
      <c r="A314" s="1" t="s">
        <v>192</v>
      </c>
      <c r="B314" s="1">
        <v>2015</v>
      </c>
      <c r="C314" s="1">
        <v>17.665000920000001</v>
      </c>
      <c r="D314" s="1">
        <v>78.158996579999993</v>
      </c>
      <c r="E314" s="1">
        <v>99.630150850000007</v>
      </c>
      <c r="F314" s="1">
        <v>0</v>
      </c>
      <c r="G314" s="1">
        <v>0.36984914990000001</v>
      </c>
      <c r="H314" s="1">
        <v>0</v>
      </c>
      <c r="I314" s="1">
        <v>99.61387148</v>
      </c>
      <c r="J314" s="1">
        <v>0</v>
      </c>
      <c r="K314" s="1">
        <v>0.38612851729999997</v>
      </c>
      <c r="L314" s="1">
        <v>0</v>
      </c>
      <c r="M314" s="1">
        <v>99.634701730000003</v>
      </c>
      <c r="N314" s="1">
        <v>0</v>
      </c>
      <c r="O314" s="1">
        <v>0.36529827059999997</v>
      </c>
      <c r="P314" s="1">
        <v>0</v>
      </c>
      <c r="Q314" s="2">
        <f t="shared" si="11"/>
        <v>5</v>
      </c>
      <c r="R314" s="1">
        <f t="shared" si="12"/>
        <v>5.4789299999981724E-3</v>
      </c>
      <c r="S314" s="1">
        <f t="shared" si="13"/>
        <v>2.8622709999999073E-2</v>
      </c>
      <c r="T314" s="1">
        <f t="shared" si="14"/>
        <v>-9.9948000001859325E-5</v>
      </c>
      <c r="U314" s="1">
        <f t="shared" si="15"/>
        <v>100</v>
      </c>
      <c r="V314" s="3">
        <f t="shared" si="16"/>
        <v>100</v>
      </c>
      <c r="W314" s="3">
        <f t="shared" si="17"/>
        <v>100</v>
      </c>
      <c r="X314" s="3" t="str">
        <f t="shared" si="18"/>
        <v>fullaccesss</v>
      </c>
      <c r="Y314" s="3" t="str">
        <f t="shared" si="19"/>
        <v>fullaccesss</v>
      </c>
      <c r="Z314" s="1" t="str">
        <f t="shared" si="20"/>
        <v>fullaccesss</v>
      </c>
      <c r="AA314" s="3">
        <f t="shared" si="21"/>
        <v>2.8722658000000931E-2</v>
      </c>
      <c r="AB314" s="3" t="str">
        <f>LOOKUP($A314,Sheet2!$A$1:$B$233)</f>
        <v>East Asia &amp; Pacific</v>
      </c>
    </row>
    <row r="315" spans="1:28">
      <c r="A315" s="1" t="s">
        <v>192</v>
      </c>
      <c r="B315" s="1">
        <v>2020</v>
      </c>
      <c r="C315" s="1">
        <v>18.091999049999998</v>
      </c>
      <c r="D315" s="1">
        <v>80.987998959999999</v>
      </c>
      <c r="E315" s="1">
        <v>99.657545499999998</v>
      </c>
      <c r="F315" s="1">
        <v>0</v>
      </c>
      <c r="G315" s="1">
        <v>0.34245449839999997</v>
      </c>
      <c r="H315" s="1">
        <v>0</v>
      </c>
      <c r="I315" s="1">
        <v>99.756985029999996</v>
      </c>
      <c r="J315" s="1">
        <v>0</v>
      </c>
      <c r="K315" s="1">
        <v>0.2430149677</v>
      </c>
      <c r="L315" s="1">
        <v>0</v>
      </c>
      <c r="M315" s="1">
        <v>99.634201989999994</v>
      </c>
      <c r="N315" s="1">
        <v>0</v>
      </c>
      <c r="O315" s="1">
        <v>0.36579800779999999</v>
      </c>
      <c r="P315" s="1">
        <v>0</v>
      </c>
      <c r="Q315" s="2" t="str">
        <f t="shared" si="11"/>
        <v/>
      </c>
      <c r="R315" s="1" t="str">
        <f t="shared" si="12"/>
        <v/>
      </c>
      <c r="S315" s="1" t="str">
        <f t="shared" si="13"/>
        <v/>
      </c>
      <c r="T315" s="1" t="str">
        <f t="shared" si="14"/>
        <v/>
      </c>
      <c r="U315" s="1">
        <f t="shared" si="15"/>
        <v>100</v>
      </c>
      <c r="V315" s="3">
        <f t="shared" si="16"/>
        <v>100</v>
      </c>
      <c r="W315" s="3">
        <f t="shared" si="17"/>
        <v>100</v>
      </c>
      <c r="X315" s="3" t="str">
        <f t="shared" si="18"/>
        <v/>
      </c>
      <c r="Y315" s="3" t="str">
        <f t="shared" si="19"/>
        <v/>
      </c>
      <c r="Z315" s="1" t="str">
        <f t="shared" si="20"/>
        <v/>
      </c>
      <c r="AA315" s="3" t="str">
        <f t="shared" si="21"/>
        <v/>
      </c>
      <c r="AB315" s="3" t="str">
        <f>LOOKUP($A315,Sheet2!$A$1:$B$233)</f>
        <v>East Asia &amp; Pacific</v>
      </c>
    </row>
    <row r="316" spans="1:28">
      <c r="A316" s="1" t="s">
        <v>193</v>
      </c>
      <c r="B316" s="1">
        <v>2015</v>
      </c>
      <c r="C316" s="1">
        <v>3968.48999</v>
      </c>
      <c r="D316" s="1">
        <v>66.695999150000006</v>
      </c>
      <c r="E316" s="1">
        <v>92.904365609999999</v>
      </c>
      <c r="F316" s="1">
        <v>1.845644171</v>
      </c>
      <c r="G316" s="1">
        <v>3.160016841</v>
      </c>
      <c r="H316" s="1">
        <v>2.08997338</v>
      </c>
      <c r="I316" s="1">
        <v>83.679579529999998</v>
      </c>
      <c r="J316" s="1">
        <v>1.737106037</v>
      </c>
      <c r="K316" s="1">
        <v>8.379298168</v>
      </c>
      <c r="L316" s="1">
        <v>6.2040162600000004</v>
      </c>
      <c r="M316" s="1">
        <v>97.510677389999998</v>
      </c>
      <c r="N316" s="1">
        <v>1.899841721</v>
      </c>
      <c r="O316" s="1">
        <v>0.55381483909999996</v>
      </c>
      <c r="P316" s="1">
        <v>3.5666046159999999E-2</v>
      </c>
      <c r="Q316" s="2">
        <f t="shared" si="11"/>
        <v>5</v>
      </c>
      <c r="R316" s="1">
        <f t="shared" si="12"/>
        <v>0.29363575000000142</v>
      </c>
      <c r="S316" s="1">
        <f t="shared" si="13"/>
        <v>0.52870074600000128</v>
      </c>
      <c r="T316" s="1">
        <f t="shared" si="14"/>
        <v>0.11564305600000183</v>
      </c>
      <c r="U316" s="1">
        <f t="shared" si="15"/>
        <v>93</v>
      </c>
      <c r="V316" s="3">
        <f t="shared" si="16"/>
        <v>84</v>
      </c>
      <c r="W316" s="3">
        <f t="shared" si="17"/>
        <v>98</v>
      </c>
      <c r="X316" s="3" t="str">
        <f t="shared" si="18"/>
        <v/>
      </c>
      <c r="Y316" s="3" t="str">
        <f t="shared" si="19"/>
        <v/>
      </c>
      <c r="Z316" s="1" t="str">
        <f t="shared" si="20"/>
        <v/>
      </c>
      <c r="AA316" s="3">
        <f t="shared" si="21"/>
        <v>0.41305768999999948</v>
      </c>
      <c r="AB316" s="3" t="str">
        <f>LOOKUP($A316,Sheet2!$A$1:$B$233)</f>
        <v>Latin America &amp; Caribbean</v>
      </c>
    </row>
    <row r="317" spans="1:28">
      <c r="A317" s="1" t="s">
        <v>193</v>
      </c>
      <c r="B317" s="1">
        <v>2020</v>
      </c>
      <c r="C317" s="1">
        <v>4314.7680659999996</v>
      </c>
      <c r="D317" s="1">
        <v>68.414001459999994</v>
      </c>
      <c r="E317" s="1">
        <v>94.372544360000006</v>
      </c>
      <c r="F317" s="1">
        <v>1.8734805919999999</v>
      </c>
      <c r="G317" s="1">
        <v>2.2623042469999999</v>
      </c>
      <c r="H317" s="1">
        <v>1.491670799</v>
      </c>
      <c r="I317" s="1">
        <v>86.323083260000004</v>
      </c>
      <c r="J317" s="1">
        <v>1.791982583</v>
      </c>
      <c r="K317" s="1">
        <v>7.1623643420000001</v>
      </c>
      <c r="L317" s="1">
        <v>4.7225698109999996</v>
      </c>
      <c r="M317" s="1">
        <v>98.088892670000007</v>
      </c>
      <c r="N317" s="1">
        <v>1.9111073329999999</v>
      </c>
      <c r="O317" s="1">
        <v>0</v>
      </c>
      <c r="P317" s="1">
        <v>0</v>
      </c>
      <c r="Q317" s="2" t="str">
        <f t="shared" si="11"/>
        <v/>
      </c>
      <c r="R317" s="1" t="str">
        <f t="shared" si="12"/>
        <v/>
      </c>
      <c r="S317" s="1" t="str">
        <f t="shared" si="13"/>
        <v/>
      </c>
      <c r="T317" s="1" t="str">
        <f t="shared" si="14"/>
        <v/>
      </c>
      <c r="U317" s="1">
        <f t="shared" si="15"/>
        <v>94</v>
      </c>
      <c r="V317" s="3">
        <f t="shared" si="16"/>
        <v>86</v>
      </c>
      <c r="W317" s="3">
        <f t="shared" si="17"/>
        <v>98</v>
      </c>
      <c r="X317" s="3" t="str">
        <f t="shared" si="18"/>
        <v/>
      </c>
      <c r="Y317" s="3" t="str">
        <f t="shared" si="19"/>
        <v/>
      </c>
      <c r="Z317" s="1" t="str">
        <f t="shared" si="20"/>
        <v/>
      </c>
      <c r="AA317" s="3" t="str">
        <f t="shared" si="21"/>
        <v/>
      </c>
      <c r="AB317" s="3" t="str">
        <f>LOOKUP($A317,Sheet2!$A$1:$B$233)</f>
        <v>Latin America &amp; Caribbean</v>
      </c>
    </row>
    <row r="318" spans="1:28">
      <c r="A318" s="1" t="s">
        <v>194</v>
      </c>
      <c r="B318" s="1">
        <v>2015</v>
      </c>
      <c r="C318" s="1">
        <v>8107.7719729999999</v>
      </c>
      <c r="D318" s="1">
        <v>13.01200008</v>
      </c>
      <c r="E318" s="1">
        <v>41.485508439999997</v>
      </c>
      <c r="F318" s="1">
        <v>1.8099530800000001</v>
      </c>
      <c r="G318" s="1">
        <v>21.261051999999999</v>
      </c>
      <c r="H318" s="1">
        <v>35.443486479999997</v>
      </c>
      <c r="I318" s="1">
        <v>34.990633000000003</v>
      </c>
      <c r="J318" s="1">
        <v>1.8047244330000001</v>
      </c>
      <c r="K318" s="1">
        <v>23.25354875</v>
      </c>
      <c r="L318" s="1">
        <v>39.951093819999997</v>
      </c>
      <c r="M318" s="1">
        <v>84.90514306</v>
      </c>
      <c r="N318" s="1">
        <v>1.844907912</v>
      </c>
      <c r="O318" s="1">
        <v>7.9407764350000001</v>
      </c>
      <c r="P318" s="1">
        <v>5.309172598</v>
      </c>
      <c r="Q318" s="2">
        <f t="shared" si="11"/>
        <v>5</v>
      </c>
      <c r="R318" s="1">
        <f t="shared" si="12"/>
        <v>0.77170181600000087</v>
      </c>
      <c r="S318" s="1">
        <f t="shared" si="13"/>
        <v>0.81614213399999902</v>
      </c>
      <c r="T318" s="1">
        <f t="shared" si="14"/>
        <v>0.2340257159999993</v>
      </c>
      <c r="U318" s="1">
        <f t="shared" si="15"/>
        <v>41</v>
      </c>
      <c r="V318" s="3">
        <f t="shared" si="16"/>
        <v>35</v>
      </c>
      <c r="W318" s="3">
        <f t="shared" si="17"/>
        <v>85</v>
      </c>
      <c r="X318" s="3" t="str">
        <f t="shared" si="18"/>
        <v/>
      </c>
      <c r="Y318" s="3" t="str">
        <f t="shared" si="19"/>
        <v/>
      </c>
      <c r="Z318" s="1" t="str">
        <f t="shared" si="20"/>
        <v/>
      </c>
      <c r="AA318" s="3">
        <f t="shared" si="21"/>
        <v>0.58211641799999969</v>
      </c>
      <c r="AB318" s="3" t="str">
        <f>LOOKUP($A318,Sheet2!$A$1:$B$233)</f>
        <v>East Asia &amp; Pacific</v>
      </c>
    </row>
    <row r="319" spans="1:28">
      <c r="A319" s="1" t="s">
        <v>194</v>
      </c>
      <c r="B319" s="1">
        <v>2020</v>
      </c>
      <c r="C319" s="1">
        <v>8947.0273440000001</v>
      </c>
      <c r="D319" s="1">
        <v>13.34500027</v>
      </c>
      <c r="E319" s="1">
        <v>45.344017520000001</v>
      </c>
      <c r="F319" s="1">
        <v>2.128564452</v>
      </c>
      <c r="G319" s="1">
        <v>22.157624949999999</v>
      </c>
      <c r="H319" s="1">
        <v>30.369793080000001</v>
      </c>
      <c r="I319" s="1">
        <v>39.071343669999997</v>
      </c>
      <c r="J319" s="1">
        <v>2.4298502929999999</v>
      </c>
      <c r="K319" s="1">
        <v>24.431800859999999</v>
      </c>
      <c r="L319" s="1">
        <v>34.067005170000002</v>
      </c>
      <c r="M319" s="1">
        <v>86.075271639999997</v>
      </c>
      <c r="N319" s="1">
        <v>0.17218226079999999</v>
      </c>
      <c r="O319" s="1">
        <v>7.3903855639999998</v>
      </c>
      <c r="P319" s="1">
        <v>6.3621605319999999</v>
      </c>
      <c r="Q319" s="2" t="str">
        <f t="shared" si="11"/>
        <v/>
      </c>
      <c r="R319" s="1" t="str">
        <f t="shared" si="12"/>
        <v/>
      </c>
      <c r="S319" s="1" t="str">
        <f t="shared" si="13"/>
        <v/>
      </c>
      <c r="T319" s="1" t="str">
        <f t="shared" si="14"/>
        <v/>
      </c>
      <c r="U319" s="1">
        <f t="shared" si="15"/>
        <v>45</v>
      </c>
      <c r="V319" s="3">
        <f t="shared" si="16"/>
        <v>39</v>
      </c>
      <c r="W319" s="3">
        <f t="shared" si="17"/>
        <v>86</v>
      </c>
      <c r="X319" s="3" t="str">
        <f t="shared" si="18"/>
        <v/>
      </c>
      <c r="Y319" s="3" t="str">
        <f t="shared" si="19"/>
        <v/>
      </c>
      <c r="Z319" s="1" t="str">
        <f t="shared" si="20"/>
        <v/>
      </c>
      <c r="AA319" s="3" t="str">
        <f t="shared" si="21"/>
        <v/>
      </c>
      <c r="AB319" s="3" t="str">
        <f>LOOKUP($A319,Sheet2!$A$1:$B$233)</f>
        <v>East Asia &amp; Pacific</v>
      </c>
    </row>
    <row r="320" spans="1:28">
      <c r="A320" s="1" t="s">
        <v>195</v>
      </c>
      <c r="B320" s="1">
        <v>2015</v>
      </c>
      <c r="C320" s="1">
        <v>6688.7460940000001</v>
      </c>
      <c r="D320" s="1">
        <v>60.75</v>
      </c>
      <c r="E320" s="1">
        <v>96.836214530000007</v>
      </c>
      <c r="F320" s="1">
        <v>0.32842400300000002</v>
      </c>
      <c r="G320" s="1">
        <v>2.7567681990000001</v>
      </c>
      <c r="H320" s="1">
        <v>7.8593266980000007E-2</v>
      </c>
      <c r="I320" s="1">
        <v>93.344700290000006</v>
      </c>
      <c r="J320" s="1">
        <v>0.69766643969999997</v>
      </c>
      <c r="K320" s="1">
        <v>5.757395646</v>
      </c>
      <c r="L320" s="1">
        <v>0.20023762880000001</v>
      </c>
      <c r="M320" s="1">
        <v>99.092048730000002</v>
      </c>
      <c r="N320" s="1">
        <v>8.9859971169999997E-2</v>
      </c>
      <c r="O320" s="1">
        <v>0.81809130100000005</v>
      </c>
      <c r="P320" s="1">
        <v>0</v>
      </c>
      <c r="Q320" s="2">
        <f t="shared" si="11"/>
        <v>5</v>
      </c>
      <c r="R320" s="1">
        <f t="shared" si="12"/>
        <v>0.55145035999999836</v>
      </c>
      <c r="S320" s="1">
        <f t="shared" si="13"/>
        <v>1.1533054479999976</v>
      </c>
      <c r="T320" s="1">
        <f t="shared" si="14"/>
        <v>0.15893996199999946</v>
      </c>
      <c r="U320" s="1">
        <f t="shared" si="15"/>
        <v>97</v>
      </c>
      <c r="V320" s="3">
        <f t="shared" si="16"/>
        <v>93</v>
      </c>
      <c r="W320" s="3">
        <f t="shared" si="17"/>
        <v>99</v>
      </c>
      <c r="X320" s="3" t="str">
        <f t="shared" si="18"/>
        <v/>
      </c>
      <c r="Y320" s="3" t="str">
        <f t="shared" si="19"/>
        <v/>
      </c>
      <c r="Z320" s="1" t="str">
        <f t="shared" si="20"/>
        <v/>
      </c>
      <c r="AA320" s="3">
        <f t="shared" si="21"/>
        <v>0.99436548599999808</v>
      </c>
      <c r="AB320" s="3" t="str">
        <f>LOOKUP($A320,Sheet2!$A$1:$B$233)</f>
        <v>Latin America &amp; Caribbean</v>
      </c>
    </row>
    <row r="321" spans="1:28">
      <c r="A321" s="1" t="s">
        <v>195</v>
      </c>
      <c r="B321" s="1">
        <v>2020</v>
      </c>
      <c r="C321" s="1">
        <v>7132.5297849999997</v>
      </c>
      <c r="D321" s="1">
        <v>62.182994839999999</v>
      </c>
      <c r="E321" s="1">
        <v>99.593466329999998</v>
      </c>
      <c r="F321" s="1">
        <v>0.40653024389999998</v>
      </c>
      <c r="G321" s="1">
        <v>3.4229177000000001E-6</v>
      </c>
      <c r="H321" s="1">
        <v>0</v>
      </c>
      <c r="I321" s="1">
        <v>99.111227529999994</v>
      </c>
      <c r="J321" s="1">
        <v>0.88877246840000002</v>
      </c>
      <c r="K321" s="1">
        <v>0</v>
      </c>
      <c r="L321" s="1">
        <v>0</v>
      </c>
      <c r="M321" s="1">
        <v>99.886748539999999</v>
      </c>
      <c r="N321" s="1">
        <v>0.11325146429999999</v>
      </c>
      <c r="O321" s="1">
        <v>0</v>
      </c>
      <c r="P321" s="1">
        <v>0</v>
      </c>
      <c r="Q321" s="2" t="str">
        <f t="shared" si="11"/>
        <v/>
      </c>
      <c r="R321" s="1" t="str">
        <f t="shared" si="12"/>
        <v/>
      </c>
      <c r="S321" s="1" t="str">
        <f t="shared" si="13"/>
        <v/>
      </c>
      <c r="T321" s="1" t="str">
        <f t="shared" si="14"/>
        <v/>
      </c>
      <c r="U321" s="1">
        <f t="shared" si="15"/>
        <v>100</v>
      </c>
      <c r="V321" s="3">
        <f t="shared" si="16"/>
        <v>99</v>
      </c>
      <c r="W321" s="3">
        <f t="shared" si="17"/>
        <v>100</v>
      </c>
      <c r="X321" s="3" t="str">
        <f t="shared" si="18"/>
        <v/>
      </c>
      <c r="Y321" s="3" t="str">
        <f t="shared" si="19"/>
        <v/>
      </c>
      <c r="Z321" s="1" t="str">
        <f t="shared" si="20"/>
        <v/>
      </c>
      <c r="AA321" s="3" t="str">
        <f t="shared" si="21"/>
        <v/>
      </c>
      <c r="AB321" s="3" t="str">
        <f>LOOKUP($A321,Sheet2!$A$1:$B$233)</f>
        <v>Latin America &amp; Caribbean</v>
      </c>
    </row>
    <row r="322" spans="1:28">
      <c r="A322" s="1" t="s">
        <v>196</v>
      </c>
      <c r="B322" s="1">
        <v>2015</v>
      </c>
      <c r="C322" s="1">
        <v>30470.738280000001</v>
      </c>
      <c r="D322" s="1">
        <v>77.357002260000002</v>
      </c>
      <c r="E322" s="1">
        <v>90.282003040000006</v>
      </c>
      <c r="F322" s="1">
        <v>0.93258347190000002</v>
      </c>
      <c r="G322" s="1">
        <v>5.7636260549999996</v>
      </c>
      <c r="H322" s="1">
        <v>3.0217874390000001</v>
      </c>
      <c r="I322" s="1">
        <v>73.287623839999995</v>
      </c>
      <c r="J322" s="1">
        <v>1.5230403370000001</v>
      </c>
      <c r="K322" s="1">
        <v>12.99206766</v>
      </c>
      <c r="L322" s="1">
        <v>12.197268169999999</v>
      </c>
      <c r="M322" s="1">
        <v>95.256387020000005</v>
      </c>
      <c r="N322" s="1">
        <v>0.75975208999999999</v>
      </c>
      <c r="O322" s="1">
        <v>3.6478085579999999</v>
      </c>
      <c r="P322" s="1">
        <v>0.33605232909999999</v>
      </c>
      <c r="Q322" s="2">
        <f t="shared" si="11"/>
        <v>5</v>
      </c>
      <c r="R322" s="1">
        <f t="shared" si="12"/>
        <v>0.57147263399999981</v>
      </c>
      <c r="S322" s="1">
        <f t="shared" si="13"/>
        <v>1.502362930000001</v>
      </c>
      <c r="T322" s="1">
        <f t="shared" si="14"/>
        <v>0.2606914119999999</v>
      </c>
      <c r="U322" s="1">
        <f t="shared" si="15"/>
        <v>90</v>
      </c>
      <c r="V322" s="3">
        <f t="shared" si="16"/>
        <v>73</v>
      </c>
      <c r="W322" s="3">
        <f t="shared" si="17"/>
        <v>95</v>
      </c>
      <c r="X322" s="3" t="str">
        <f t="shared" si="18"/>
        <v/>
      </c>
      <c r="Y322" s="3" t="str">
        <f t="shared" si="19"/>
        <v/>
      </c>
      <c r="Z322" s="1" t="str">
        <f t="shared" si="20"/>
        <v/>
      </c>
      <c r="AA322" s="3">
        <f t="shared" si="21"/>
        <v>1.2416715180000011</v>
      </c>
      <c r="AB322" s="3" t="str">
        <f>LOOKUP($A322,Sheet2!$A$1:$B$233)</f>
        <v>Latin America &amp; Caribbean</v>
      </c>
    </row>
    <row r="323" spans="1:28">
      <c r="A323" s="1" t="s">
        <v>196</v>
      </c>
      <c r="B323" s="1">
        <v>2020</v>
      </c>
      <c r="C323" s="1">
        <v>32971.847659999999</v>
      </c>
      <c r="D323" s="1">
        <v>78.297004700000002</v>
      </c>
      <c r="E323" s="1">
        <v>93.139366210000006</v>
      </c>
      <c r="F323" s="1">
        <v>0.84955935110000003</v>
      </c>
      <c r="G323" s="1">
        <v>4.1504683489999996</v>
      </c>
      <c r="H323" s="1">
        <v>1.8606060870000001</v>
      </c>
      <c r="I323" s="1">
        <v>80.79943849</v>
      </c>
      <c r="J323" s="1">
        <v>1.5969437710000001</v>
      </c>
      <c r="K323" s="1">
        <v>9.6126911629999992</v>
      </c>
      <c r="L323" s="1">
        <v>7.9909265779999998</v>
      </c>
      <c r="M323" s="1">
        <v>96.559844080000005</v>
      </c>
      <c r="N323" s="1">
        <v>0.64239323559999995</v>
      </c>
      <c r="O323" s="1">
        <v>2.6364086929999999</v>
      </c>
      <c r="P323" s="1">
        <v>0.1613539953</v>
      </c>
      <c r="Q323" s="2" t="str">
        <f t="shared" si="11"/>
        <v/>
      </c>
      <c r="R323" s="1" t="str">
        <f t="shared" si="12"/>
        <v/>
      </c>
      <c r="S323" s="1" t="str">
        <f t="shared" si="13"/>
        <v/>
      </c>
      <c r="T323" s="1" t="str">
        <f t="shared" si="14"/>
        <v/>
      </c>
      <c r="U323" s="1">
        <f t="shared" si="15"/>
        <v>93</v>
      </c>
      <c r="V323" s="3">
        <f t="shared" si="16"/>
        <v>81</v>
      </c>
      <c r="W323" s="3">
        <f t="shared" si="17"/>
        <v>97</v>
      </c>
      <c r="X323" s="3" t="str">
        <f t="shared" si="18"/>
        <v/>
      </c>
      <c r="Y323" s="3" t="str">
        <f t="shared" si="19"/>
        <v/>
      </c>
      <c r="Z323" s="1" t="str">
        <f t="shared" si="20"/>
        <v/>
      </c>
      <c r="AA323" s="3" t="str">
        <f t="shared" si="21"/>
        <v/>
      </c>
      <c r="AB323" s="3" t="str">
        <f>LOOKUP($A323,Sheet2!$A$1:$B$233)</f>
        <v>Latin America &amp; Caribbean</v>
      </c>
    </row>
    <row r="324" spans="1:28">
      <c r="A324" s="1" t="s">
        <v>197</v>
      </c>
      <c r="B324" s="1">
        <v>2015</v>
      </c>
      <c r="C324" s="1">
        <v>102113.2031</v>
      </c>
      <c r="D324" s="1">
        <v>46.284000399999996</v>
      </c>
      <c r="E324" s="1">
        <v>92.017701020000004</v>
      </c>
      <c r="F324" s="1">
        <v>2.9204293190000001</v>
      </c>
      <c r="G324" s="1">
        <v>4.5321384619999998</v>
      </c>
      <c r="H324" s="1">
        <v>0.52973119440000005</v>
      </c>
      <c r="I324" s="1">
        <v>88.208162329999993</v>
      </c>
      <c r="J324" s="1">
        <v>3.8258925420000001</v>
      </c>
      <c r="K324" s="1">
        <v>7.1112130369999997</v>
      </c>
      <c r="L324" s="1">
        <v>0.85473209370000003</v>
      </c>
      <c r="M324" s="1">
        <v>96.438952139999998</v>
      </c>
      <c r="N324" s="1">
        <v>1.8695723529999999</v>
      </c>
      <c r="O324" s="1">
        <v>1.5389318729999999</v>
      </c>
      <c r="P324" s="1">
        <v>0.15254363930000001</v>
      </c>
      <c r="Q324" s="2">
        <f t="shared" si="11"/>
        <v>5</v>
      </c>
      <c r="R324" s="1">
        <f t="shared" si="12"/>
        <v>0.41826670799999877</v>
      </c>
      <c r="S324" s="1">
        <f t="shared" si="13"/>
        <v>0.57075417800000139</v>
      </c>
      <c r="T324" s="1">
        <f t="shared" si="14"/>
        <v>0.21007607200000109</v>
      </c>
      <c r="U324" s="1">
        <f t="shared" si="15"/>
        <v>92</v>
      </c>
      <c r="V324" s="3">
        <f t="shared" si="16"/>
        <v>88</v>
      </c>
      <c r="W324" s="3">
        <f t="shared" si="17"/>
        <v>96</v>
      </c>
      <c r="X324" s="3" t="str">
        <f t="shared" si="18"/>
        <v/>
      </c>
      <c r="Y324" s="3" t="str">
        <f t="shared" si="19"/>
        <v/>
      </c>
      <c r="Z324" s="1" t="str">
        <f t="shared" si="20"/>
        <v/>
      </c>
      <c r="AA324" s="3">
        <f t="shared" si="21"/>
        <v>0.36067810600000028</v>
      </c>
      <c r="AB324" s="3" t="str">
        <f>LOOKUP($A324,Sheet2!$A$1:$B$233)</f>
        <v>South Asia</v>
      </c>
    </row>
    <row r="325" spans="1:28">
      <c r="A325" s="1" t="s">
        <v>197</v>
      </c>
      <c r="B325" s="1">
        <v>2020</v>
      </c>
      <c r="C325" s="1">
        <v>109581.08590000001</v>
      </c>
      <c r="D325" s="1">
        <v>47.407997129999998</v>
      </c>
      <c r="E325" s="1">
        <v>94.109034559999998</v>
      </c>
      <c r="F325" s="1">
        <v>2.8564861370000001</v>
      </c>
      <c r="G325" s="1">
        <v>3.0344793069999998</v>
      </c>
      <c r="H325" s="1">
        <v>0</v>
      </c>
      <c r="I325" s="1">
        <v>91.06193322</v>
      </c>
      <c r="J325" s="1">
        <v>3.9595204279999998</v>
      </c>
      <c r="K325" s="1">
        <v>4.978546347</v>
      </c>
      <c r="L325" s="1">
        <v>0</v>
      </c>
      <c r="M325" s="1">
        <v>97.489332500000003</v>
      </c>
      <c r="N325" s="1">
        <v>1.632836465</v>
      </c>
      <c r="O325" s="1">
        <v>0.87783103600000001</v>
      </c>
      <c r="P325" s="1">
        <v>0</v>
      </c>
      <c r="Q325" s="2" t="str">
        <f t="shared" si="11"/>
        <v/>
      </c>
      <c r="R325" s="1" t="str">
        <f t="shared" si="12"/>
        <v/>
      </c>
      <c r="S325" s="1" t="str">
        <f t="shared" si="13"/>
        <v/>
      </c>
      <c r="T325" s="1" t="str">
        <f t="shared" si="14"/>
        <v/>
      </c>
      <c r="U325" s="1">
        <f t="shared" si="15"/>
        <v>94</v>
      </c>
      <c r="V325" s="3">
        <f t="shared" si="16"/>
        <v>91</v>
      </c>
      <c r="W325" s="3">
        <f t="shared" si="17"/>
        <v>97</v>
      </c>
      <c r="X325" s="3" t="str">
        <f t="shared" si="18"/>
        <v/>
      </c>
      <c r="Y325" s="3" t="str">
        <f t="shared" si="19"/>
        <v/>
      </c>
      <c r="Z325" s="1" t="str">
        <f t="shared" si="20"/>
        <v/>
      </c>
      <c r="AA325" s="3" t="str">
        <f t="shared" si="21"/>
        <v/>
      </c>
      <c r="AB325" s="3" t="str">
        <f>LOOKUP($A325,Sheet2!$A$1:$B$233)</f>
        <v>South Asia</v>
      </c>
    </row>
    <row r="326" spans="1:28">
      <c r="A326" s="1" t="s">
        <v>198</v>
      </c>
      <c r="B326" s="1">
        <v>2015</v>
      </c>
      <c r="C326" s="1">
        <v>38034.074220000002</v>
      </c>
      <c r="D326" s="1">
        <v>60.27799606</v>
      </c>
      <c r="E326" s="1">
        <v>99.232069879999997</v>
      </c>
      <c r="F326" s="1">
        <v>0</v>
      </c>
      <c r="G326" s="1">
        <v>0.76793012459999999</v>
      </c>
      <c r="H326" s="1">
        <v>0</v>
      </c>
      <c r="I326" s="1">
        <v>98.537903229999998</v>
      </c>
      <c r="J326" s="1">
        <v>0</v>
      </c>
      <c r="K326" s="1">
        <v>1.4620967739999999</v>
      </c>
      <c r="L326" s="1">
        <v>0</v>
      </c>
      <c r="M326" s="1">
        <v>99.689516130000001</v>
      </c>
      <c r="N326" s="1">
        <v>0</v>
      </c>
      <c r="O326" s="1">
        <v>0.31048387100000002</v>
      </c>
      <c r="P326" s="1">
        <v>0</v>
      </c>
      <c r="Q326" s="2">
        <f t="shared" si="11"/>
        <v>5</v>
      </c>
      <c r="R326" s="1">
        <f t="shared" si="12"/>
        <v>0.1469043340000013</v>
      </c>
      <c r="S326" s="1">
        <f t="shared" si="13"/>
        <v>0.29241935400000046</v>
      </c>
      <c r="T326" s="1">
        <f t="shared" si="14"/>
        <v>5.0967742000000274E-2</v>
      </c>
      <c r="U326" s="1">
        <f t="shared" si="15"/>
        <v>99</v>
      </c>
      <c r="V326" s="3">
        <f t="shared" si="16"/>
        <v>99</v>
      </c>
      <c r="W326" s="3">
        <f t="shared" si="17"/>
        <v>100</v>
      </c>
      <c r="X326" s="3" t="str">
        <f t="shared" si="18"/>
        <v/>
      </c>
      <c r="Y326" s="3" t="str">
        <f t="shared" si="19"/>
        <v/>
      </c>
      <c r="Z326" s="1" t="str">
        <f t="shared" si="20"/>
        <v>fullaccesss</v>
      </c>
      <c r="AA326" s="3">
        <f t="shared" si="21"/>
        <v>0.2414516120000002</v>
      </c>
      <c r="AB326" s="3" t="str">
        <f>LOOKUP($A326,Sheet2!$A$1:$B$233)</f>
        <v>Europe &amp; Central Asia</v>
      </c>
    </row>
    <row r="327" spans="1:28">
      <c r="A327" s="1" t="s">
        <v>198</v>
      </c>
      <c r="B327" s="1">
        <v>2020</v>
      </c>
      <c r="C327" s="1">
        <v>37846.605470000002</v>
      </c>
      <c r="D327" s="1">
        <v>60.043003079999998</v>
      </c>
      <c r="E327" s="1">
        <v>99.966591550000004</v>
      </c>
      <c r="F327" s="1">
        <v>0</v>
      </c>
      <c r="G327" s="1">
        <v>3.3408445289999998E-2</v>
      </c>
      <c r="H327" s="1">
        <v>0</v>
      </c>
      <c r="I327" s="1">
        <v>100</v>
      </c>
      <c r="J327" s="1">
        <v>0</v>
      </c>
      <c r="K327" s="1">
        <v>0</v>
      </c>
      <c r="L327" s="1">
        <v>0</v>
      </c>
      <c r="M327" s="1">
        <v>99.944354840000003</v>
      </c>
      <c r="N327" s="1">
        <v>0</v>
      </c>
      <c r="O327" s="1">
        <v>5.5645161290000002E-2</v>
      </c>
      <c r="P327" s="1">
        <v>0</v>
      </c>
      <c r="Q327" s="2" t="str">
        <f t="shared" si="11"/>
        <v/>
      </c>
      <c r="R327" s="1" t="str">
        <f t="shared" si="12"/>
        <v/>
      </c>
      <c r="S327" s="1" t="str">
        <f t="shared" si="13"/>
        <v/>
      </c>
      <c r="T327" s="1" t="str">
        <f t="shared" si="14"/>
        <v/>
      </c>
      <c r="U327" s="1">
        <f t="shared" si="15"/>
        <v>100</v>
      </c>
      <c r="V327" s="3">
        <f t="shared" si="16"/>
        <v>100</v>
      </c>
      <c r="W327" s="3">
        <f t="shared" si="17"/>
        <v>100</v>
      </c>
      <c r="X327" s="3" t="str">
        <f t="shared" si="18"/>
        <v/>
      </c>
      <c r="Y327" s="3" t="str">
        <f t="shared" si="19"/>
        <v/>
      </c>
      <c r="Z327" s="1" t="str">
        <f t="shared" si="20"/>
        <v/>
      </c>
      <c r="AA327" s="3" t="str">
        <f t="shared" si="21"/>
        <v/>
      </c>
      <c r="AB327" s="3" t="str">
        <f>LOOKUP($A327,Sheet2!$A$1:$B$233)</f>
        <v>Europe &amp; Central Asia</v>
      </c>
    </row>
    <row r="328" spans="1:28">
      <c r="A328" s="1" t="s">
        <v>199</v>
      </c>
      <c r="B328" s="1">
        <v>2015</v>
      </c>
      <c r="C328" s="1">
        <v>10368.3457</v>
      </c>
      <c r="D328" s="1">
        <v>63.513999939999998</v>
      </c>
      <c r="E328" s="1">
        <v>99.904689840000003</v>
      </c>
      <c r="F328" s="1">
        <v>0</v>
      </c>
      <c r="G328" s="1">
        <v>9.5310157000000006E-2</v>
      </c>
      <c r="H328" s="1">
        <v>0</v>
      </c>
      <c r="I328" s="1">
        <v>99.738776090000002</v>
      </c>
      <c r="J328" s="1">
        <v>0</v>
      </c>
      <c r="K328" s="1">
        <v>0.26122391220000002</v>
      </c>
      <c r="L328" s="1">
        <v>0</v>
      </c>
      <c r="M328" s="1">
        <v>100</v>
      </c>
      <c r="N328" s="1">
        <v>0</v>
      </c>
      <c r="O328" s="1">
        <v>0</v>
      </c>
      <c r="P328" s="1">
        <v>0</v>
      </c>
      <c r="Q328" s="2">
        <f t="shared" si="11"/>
        <v>5</v>
      </c>
      <c r="R328" s="1">
        <f t="shared" si="12"/>
        <v>1.4607659999995803E-3</v>
      </c>
      <c r="S328" s="1">
        <f t="shared" si="13"/>
        <v>0</v>
      </c>
      <c r="T328" s="1">
        <f t="shared" si="14"/>
        <v>0</v>
      </c>
      <c r="U328" s="1">
        <f t="shared" si="15"/>
        <v>100</v>
      </c>
      <c r="V328" s="3">
        <f t="shared" si="16"/>
        <v>100</v>
      </c>
      <c r="W328" s="3">
        <f t="shared" si="17"/>
        <v>100</v>
      </c>
      <c r="X328" s="3" t="str">
        <f t="shared" si="18"/>
        <v>fullaccesss</v>
      </c>
      <c r="Y328" s="3" t="str">
        <f t="shared" si="19"/>
        <v>fullaccesss</v>
      </c>
      <c r="Z328" s="1" t="str">
        <f t="shared" si="20"/>
        <v>fullaccesss</v>
      </c>
      <c r="AA328" s="3">
        <f t="shared" si="21"/>
        <v>0</v>
      </c>
      <c r="AB328" s="3" t="str">
        <f>LOOKUP($A328,Sheet2!$A$1:$B$233)</f>
        <v>Europe &amp; Central Asia</v>
      </c>
    </row>
    <row r="329" spans="1:28">
      <c r="A329" s="1" t="s">
        <v>199</v>
      </c>
      <c r="B329" s="1">
        <v>2020</v>
      </c>
      <c r="C329" s="1">
        <v>10196.70703</v>
      </c>
      <c r="D329" s="1">
        <v>66.309997559999999</v>
      </c>
      <c r="E329" s="1">
        <v>99.911993670000001</v>
      </c>
      <c r="F329" s="1">
        <v>0</v>
      </c>
      <c r="G329" s="1">
        <v>8.8006333689999994E-2</v>
      </c>
      <c r="H329" s="1">
        <v>0</v>
      </c>
      <c r="I329" s="1">
        <v>99.738776090000002</v>
      </c>
      <c r="J329" s="1">
        <v>0</v>
      </c>
      <c r="K329" s="1">
        <v>0.26122391220000002</v>
      </c>
      <c r="L329" s="1">
        <v>0</v>
      </c>
      <c r="M329" s="1">
        <v>100</v>
      </c>
      <c r="N329" s="1">
        <v>0</v>
      </c>
      <c r="O329" s="1">
        <v>0</v>
      </c>
      <c r="P329" s="1">
        <v>0</v>
      </c>
      <c r="Q329" s="2" t="str">
        <f t="shared" si="11"/>
        <v/>
      </c>
      <c r="R329" s="1" t="str">
        <f t="shared" si="12"/>
        <v/>
      </c>
      <c r="S329" s="1" t="str">
        <f t="shared" si="13"/>
        <v/>
      </c>
      <c r="T329" s="1" t="str">
        <f t="shared" si="14"/>
        <v/>
      </c>
      <c r="U329" s="1">
        <f t="shared" si="15"/>
        <v>100</v>
      </c>
      <c r="V329" s="3">
        <f t="shared" si="16"/>
        <v>100</v>
      </c>
      <c r="W329" s="3">
        <f t="shared" si="17"/>
        <v>100</v>
      </c>
      <c r="X329" s="3" t="str">
        <f t="shared" si="18"/>
        <v/>
      </c>
      <c r="Y329" s="3" t="str">
        <f t="shared" si="19"/>
        <v/>
      </c>
      <c r="Z329" s="1" t="str">
        <f t="shared" si="20"/>
        <v/>
      </c>
      <c r="AA329" s="3" t="str">
        <f t="shared" si="21"/>
        <v/>
      </c>
      <c r="AB329" s="3" t="str">
        <f>LOOKUP($A329,Sheet2!$A$1:$B$233)</f>
        <v>Europe &amp; Central Asia</v>
      </c>
    </row>
    <row r="330" spans="1:28">
      <c r="A330" s="1" t="s">
        <v>200</v>
      </c>
      <c r="B330" s="1">
        <v>2015</v>
      </c>
      <c r="C330" s="1">
        <v>3381.5119629999999</v>
      </c>
      <c r="D330" s="1">
        <v>93.624000550000005</v>
      </c>
      <c r="E330" s="1">
        <v>99.425449760000006</v>
      </c>
      <c r="F330" s="1">
        <v>0</v>
      </c>
      <c r="G330" s="1">
        <v>0.57455024300000002</v>
      </c>
      <c r="H330" s="1">
        <v>0</v>
      </c>
      <c r="I330" s="1" t="s">
        <v>272</v>
      </c>
      <c r="J330" s="1" t="s">
        <v>272</v>
      </c>
      <c r="K330" s="1" t="s">
        <v>272</v>
      </c>
      <c r="L330" s="1" t="s">
        <v>272</v>
      </c>
      <c r="M330" s="1" t="s">
        <v>272</v>
      </c>
      <c r="N330" s="1" t="s">
        <v>272</v>
      </c>
      <c r="O330" s="1" t="s">
        <v>272</v>
      </c>
      <c r="P330" s="1" t="s">
        <v>272</v>
      </c>
      <c r="Q330" s="2">
        <f t="shared" si="11"/>
        <v>5</v>
      </c>
      <c r="R330" s="1">
        <f t="shared" si="12"/>
        <v>0.11491004799999871</v>
      </c>
      <c r="S330" s="1" t="str">
        <f t="shared" si="13"/>
        <v>null</v>
      </c>
      <c r="T330" s="1" t="str">
        <f t="shared" si="14"/>
        <v>null</v>
      </c>
      <c r="U330" s="1">
        <f t="shared" si="15"/>
        <v>99</v>
      </c>
      <c r="V330" s="3" t="str">
        <f t="shared" si="16"/>
        <v>null</v>
      </c>
      <c r="W330" s="3" t="str">
        <f t="shared" si="17"/>
        <v>null</v>
      </c>
      <c r="X330" s="3" t="str">
        <f t="shared" si="18"/>
        <v/>
      </c>
      <c r="Y330" s="3" t="str">
        <f t="shared" si="19"/>
        <v/>
      </c>
      <c r="Z330" s="1" t="str">
        <f t="shared" si="20"/>
        <v/>
      </c>
      <c r="AA330" s="3" t="str">
        <f t="shared" si="21"/>
        <v>null</v>
      </c>
      <c r="AB330" s="3" t="str">
        <f>LOOKUP($A330,Sheet2!$A$1:$B$233)</f>
        <v>Latin America &amp; Caribbean</v>
      </c>
    </row>
    <row r="331" spans="1:28">
      <c r="A331" s="1" t="s">
        <v>200</v>
      </c>
      <c r="B331" s="1">
        <v>2020</v>
      </c>
      <c r="C331" s="1">
        <v>2860.8400879999999</v>
      </c>
      <c r="D331" s="1">
        <v>93.581001279999995</v>
      </c>
      <c r="E331" s="1">
        <v>100</v>
      </c>
      <c r="F331" s="1">
        <v>0</v>
      </c>
      <c r="G331" s="1">
        <v>0</v>
      </c>
      <c r="H331" s="1">
        <v>0</v>
      </c>
      <c r="I331" s="1" t="s">
        <v>272</v>
      </c>
      <c r="J331" s="1" t="s">
        <v>272</v>
      </c>
      <c r="K331" s="1" t="s">
        <v>272</v>
      </c>
      <c r="L331" s="1" t="s">
        <v>272</v>
      </c>
      <c r="M331" s="1" t="s">
        <v>272</v>
      </c>
      <c r="N331" s="1" t="s">
        <v>272</v>
      </c>
      <c r="O331" s="1" t="s">
        <v>272</v>
      </c>
      <c r="P331" s="1" t="s">
        <v>272</v>
      </c>
      <c r="Q331" s="2" t="str">
        <f t="shared" si="11"/>
        <v/>
      </c>
      <c r="R331" s="1" t="str">
        <f t="shared" si="12"/>
        <v/>
      </c>
      <c r="S331" s="1" t="str">
        <f t="shared" si="13"/>
        <v/>
      </c>
      <c r="T331" s="1" t="str">
        <f t="shared" si="14"/>
        <v/>
      </c>
      <c r="U331" s="1">
        <f t="shared" si="15"/>
        <v>100</v>
      </c>
      <c r="V331" s="3" t="str">
        <f t="shared" si="16"/>
        <v>null</v>
      </c>
      <c r="W331" s="3" t="str">
        <f t="shared" si="17"/>
        <v>null</v>
      </c>
      <c r="X331" s="3" t="str">
        <f t="shared" si="18"/>
        <v/>
      </c>
      <c r="Y331" s="3" t="str">
        <f t="shared" si="19"/>
        <v/>
      </c>
      <c r="Z331" s="1" t="str">
        <f t="shared" si="20"/>
        <v/>
      </c>
      <c r="AA331" s="3" t="str">
        <f t="shared" si="21"/>
        <v/>
      </c>
      <c r="AB331" s="3" t="str">
        <f>LOOKUP($A331,Sheet2!$A$1:$B$233)</f>
        <v>Latin America &amp; Caribbean</v>
      </c>
    </row>
    <row r="332" spans="1:28">
      <c r="A332" s="1" t="s">
        <v>201</v>
      </c>
      <c r="B332" s="1">
        <v>2015</v>
      </c>
      <c r="C332" s="1">
        <v>2565.7080080000001</v>
      </c>
      <c r="D332" s="1">
        <v>98.944992069999998</v>
      </c>
      <c r="E332" s="1">
        <v>99.691501380000005</v>
      </c>
      <c r="F332" s="1">
        <v>0</v>
      </c>
      <c r="G332" s="1">
        <v>0.30849861699999997</v>
      </c>
      <c r="H332" s="1">
        <v>0</v>
      </c>
      <c r="I332" s="1" t="s">
        <v>272</v>
      </c>
      <c r="J332" s="1" t="s">
        <v>272</v>
      </c>
      <c r="K332" s="1" t="s">
        <v>272</v>
      </c>
      <c r="L332" s="1" t="s">
        <v>272</v>
      </c>
      <c r="M332" s="1" t="s">
        <v>272</v>
      </c>
      <c r="N332" s="1" t="s">
        <v>272</v>
      </c>
      <c r="O332" s="1" t="s">
        <v>272</v>
      </c>
      <c r="P332" s="1" t="s">
        <v>272</v>
      </c>
      <c r="Q332" s="2">
        <f t="shared" si="11"/>
        <v>5</v>
      </c>
      <c r="R332" s="1">
        <f t="shared" si="12"/>
        <v>-2.4679888000000004E-2</v>
      </c>
      <c r="S332" s="1" t="str">
        <f t="shared" si="13"/>
        <v>null</v>
      </c>
      <c r="T332" s="1" t="str">
        <f t="shared" si="14"/>
        <v>null</v>
      </c>
      <c r="U332" s="1">
        <f t="shared" si="15"/>
        <v>100</v>
      </c>
      <c r="V332" s="3" t="str">
        <f t="shared" si="16"/>
        <v>null</v>
      </c>
      <c r="W332" s="3" t="str">
        <f t="shared" si="17"/>
        <v>null</v>
      </c>
      <c r="X332" s="3" t="str">
        <f t="shared" si="18"/>
        <v>fullaccesss</v>
      </c>
      <c r="Y332" s="3" t="str">
        <f t="shared" si="19"/>
        <v/>
      </c>
      <c r="Z332" s="1" t="str">
        <f t="shared" si="20"/>
        <v/>
      </c>
      <c r="AA332" s="3" t="str">
        <f t="shared" si="21"/>
        <v>null</v>
      </c>
      <c r="AB332" s="3" t="str">
        <f>LOOKUP($A332,Sheet2!$A$1:$B$233)</f>
        <v>Europe &amp; Central Asia</v>
      </c>
    </row>
    <row r="333" spans="1:28">
      <c r="A333" s="1" t="s">
        <v>201</v>
      </c>
      <c r="B333" s="1">
        <v>2020</v>
      </c>
      <c r="C333" s="1">
        <v>2881.0600589999999</v>
      </c>
      <c r="D333" s="1">
        <v>99.23500061</v>
      </c>
      <c r="E333" s="1">
        <v>99.568101940000005</v>
      </c>
      <c r="F333" s="1">
        <v>0</v>
      </c>
      <c r="G333" s="1">
        <v>0.4318980637</v>
      </c>
      <c r="H333" s="1">
        <v>0</v>
      </c>
      <c r="I333" s="1" t="s">
        <v>272</v>
      </c>
      <c r="J333" s="1" t="s">
        <v>272</v>
      </c>
      <c r="K333" s="1" t="s">
        <v>272</v>
      </c>
      <c r="L333" s="1" t="s">
        <v>272</v>
      </c>
      <c r="M333" s="1" t="s">
        <v>272</v>
      </c>
      <c r="N333" s="1" t="s">
        <v>272</v>
      </c>
      <c r="O333" s="1" t="s">
        <v>272</v>
      </c>
      <c r="P333" s="1" t="s">
        <v>272</v>
      </c>
      <c r="Q333" s="2" t="str">
        <f t="shared" si="11"/>
        <v/>
      </c>
      <c r="R333" s="1" t="str">
        <f t="shared" si="12"/>
        <v/>
      </c>
      <c r="S333" s="1" t="str">
        <f t="shared" si="13"/>
        <v/>
      </c>
      <c r="T333" s="1" t="str">
        <f t="shared" si="14"/>
        <v/>
      </c>
      <c r="U333" s="1">
        <f t="shared" si="15"/>
        <v>100</v>
      </c>
      <c r="V333" s="3" t="str">
        <f t="shared" si="16"/>
        <v>null</v>
      </c>
      <c r="W333" s="3" t="str">
        <f t="shared" si="17"/>
        <v>null</v>
      </c>
      <c r="X333" s="3" t="str">
        <f t="shared" si="18"/>
        <v/>
      </c>
      <c r="Y333" s="3" t="str">
        <f t="shared" si="19"/>
        <v/>
      </c>
      <c r="Z333" s="1" t="str">
        <f t="shared" si="20"/>
        <v/>
      </c>
      <c r="AA333" s="3" t="str">
        <f t="shared" si="21"/>
        <v/>
      </c>
      <c r="AB333" s="3" t="str">
        <f>LOOKUP($A333,Sheet2!$A$1:$B$233)</f>
        <v>Europe &amp; Central Asia</v>
      </c>
    </row>
    <row r="334" spans="1:28">
      <c r="A334" s="1" t="s">
        <v>202</v>
      </c>
      <c r="B334" s="1">
        <v>2015</v>
      </c>
      <c r="C334" s="1">
        <v>50823.085939999997</v>
      </c>
      <c r="D334" s="1">
        <v>81.634002690000003</v>
      </c>
      <c r="E334" s="1">
        <v>99.472746409999999</v>
      </c>
      <c r="F334" s="1">
        <v>0</v>
      </c>
      <c r="G334" s="1">
        <v>0.5272535907</v>
      </c>
      <c r="H334" s="1">
        <v>0</v>
      </c>
      <c r="I334" s="1" t="s">
        <v>272</v>
      </c>
      <c r="J334" s="1" t="s">
        <v>272</v>
      </c>
      <c r="K334" s="1" t="s">
        <v>272</v>
      </c>
      <c r="L334" s="1" t="s">
        <v>272</v>
      </c>
      <c r="M334" s="1" t="s">
        <v>272</v>
      </c>
      <c r="N334" s="1" t="s">
        <v>272</v>
      </c>
      <c r="O334" s="1" t="s">
        <v>272</v>
      </c>
      <c r="P334" s="1" t="s">
        <v>272</v>
      </c>
      <c r="Q334" s="2">
        <f t="shared" si="11"/>
        <v>5</v>
      </c>
      <c r="R334" s="1">
        <f t="shared" si="12"/>
        <v>9.1730047999999439E-2</v>
      </c>
      <c r="S334" s="1" t="str">
        <f t="shared" si="13"/>
        <v>null</v>
      </c>
      <c r="T334" s="1" t="str">
        <f t="shared" si="14"/>
        <v>null</v>
      </c>
      <c r="U334" s="1">
        <f t="shared" si="15"/>
        <v>99</v>
      </c>
      <c r="V334" s="3" t="str">
        <f t="shared" si="16"/>
        <v>null</v>
      </c>
      <c r="W334" s="3" t="str">
        <f t="shared" si="17"/>
        <v>null</v>
      </c>
      <c r="X334" s="3" t="str">
        <f t="shared" si="18"/>
        <v/>
      </c>
      <c r="Y334" s="3" t="str">
        <f t="shared" si="19"/>
        <v/>
      </c>
      <c r="Z334" s="1" t="str">
        <f t="shared" si="20"/>
        <v/>
      </c>
      <c r="AA334" s="3" t="str">
        <f t="shared" si="21"/>
        <v>null</v>
      </c>
      <c r="AB334" s="3" t="str">
        <f>LOOKUP($A334,Sheet2!$A$1:$B$233)</f>
        <v>East Asia &amp; Pacific</v>
      </c>
    </row>
    <row r="335" spans="1:28">
      <c r="A335" s="1" t="s">
        <v>202</v>
      </c>
      <c r="B335" s="1">
        <v>2020</v>
      </c>
      <c r="C335" s="1">
        <v>51269.183590000001</v>
      </c>
      <c r="D335" s="1">
        <v>81.414001459999994</v>
      </c>
      <c r="E335" s="1">
        <v>99.931396649999996</v>
      </c>
      <c r="F335" s="1">
        <v>0</v>
      </c>
      <c r="G335" s="1">
        <v>6.8603352960000002E-2</v>
      </c>
      <c r="H335" s="1">
        <v>0</v>
      </c>
      <c r="I335" s="1" t="s">
        <v>272</v>
      </c>
      <c r="J335" s="1" t="s">
        <v>272</v>
      </c>
      <c r="K335" s="1" t="s">
        <v>272</v>
      </c>
      <c r="L335" s="1" t="s">
        <v>272</v>
      </c>
      <c r="M335" s="1" t="s">
        <v>272</v>
      </c>
      <c r="N335" s="1" t="s">
        <v>272</v>
      </c>
      <c r="O335" s="1" t="s">
        <v>272</v>
      </c>
      <c r="P335" s="1" t="s">
        <v>272</v>
      </c>
      <c r="Q335" s="2" t="str">
        <f t="shared" si="11"/>
        <v/>
      </c>
      <c r="R335" s="1" t="str">
        <f t="shared" si="12"/>
        <v/>
      </c>
      <c r="S335" s="1" t="str">
        <f t="shared" si="13"/>
        <v/>
      </c>
      <c r="T335" s="1" t="str">
        <f t="shared" si="14"/>
        <v/>
      </c>
      <c r="U335" s="1">
        <f t="shared" si="15"/>
        <v>100</v>
      </c>
      <c r="V335" s="3" t="str">
        <f t="shared" si="16"/>
        <v>null</v>
      </c>
      <c r="W335" s="3" t="str">
        <f t="shared" si="17"/>
        <v>null</v>
      </c>
      <c r="X335" s="3" t="str">
        <f t="shared" si="18"/>
        <v/>
      </c>
      <c r="Y335" s="3" t="str">
        <f t="shared" si="19"/>
        <v/>
      </c>
      <c r="Z335" s="1" t="str">
        <f t="shared" si="20"/>
        <v/>
      </c>
      <c r="AA335" s="3" t="str">
        <f t="shared" si="21"/>
        <v/>
      </c>
      <c r="AB335" s="3" t="str">
        <f>LOOKUP($A335,Sheet2!$A$1:$B$233)</f>
        <v>East Asia &amp; Pacific</v>
      </c>
    </row>
    <row r="336" spans="1:28">
      <c r="A336" s="1" t="s">
        <v>203</v>
      </c>
      <c r="B336" s="1">
        <v>2015</v>
      </c>
      <c r="C336" s="1">
        <v>4070.705078</v>
      </c>
      <c r="D336" s="1">
        <v>42.489997860000003</v>
      </c>
      <c r="E336" s="1">
        <v>88.576031900000004</v>
      </c>
      <c r="F336" s="1">
        <v>1.485629517</v>
      </c>
      <c r="G336" s="1">
        <v>9.9383385820000001</v>
      </c>
      <c r="H336" s="1">
        <v>0</v>
      </c>
      <c r="I336" s="1">
        <v>82.542490749999999</v>
      </c>
      <c r="J336" s="1">
        <v>1.4702224820000001</v>
      </c>
      <c r="K336" s="1">
        <v>15.987286770000001</v>
      </c>
      <c r="L336" s="1">
        <v>0</v>
      </c>
      <c r="M336" s="1">
        <v>96.742399399999996</v>
      </c>
      <c r="N336" s="1">
        <v>1.5064828610000001</v>
      </c>
      <c r="O336" s="1">
        <v>1.7511177389999999</v>
      </c>
      <c r="P336" s="1">
        <v>0</v>
      </c>
      <c r="Q336" s="2">
        <f t="shared" si="11"/>
        <v>5</v>
      </c>
      <c r="R336" s="1">
        <f t="shared" si="12"/>
        <v>0.39878606799999827</v>
      </c>
      <c r="S336" s="1">
        <f t="shared" si="13"/>
        <v>0.58770947399999895</v>
      </c>
      <c r="T336" s="1">
        <f t="shared" si="14"/>
        <v>0.12300901600000032</v>
      </c>
      <c r="U336" s="1">
        <f t="shared" si="15"/>
        <v>89</v>
      </c>
      <c r="V336" s="3">
        <f t="shared" si="16"/>
        <v>83</v>
      </c>
      <c r="W336" s="3">
        <f t="shared" si="17"/>
        <v>97</v>
      </c>
      <c r="X336" s="3" t="str">
        <f t="shared" si="18"/>
        <v/>
      </c>
      <c r="Y336" s="3" t="str">
        <f t="shared" si="19"/>
        <v/>
      </c>
      <c r="Z336" s="1" t="str">
        <f t="shared" si="20"/>
        <v/>
      </c>
      <c r="AA336" s="3">
        <f t="shared" si="21"/>
        <v>0.46470045799999865</v>
      </c>
      <c r="AB336" s="3" t="str">
        <f>LOOKUP($A336,Sheet2!$A$1:$B$233)</f>
        <v>Europe &amp; Central Asia</v>
      </c>
    </row>
    <row r="337" spans="1:28">
      <c r="A337" s="1" t="s">
        <v>203</v>
      </c>
      <c r="B337" s="1">
        <v>2020</v>
      </c>
      <c r="C337" s="1">
        <v>4033.9628910000001</v>
      </c>
      <c r="D337" s="1">
        <v>42.849002839999997</v>
      </c>
      <c r="E337" s="1">
        <v>90.569962239999995</v>
      </c>
      <c r="F337" s="1">
        <v>1.519776762</v>
      </c>
      <c r="G337" s="1">
        <v>7.910260997</v>
      </c>
      <c r="H337" s="1">
        <v>0</v>
      </c>
      <c r="I337" s="1">
        <v>85.481038119999994</v>
      </c>
      <c r="J337" s="1">
        <v>1.52256302</v>
      </c>
      <c r="K337" s="1">
        <v>12.996398859999999</v>
      </c>
      <c r="L337" s="1">
        <v>0</v>
      </c>
      <c r="M337" s="1">
        <v>97.357444479999998</v>
      </c>
      <c r="N337" s="1">
        <v>1.516060408</v>
      </c>
      <c r="O337" s="1">
        <v>1.1264951110000001</v>
      </c>
      <c r="P337" s="1">
        <v>0</v>
      </c>
      <c r="Q337" s="2" t="str">
        <f t="shared" si="11"/>
        <v/>
      </c>
      <c r="R337" s="1" t="str">
        <f t="shared" si="12"/>
        <v/>
      </c>
      <c r="S337" s="1" t="str">
        <f t="shared" si="13"/>
        <v/>
      </c>
      <c r="T337" s="1" t="str">
        <f t="shared" si="14"/>
        <v/>
      </c>
      <c r="U337" s="1">
        <f t="shared" si="15"/>
        <v>91</v>
      </c>
      <c r="V337" s="3">
        <f t="shared" si="16"/>
        <v>85</v>
      </c>
      <c r="W337" s="3">
        <f t="shared" si="17"/>
        <v>97</v>
      </c>
      <c r="X337" s="3" t="str">
        <f t="shared" si="18"/>
        <v/>
      </c>
      <c r="Y337" s="3" t="str">
        <f t="shared" si="19"/>
        <v/>
      </c>
      <c r="Z337" s="1" t="str">
        <f t="shared" si="20"/>
        <v/>
      </c>
      <c r="AA337" s="3" t="str">
        <f t="shared" si="21"/>
        <v/>
      </c>
      <c r="AB337" s="3" t="str">
        <f>LOOKUP($A337,Sheet2!$A$1:$B$233)</f>
        <v>Europe &amp; Central Asia</v>
      </c>
    </row>
    <row r="338" spans="1:28">
      <c r="A338" s="1" t="s">
        <v>204</v>
      </c>
      <c r="B338" s="1">
        <v>2015</v>
      </c>
      <c r="C338" s="1">
        <v>863.35900879999997</v>
      </c>
      <c r="D338" s="1">
        <v>99.339004520000003</v>
      </c>
      <c r="E338" s="1">
        <v>99.911530189999993</v>
      </c>
      <c r="F338" s="1">
        <v>0</v>
      </c>
      <c r="G338" s="1">
        <v>8.8469814100000002E-2</v>
      </c>
      <c r="H338" s="1">
        <v>0</v>
      </c>
      <c r="I338" s="1" t="s">
        <v>272</v>
      </c>
      <c r="J338" s="1" t="s">
        <v>272</v>
      </c>
      <c r="K338" s="1" t="s">
        <v>272</v>
      </c>
      <c r="L338" s="1" t="s">
        <v>272</v>
      </c>
      <c r="M338" s="1" t="s">
        <v>272</v>
      </c>
      <c r="N338" s="1" t="s">
        <v>272</v>
      </c>
      <c r="O338" s="1" t="s">
        <v>272</v>
      </c>
      <c r="P338" s="1" t="s">
        <v>272</v>
      </c>
      <c r="Q338" s="2">
        <f t="shared" si="11"/>
        <v>5</v>
      </c>
      <c r="R338" s="1">
        <f t="shared" si="12"/>
        <v>1.7693962000001305E-2</v>
      </c>
      <c r="S338" s="1" t="str">
        <f t="shared" si="13"/>
        <v>null</v>
      </c>
      <c r="T338" s="1" t="str">
        <f t="shared" si="14"/>
        <v>null</v>
      </c>
      <c r="U338" s="1">
        <f t="shared" si="15"/>
        <v>100</v>
      </c>
      <c r="V338" s="3" t="str">
        <f t="shared" si="16"/>
        <v>null</v>
      </c>
      <c r="W338" s="3" t="str">
        <f t="shared" si="17"/>
        <v>null</v>
      </c>
      <c r="X338" s="3" t="str">
        <f t="shared" si="18"/>
        <v>fullaccesss</v>
      </c>
      <c r="Y338" s="3" t="str">
        <f t="shared" si="19"/>
        <v/>
      </c>
      <c r="Z338" s="1" t="str">
        <f t="shared" si="20"/>
        <v/>
      </c>
      <c r="AA338" s="3" t="str">
        <f t="shared" si="21"/>
        <v>null</v>
      </c>
      <c r="AB338" s="3" t="str">
        <f>LOOKUP($A338,Sheet2!$A$1:$B$233)</f>
        <v>Sub-Saharan Africa</v>
      </c>
    </row>
    <row r="339" spans="1:28">
      <c r="A339" s="1" t="s">
        <v>204</v>
      </c>
      <c r="B339" s="1">
        <v>2020</v>
      </c>
      <c r="C339" s="1">
        <v>895.30798340000001</v>
      </c>
      <c r="D339" s="1">
        <v>99.659004210000006</v>
      </c>
      <c r="E339" s="1">
        <v>100</v>
      </c>
      <c r="F339" s="1">
        <v>0</v>
      </c>
      <c r="G339" s="1">
        <v>0</v>
      </c>
      <c r="H339" s="1">
        <v>0</v>
      </c>
      <c r="I339" s="1" t="s">
        <v>272</v>
      </c>
      <c r="J339" s="1" t="s">
        <v>272</v>
      </c>
      <c r="K339" s="1" t="s">
        <v>272</v>
      </c>
      <c r="L339" s="1" t="s">
        <v>272</v>
      </c>
      <c r="M339" s="1" t="s">
        <v>272</v>
      </c>
      <c r="N339" s="1" t="s">
        <v>272</v>
      </c>
      <c r="O339" s="1" t="s">
        <v>272</v>
      </c>
      <c r="P339" s="1" t="s">
        <v>272</v>
      </c>
      <c r="Q339" s="2" t="str">
        <f t="shared" si="11"/>
        <v/>
      </c>
      <c r="R339" s="1" t="str">
        <f t="shared" si="12"/>
        <v/>
      </c>
      <c r="S339" s="1" t="str">
        <f t="shared" si="13"/>
        <v/>
      </c>
      <c r="T339" s="1" t="str">
        <f t="shared" si="14"/>
        <v/>
      </c>
      <c r="U339" s="1">
        <f t="shared" si="15"/>
        <v>100</v>
      </c>
      <c r="V339" s="3" t="str">
        <f t="shared" si="16"/>
        <v>null</v>
      </c>
      <c r="W339" s="3" t="str">
        <f t="shared" si="17"/>
        <v>null</v>
      </c>
      <c r="X339" s="3" t="str">
        <f t="shared" si="18"/>
        <v/>
      </c>
      <c r="Y339" s="3" t="str">
        <f t="shared" si="19"/>
        <v/>
      </c>
      <c r="Z339" s="1" t="str">
        <f t="shared" si="20"/>
        <v/>
      </c>
      <c r="AA339" s="3" t="str">
        <f t="shared" si="21"/>
        <v/>
      </c>
      <c r="AB339" s="3" t="str">
        <f>LOOKUP($A339,Sheet2!$A$1:$B$233)</f>
        <v>Sub-Saharan Africa</v>
      </c>
    </row>
    <row r="340" spans="1:28">
      <c r="A340" s="1" t="s">
        <v>205</v>
      </c>
      <c r="B340" s="1">
        <v>2015</v>
      </c>
      <c r="C340" s="1">
        <v>19925.181639999999</v>
      </c>
      <c r="D340" s="1">
        <v>53.886997219999998</v>
      </c>
      <c r="E340" s="1">
        <v>100</v>
      </c>
      <c r="F340" s="1">
        <v>0</v>
      </c>
      <c r="G340" s="1">
        <v>0</v>
      </c>
      <c r="H340" s="1">
        <v>0</v>
      </c>
      <c r="I340" s="1">
        <v>100</v>
      </c>
      <c r="J340" s="1">
        <v>0</v>
      </c>
      <c r="K340" s="1">
        <v>0</v>
      </c>
      <c r="L340" s="1">
        <v>0</v>
      </c>
      <c r="M340" s="1">
        <v>100</v>
      </c>
      <c r="N340" s="1">
        <v>0</v>
      </c>
      <c r="O340" s="1">
        <v>0</v>
      </c>
      <c r="P340" s="1">
        <v>0</v>
      </c>
      <c r="Q340" s="2">
        <f t="shared" si="11"/>
        <v>5</v>
      </c>
      <c r="R340" s="1">
        <f t="shared" si="12"/>
        <v>0</v>
      </c>
      <c r="S340" s="1">
        <f t="shared" si="13"/>
        <v>0</v>
      </c>
      <c r="T340" s="1">
        <f t="shared" si="14"/>
        <v>0</v>
      </c>
      <c r="U340" s="1">
        <f t="shared" si="15"/>
        <v>100</v>
      </c>
      <c r="V340" s="3">
        <f t="shared" si="16"/>
        <v>100</v>
      </c>
      <c r="W340" s="3">
        <f t="shared" si="17"/>
        <v>100</v>
      </c>
      <c r="X340" s="3" t="str">
        <f t="shared" si="18"/>
        <v>fullaccesss</v>
      </c>
      <c r="Y340" s="3" t="str">
        <f t="shared" si="19"/>
        <v>fullaccesss</v>
      </c>
      <c r="Z340" s="1" t="str">
        <f t="shared" si="20"/>
        <v>fullaccesss</v>
      </c>
      <c r="AA340" s="3">
        <f t="shared" si="21"/>
        <v>0</v>
      </c>
      <c r="AB340" s="3" t="str">
        <f>LOOKUP($A340,Sheet2!$A$1:$B$233)</f>
        <v>Europe &amp; Central Asia</v>
      </c>
    </row>
    <row r="341" spans="1:28">
      <c r="A341" s="1" t="s">
        <v>205</v>
      </c>
      <c r="B341" s="1">
        <v>2020</v>
      </c>
      <c r="C341" s="1">
        <v>19237.681639999999</v>
      </c>
      <c r="D341" s="1">
        <v>54.194000240000001</v>
      </c>
      <c r="E341" s="1">
        <v>100</v>
      </c>
      <c r="F341" s="1">
        <v>0</v>
      </c>
      <c r="G341" s="1">
        <v>0</v>
      </c>
      <c r="H341" s="1">
        <v>0</v>
      </c>
      <c r="I341" s="1">
        <v>100</v>
      </c>
      <c r="J341" s="1">
        <v>0</v>
      </c>
      <c r="K341" s="1">
        <v>0</v>
      </c>
      <c r="L341" s="1">
        <v>0</v>
      </c>
      <c r="M341" s="1">
        <v>100</v>
      </c>
      <c r="N341" s="1">
        <v>0</v>
      </c>
      <c r="O341" s="1">
        <v>0</v>
      </c>
      <c r="P341" s="1">
        <v>0</v>
      </c>
      <c r="Q341" s="2" t="str">
        <f t="shared" si="11"/>
        <v/>
      </c>
      <c r="R341" s="1" t="str">
        <f t="shared" si="12"/>
        <v/>
      </c>
      <c r="S341" s="1" t="str">
        <f t="shared" si="13"/>
        <v/>
      </c>
      <c r="T341" s="1" t="str">
        <f t="shared" si="14"/>
        <v/>
      </c>
      <c r="U341" s="1">
        <f t="shared" si="15"/>
        <v>100</v>
      </c>
      <c r="V341" s="3">
        <f t="shared" si="16"/>
        <v>100</v>
      </c>
      <c r="W341" s="3">
        <f t="shared" si="17"/>
        <v>100</v>
      </c>
      <c r="X341" s="3" t="str">
        <f t="shared" si="18"/>
        <v/>
      </c>
      <c r="Y341" s="3" t="str">
        <f t="shared" si="19"/>
        <v/>
      </c>
      <c r="Z341" s="1" t="str">
        <f t="shared" si="20"/>
        <v/>
      </c>
      <c r="AA341" s="3" t="str">
        <f t="shared" si="21"/>
        <v/>
      </c>
      <c r="AB341" s="3" t="str">
        <f>LOOKUP($A341,Sheet2!$A$1:$B$233)</f>
        <v>Europe &amp; Central Asia</v>
      </c>
    </row>
    <row r="342" spans="1:28">
      <c r="A342" s="1" t="s">
        <v>206</v>
      </c>
      <c r="B342" s="1">
        <v>2015</v>
      </c>
      <c r="C342" s="1">
        <v>144985.0625</v>
      </c>
      <c r="D342" s="1">
        <v>74.049995420000002</v>
      </c>
      <c r="E342" s="1">
        <v>96.527155429999993</v>
      </c>
      <c r="F342" s="1">
        <v>0.62448653440000002</v>
      </c>
      <c r="G342" s="1">
        <v>2.848358036</v>
      </c>
      <c r="H342" s="1" t="s">
        <v>272</v>
      </c>
      <c r="I342" s="1">
        <v>90.110109010000002</v>
      </c>
      <c r="J342" s="1">
        <v>1.558364042</v>
      </c>
      <c r="K342" s="1">
        <v>8.3315269460000003</v>
      </c>
      <c r="L342" s="1" t="s">
        <v>272</v>
      </c>
      <c r="M342" s="1">
        <v>98.775934890000002</v>
      </c>
      <c r="N342" s="1">
        <v>0.29721946310000003</v>
      </c>
      <c r="O342" s="1">
        <v>0.72684564200000001</v>
      </c>
      <c r="P342" s="1">
        <v>0.2</v>
      </c>
      <c r="Q342" s="2">
        <f t="shared" si="11"/>
        <v>5</v>
      </c>
      <c r="R342" s="1">
        <f t="shared" si="12"/>
        <v>9.307852800000091E-2</v>
      </c>
      <c r="S342" s="1">
        <f t="shared" si="13"/>
        <v>0.2867985900000008</v>
      </c>
      <c r="T342" s="1">
        <f t="shared" si="14"/>
        <v>1.1332944000000112E-2</v>
      </c>
      <c r="U342" s="1">
        <f t="shared" si="15"/>
        <v>97</v>
      </c>
      <c r="V342" s="3">
        <f t="shared" si="16"/>
        <v>90</v>
      </c>
      <c r="W342" s="3">
        <f t="shared" si="17"/>
        <v>99</v>
      </c>
      <c r="X342" s="3" t="str">
        <f t="shared" si="18"/>
        <v/>
      </c>
      <c r="Y342" s="3" t="str">
        <f t="shared" si="19"/>
        <v/>
      </c>
      <c r="Z342" s="1" t="str">
        <f t="shared" si="20"/>
        <v/>
      </c>
      <c r="AA342" s="3">
        <f t="shared" si="21"/>
        <v>0.27546564600000067</v>
      </c>
      <c r="AB342" s="3" t="str">
        <f>LOOKUP($A342,Sheet2!$A$1:$B$233)</f>
        <v>Europe &amp; Central Asia</v>
      </c>
    </row>
    <row r="343" spans="1:28">
      <c r="A343" s="1" t="s">
        <v>206</v>
      </c>
      <c r="B343" s="1">
        <v>2020</v>
      </c>
      <c r="C343" s="1">
        <v>145934.45310000001</v>
      </c>
      <c r="D343" s="1">
        <v>74.754005430000007</v>
      </c>
      <c r="E343" s="1">
        <v>96.992548069999998</v>
      </c>
      <c r="F343" s="1">
        <v>0.62199637659999996</v>
      </c>
      <c r="G343" s="1">
        <v>2.3854555500000001</v>
      </c>
      <c r="H343" s="1" t="s">
        <v>272</v>
      </c>
      <c r="I343" s="1">
        <v>91.544101960000006</v>
      </c>
      <c r="J343" s="1">
        <v>1.5831635129999999</v>
      </c>
      <c r="K343" s="1">
        <v>6.8727345309999999</v>
      </c>
      <c r="L343" s="1" t="s">
        <v>272</v>
      </c>
      <c r="M343" s="1">
        <v>98.832599610000003</v>
      </c>
      <c r="N343" s="1">
        <v>0.29738996870000001</v>
      </c>
      <c r="O343" s="1">
        <v>0.67001042359999996</v>
      </c>
      <c r="P343" s="1">
        <v>0.2</v>
      </c>
      <c r="Q343" s="2" t="str">
        <f t="shared" si="11"/>
        <v/>
      </c>
      <c r="R343" s="1" t="str">
        <f t="shared" si="12"/>
        <v/>
      </c>
      <c r="S343" s="1" t="str">
        <f t="shared" si="13"/>
        <v/>
      </c>
      <c r="T343" s="1" t="str">
        <f t="shared" si="14"/>
        <v/>
      </c>
      <c r="U343" s="1">
        <f t="shared" si="15"/>
        <v>97</v>
      </c>
      <c r="V343" s="3">
        <f t="shared" si="16"/>
        <v>92</v>
      </c>
      <c r="W343" s="3">
        <f t="shared" si="17"/>
        <v>99</v>
      </c>
      <c r="X343" s="3" t="str">
        <f t="shared" si="18"/>
        <v/>
      </c>
      <c r="Y343" s="3" t="str">
        <f t="shared" si="19"/>
        <v/>
      </c>
      <c r="Z343" s="1" t="str">
        <f t="shared" si="20"/>
        <v/>
      </c>
      <c r="AA343" s="3" t="str">
        <f t="shared" si="21"/>
        <v/>
      </c>
      <c r="AB343" s="3" t="str">
        <f>LOOKUP($A343,Sheet2!$A$1:$B$233)</f>
        <v>Europe &amp; Central Asia</v>
      </c>
    </row>
    <row r="344" spans="1:28">
      <c r="A344" s="1" t="s">
        <v>207</v>
      </c>
      <c r="B344" s="1">
        <v>2015</v>
      </c>
      <c r="C344" s="1">
        <v>11369.066409999999</v>
      </c>
      <c r="D344" s="1">
        <v>17.003999709999999</v>
      </c>
      <c r="E344" s="1">
        <v>57.121774019999997</v>
      </c>
      <c r="F344" s="1">
        <v>22.154046149999999</v>
      </c>
      <c r="G344" s="1">
        <v>13.45013172</v>
      </c>
      <c r="H344" s="1">
        <v>7.2740481099999998</v>
      </c>
      <c r="I344" s="1">
        <v>52.352709560000001</v>
      </c>
      <c r="J344" s="1">
        <v>24.60883866</v>
      </c>
      <c r="K344" s="1">
        <v>14.980603540000001</v>
      </c>
      <c r="L344" s="1">
        <v>8.0578482410000003</v>
      </c>
      <c r="M344" s="1">
        <v>80.399437379999995</v>
      </c>
      <c r="N344" s="1">
        <v>10.172282620000001</v>
      </c>
      <c r="O344" s="1">
        <v>5.9799351659999997</v>
      </c>
      <c r="P344" s="1">
        <v>3.4483448280000002</v>
      </c>
      <c r="Q344" s="2">
        <f t="shared" si="11"/>
        <v>5</v>
      </c>
      <c r="R344" s="1">
        <f t="shared" si="12"/>
        <v>0.65854542600000054</v>
      </c>
      <c r="S344" s="1">
        <f t="shared" si="13"/>
        <v>0.65795173399999951</v>
      </c>
      <c r="T344" s="1">
        <f t="shared" si="14"/>
        <v>0.52363238400000112</v>
      </c>
      <c r="U344" s="1">
        <f t="shared" si="15"/>
        <v>57</v>
      </c>
      <c r="V344" s="3">
        <f t="shared" si="16"/>
        <v>52</v>
      </c>
      <c r="W344" s="3">
        <f t="shared" si="17"/>
        <v>80</v>
      </c>
      <c r="X344" s="3" t="str">
        <f t="shared" si="18"/>
        <v/>
      </c>
      <c r="Y344" s="3" t="str">
        <f t="shared" si="19"/>
        <v/>
      </c>
      <c r="Z344" s="1" t="str">
        <f t="shared" si="20"/>
        <v/>
      </c>
      <c r="AA344" s="3">
        <f t="shared" si="21"/>
        <v>0.13431934999999839</v>
      </c>
      <c r="AB344" s="3" t="str">
        <f>LOOKUP($A344,Sheet2!$A$1:$B$233)</f>
        <v>Sub-Saharan Africa</v>
      </c>
    </row>
    <row r="345" spans="1:28">
      <c r="A345" s="1" t="s">
        <v>207</v>
      </c>
      <c r="B345" s="1">
        <v>2020</v>
      </c>
      <c r="C345" s="1">
        <v>12952.208979999999</v>
      </c>
      <c r="D345" s="1">
        <v>17.432001110000002</v>
      </c>
      <c r="E345" s="1">
        <v>60.41450115</v>
      </c>
      <c r="F345" s="1">
        <v>22.3207193</v>
      </c>
      <c r="G345" s="1">
        <v>13.15480415</v>
      </c>
      <c r="H345" s="1">
        <v>4.1099754009999998</v>
      </c>
      <c r="I345" s="1">
        <v>55.642468229999999</v>
      </c>
      <c r="J345" s="1">
        <v>25.08014133</v>
      </c>
      <c r="K345" s="1">
        <v>14.778867719999999</v>
      </c>
      <c r="L345" s="1">
        <v>4.4985227139999999</v>
      </c>
      <c r="M345" s="1">
        <v>83.017599300000001</v>
      </c>
      <c r="N345" s="1">
        <v>9.2505062509999991</v>
      </c>
      <c r="O345" s="1">
        <v>5.4623030569999997</v>
      </c>
      <c r="P345" s="1">
        <v>2.2695913939999999</v>
      </c>
      <c r="Q345" s="2" t="str">
        <f t="shared" si="11"/>
        <v/>
      </c>
      <c r="R345" s="1" t="str">
        <f t="shared" si="12"/>
        <v/>
      </c>
      <c r="S345" s="1" t="str">
        <f t="shared" si="13"/>
        <v/>
      </c>
      <c r="T345" s="1" t="str">
        <f t="shared" si="14"/>
        <v/>
      </c>
      <c r="U345" s="1">
        <f t="shared" si="15"/>
        <v>60</v>
      </c>
      <c r="V345" s="3">
        <f t="shared" si="16"/>
        <v>56</v>
      </c>
      <c r="W345" s="3">
        <f t="shared" si="17"/>
        <v>83</v>
      </c>
      <c r="X345" s="3" t="str">
        <f t="shared" si="18"/>
        <v/>
      </c>
      <c r="Y345" s="3" t="str">
        <f t="shared" si="19"/>
        <v/>
      </c>
      <c r="Z345" s="1" t="str">
        <f t="shared" si="20"/>
        <v/>
      </c>
      <c r="AA345" s="3" t="str">
        <f t="shared" si="21"/>
        <v/>
      </c>
      <c r="AB345" s="3" t="str">
        <f>LOOKUP($A345,Sheet2!$A$1:$B$233)</f>
        <v>Sub-Saharan Africa</v>
      </c>
    </row>
    <row r="346" spans="1:28">
      <c r="A346" s="1" t="s">
        <v>209</v>
      </c>
      <c r="B346" s="1">
        <v>2015</v>
      </c>
      <c r="C346" s="1">
        <v>9.6959999999999997</v>
      </c>
      <c r="D346" s="1">
        <v>100</v>
      </c>
      <c r="E346" s="1">
        <v>99.964919269999996</v>
      </c>
      <c r="F346" s="1">
        <v>0</v>
      </c>
      <c r="G346" s="1">
        <v>3.5080726299999997E-2</v>
      </c>
      <c r="H346" s="1">
        <v>0</v>
      </c>
      <c r="I346" s="1" t="s">
        <v>272</v>
      </c>
      <c r="J346" s="1" t="s">
        <v>272</v>
      </c>
      <c r="K346" s="1" t="s">
        <v>272</v>
      </c>
      <c r="L346" s="1" t="s">
        <v>272</v>
      </c>
      <c r="M346" s="1">
        <v>99.964919269999996</v>
      </c>
      <c r="N346" s="1">
        <v>0</v>
      </c>
      <c r="O346" s="1">
        <v>3.5080726299999997E-2</v>
      </c>
      <c r="P346" s="1">
        <v>0</v>
      </c>
      <c r="Q346" s="2">
        <f t="shared" si="11"/>
        <v>5</v>
      </c>
      <c r="R346" s="1">
        <f t="shared" si="12"/>
        <v>7.0161460000008448E-3</v>
      </c>
      <c r="S346" s="1" t="str">
        <f t="shared" si="13"/>
        <v>null</v>
      </c>
      <c r="T346" s="1">
        <f t="shared" si="14"/>
        <v>7.0161460000008448E-3</v>
      </c>
      <c r="U346" s="1">
        <f t="shared" si="15"/>
        <v>100</v>
      </c>
      <c r="V346" s="3" t="str">
        <f t="shared" si="16"/>
        <v>null</v>
      </c>
      <c r="W346" s="3">
        <f t="shared" si="17"/>
        <v>100</v>
      </c>
      <c r="X346" s="3" t="str">
        <f t="shared" si="18"/>
        <v>fullaccesss</v>
      </c>
      <c r="Y346" s="3" t="str">
        <f t="shared" si="19"/>
        <v/>
      </c>
      <c r="Z346" s="1" t="str">
        <f t="shared" si="20"/>
        <v>fullaccesss</v>
      </c>
      <c r="AA346" s="3" t="str">
        <f t="shared" si="21"/>
        <v>null</v>
      </c>
      <c r="AB346" s="3" t="str">
        <f>LOOKUP($A346,Sheet2!$A$1:$B$233)</f>
        <v>Latin America &amp; Caribbean</v>
      </c>
    </row>
    <row r="347" spans="1:28">
      <c r="A347" s="1" t="s">
        <v>209</v>
      </c>
      <c r="B347" s="1">
        <v>2020</v>
      </c>
      <c r="C347" s="1">
        <v>9.8849999999999998</v>
      </c>
      <c r="D347" s="1">
        <v>100</v>
      </c>
      <c r="E347" s="1">
        <v>100</v>
      </c>
      <c r="F347" s="1">
        <v>0</v>
      </c>
      <c r="G347" s="1">
        <v>0</v>
      </c>
      <c r="H347" s="1">
        <v>0</v>
      </c>
      <c r="I347" s="1" t="s">
        <v>272</v>
      </c>
      <c r="J347" s="1" t="s">
        <v>272</v>
      </c>
      <c r="K347" s="1" t="s">
        <v>272</v>
      </c>
      <c r="L347" s="1" t="s">
        <v>272</v>
      </c>
      <c r="M347" s="1">
        <v>100</v>
      </c>
      <c r="N347" s="1">
        <v>0</v>
      </c>
      <c r="O347" s="1">
        <v>0</v>
      </c>
      <c r="P347" s="1">
        <v>0</v>
      </c>
      <c r="Q347" s="2" t="str">
        <f t="shared" si="11"/>
        <v/>
      </c>
      <c r="R347" s="1" t="str">
        <f t="shared" si="12"/>
        <v/>
      </c>
      <c r="S347" s="1" t="str">
        <f t="shared" si="13"/>
        <v/>
      </c>
      <c r="T347" s="1" t="str">
        <f t="shared" si="14"/>
        <v/>
      </c>
      <c r="U347" s="1">
        <f t="shared" si="15"/>
        <v>100</v>
      </c>
      <c r="V347" s="3" t="str">
        <f t="shared" si="16"/>
        <v>null</v>
      </c>
      <c r="W347" s="3">
        <f t="shared" si="17"/>
        <v>100</v>
      </c>
      <c r="X347" s="3" t="str">
        <f t="shared" si="18"/>
        <v/>
      </c>
      <c r="Y347" s="3" t="str">
        <f t="shared" si="19"/>
        <v/>
      </c>
      <c r="Z347" s="1" t="str">
        <f t="shared" si="20"/>
        <v/>
      </c>
      <c r="AA347" s="3" t="str">
        <f t="shared" si="21"/>
        <v/>
      </c>
      <c r="AB347" s="3" t="str">
        <f>LOOKUP($A347,Sheet2!$A$1:$B$233)</f>
        <v>Latin America &amp; Caribbean</v>
      </c>
    </row>
    <row r="348" spans="1:28">
      <c r="A348" s="1" t="s">
        <v>211</v>
      </c>
      <c r="B348" s="1">
        <v>2015</v>
      </c>
      <c r="C348" s="1">
        <v>5.8689999579999999</v>
      </c>
      <c r="D348" s="1">
        <v>39.539997100000001</v>
      </c>
      <c r="E348" s="1">
        <v>98.95</v>
      </c>
      <c r="F348" s="1">
        <v>0</v>
      </c>
      <c r="G348" s="1">
        <v>1.05</v>
      </c>
      <c r="H348" s="1">
        <v>0</v>
      </c>
      <c r="I348" s="1" t="s">
        <v>272</v>
      </c>
      <c r="J348" s="1" t="s">
        <v>272</v>
      </c>
      <c r="K348" s="1" t="s">
        <v>272</v>
      </c>
      <c r="L348" s="1" t="s">
        <v>272</v>
      </c>
      <c r="M348" s="1" t="s">
        <v>272</v>
      </c>
      <c r="N348" s="1" t="s">
        <v>272</v>
      </c>
      <c r="O348" s="1" t="s">
        <v>272</v>
      </c>
      <c r="P348" s="1" t="s">
        <v>272</v>
      </c>
      <c r="Q348" s="2">
        <f t="shared" si="11"/>
        <v>5</v>
      </c>
      <c r="R348" s="1">
        <f t="shared" si="12"/>
        <v>2.9999999999998295E-2</v>
      </c>
      <c r="S348" s="1" t="str">
        <f t="shared" si="13"/>
        <v>null</v>
      </c>
      <c r="T348" s="1" t="str">
        <f t="shared" si="14"/>
        <v>null</v>
      </c>
      <c r="U348" s="1">
        <f t="shared" si="15"/>
        <v>99</v>
      </c>
      <c r="V348" s="3" t="str">
        <f t="shared" si="16"/>
        <v>null</v>
      </c>
      <c r="W348" s="3" t="str">
        <f t="shared" si="17"/>
        <v>null</v>
      </c>
      <c r="X348" s="3" t="str">
        <f t="shared" si="18"/>
        <v/>
      </c>
      <c r="Y348" s="3" t="str">
        <f t="shared" si="19"/>
        <v/>
      </c>
      <c r="Z348" s="1" t="str">
        <f t="shared" si="20"/>
        <v/>
      </c>
      <c r="AA348" s="3" t="str">
        <f t="shared" si="21"/>
        <v>null</v>
      </c>
      <c r="AB348" s="3" t="str">
        <f>LOOKUP($A348,Sheet2!$A$1:$B$233)</f>
        <v>Sub-Saharan Africa</v>
      </c>
    </row>
    <row r="349" spans="1:28">
      <c r="A349" s="1" t="s">
        <v>211</v>
      </c>
      <c r="B349" s="1">
        <v>2020</v>
      </c>
      <c r="C349" s="1">
        <v>6.0710000989999999</v>
      </c>
      <c r="D349" s="1">
        <v>40.082000729999997</v>
      </c>
      <c r="E349" s="1">
        <v>99.1</v>
      </c>
      <c r="F349" s="1">
        <v>0</v>
      </c>
      <c r="G349" s="1">
        <v>0.9</v>
      </c>
      <c r="H349" s="1">
        <v>0</v>
      </c>
      <c r="I349" s="1" t="s">
        <v>272</v>
      </c>
      <c r="J349" s="1" t="s">
        <v>272</v>
      </c>
      <c r="K349" s="1" t="s">
        <v>272</v>
      </c>
      <c r="L349" s="1" t="s">
        <v>272</v>
      </c>
      <c r="M349" s="1" t="s">
        <v>272</v>
      </c>
      <c r="N349" s="1" t="s">
        <v>272</v>
      </c>
      <c r="O349" s="1" t="s">
        <v>272</v>
      </c>
      <c r="P349" s="1" t="s">
        <v>272</v>
      </c>
      <c r="Q349" s="2" t="str">
        <f t="shared" si="11"/>
        <v/>
      </c>
      <c r="R349" s="1" t="str">
        <f t="shared" si="12"/>
        <v/>
      </c>
      <c r="S349" s="1" t="str">
        <f t="shared" si="13"/>
        <v/>
      </c>
      <c r="T349" s="1" t="str">
        <f t="shared" si="14"/>
        <v/>
      </c>
      <c r="U349" s="1">
        <f t="shared" si="15"/>
        <v>99</v>
      </c>
      <c r="V349" s="3" t="str">
        <f t="shared" si="16"/>
        <v>null</v>
      </c>
      <c r="W349" s="3" t="str">
        <f t="shared" si="17"/>
        <v>null</v>
      </c>
      <c r="X349" s="3" t="str">
        <f t="shared" si="18"/>
        <v/>
      </c>
      <c r="Y349" s="3" t="str">
        <f t="shared" si="19"/>
        <v/>
      </c>
      <c r="Z349" s="1" t="str">
        <f t="shared" si="20"/>
        <v/>
      </c>
      <c r="AA349" s="3" t="str">
        <f t="shared" si="21"/>
        <v/>
      </c>
      <c r="AB349" s="3" t="str">
        <f>LOOKUP($A349,Sheet2!$A$1:$B$233)</f>
        <v>Sub-Saharan Africa</v>
      </c>
    </row>
    <row r="350" spans="1:28">
      <c r="A350" s="1" t="s">
        <v>213</v>
      </c>
      <c r="B350" s="1">
        <v>2015</v>
      </c>
      <c r="C350" s="1">
        <v>51.203998570000003</v>
      </c>
      <c r="D350" s="1">
        <v>30.82700157</v>
      </c>
      <c r="E350" s="1">
        <v>98.611854129999998</v>
      </c>
      <c r="F350" s="1">
        <v>0</v>
      </c>
      <c r="G350" s="1">
        <v>1.3881458680000001</v>
      </c>
      <c r="H350" s="1">
        <v>0</v>
      </c>
      <c r="I350" s="1" t="s">
        <v>272</v>
      </c>
      <c r="J350" s="1" t="s">
        <v>272</v>
      </c>
      <c r="K350" s="1" t="s">
        <v>272</v>
      </c>
      <c r="L350" s="1" t="s">
        <v>272</v>
      </c>
      <c r="M350" s="1" t="s">
        <v>272</v>
      </c>
      <c r="N350" s="1" t="s">
        <v>272</v>
      </c>
      <c r="O350" s="1" t="s">
        <v>272</v>
      </c>
      <c r="P350" s="1" t="s">
        <v>272</v>
      </c>
      <c r="Q350" s="2">
        <f t="shared" si="11"/>
        <v>2</v>
      </c>
      <c r="R350" s="1">
        <f t="shared" si="12"/>
        <v>0</v>
      </c>
      <c r="S350" s="1" t="str">
        <f t="shared" si="13"/>
        <v>null</v>
      </c>
      <c r="T350" s="1" t="str">
        <f t="shared" si="14"/>
        <v>null</v>
      </c>
      <c r="U350" s="1">
        <f t="shared" si="15"/>
        <v>99</v>
      </c>
      <c r="V350" s="3" t="str">
        <f t="shared" si="16"/>
        <v>null</v>
      </c>
      <c r="W350" s="3" t="str">
        <f t="shared" si="17"/>
        <v>null</v>
      </c>
      <c r="X350" s="3" t="str">
        <f t="shared" si="18"/>
        <v/>
      </c>
      <c r="Y350" s="3" t="str">
        <f t="shared" si="19"/>
        <v/>
      </c>
      <c r="Z350" s="1" t="str">
        <f t="shared" si="20"/>
        <v/>
      </c>
      <c r="AA350" s="3" t="str">
        <f t="shared" si="21"/>
        <v>null</v>
      </c>
      <c r="AB350" s="3" t="str">
        <f>LOOKUP($A350,Sheet2!$A$1:$B$233)</f>
        <v>Latin America &amp; Caribbean</v>
      </c>
    </row>
    <row r="351" spans="1:28">
      <c r="A351" s="1" t="s">
        <v>213</v>
      </c>
      <c r="B351" s="1">
        <v>2017</v>
      </c>
      <c r="C351" s="1">
        <v>52.0359993</v>
      </c>
      <c r="D351" s="1">
        <v>30.772996899999999</v>
      </c>
      <c r="E351" s="1">
        <v>98.611854129999998</v>
      </c>
      <c r="F351" s="1">
        <v>0</v>
      </c>
      <c r="G351" s="1">
        <v>1.3881458680000001</v>
      </c>
      <c r="H351" s="1">
        <v>0</v>
      </c>
      <c r="I351" s="1" t="s">
        <v>272</v>
      </c>
      <c r="J351" s="1" t="s">
        <v>272</v>
      </c>
      <c r="K351" s="1" t="s">
        <v>272</v>
      </c>
      <c r="L351" s="1" t="s">
        <v>272</v>
      </c>
      <c r="M351" s="1" t="s">
        <v>272</v>
      </c>
      <c r="N351" s="1" t="s">
        <v>272</v>
      </c>
      <c r="O351" s="1" t="s">
        <v>272</v>
      </c>
      <c r="P351" s="1" t="s">
        <v>272</v>
      </c>
      <c r="Q351" s="2" t="str">
        <f t="shared" si="11"/>
        <v/>
      </c>
      <c r="R351" s="1" t="str">
        <f t="shared" si="12"/>
        <v/>
      </c>
      <c r="S351" s="1" t="str">
        <f t="shared" si="13"/>
        <v/>
      </c>
      <c r="T351" s="1" t="str">
        <f t="shared" si="14"/>
        <v/>
      </c>
      <c r="U351" s="1">
        <f t="shared" si="15"/>
        <v>99</v>
      </c>
      <c r="V351" s="3" t="str">
        <f t="shared" si="16"/>
        <v>null</v>
      </c>
      <c r="W351" s="3" t="str">
        <f t="shared" si="17"/>
        <v>null</v>
      </c>
      <c r="X351" s="3" t="str">
        <f t="shared" si="18"/>
        <v/>
      </c>
      <c r="Y351" s="3" t="str">
        <f t="shared" si="19"/>
        <v/>
      </c>
      <c r="Z351" s="1" t="str">
        <f t="shared" si="20"/>
        <v/>
      </c>
      <c r="AA351" s="3" t="str">
        <f t="shared" si="21"/>
        <v/>
      </c>
      <c r="AB351" s="3" t="str">
        <f>LOOKUP($A351,Sheet2!$A$1:$B$233)</f>
        <v>Latin America &amp; Caribbean</v>
      </c>
    </row>
    <row r="352" spans="1:28">
      <c r="A352" s="1" t="s">
        <v>214</v>
      </c>
      <c r="B352" s="1">
        <v>2015</v>
      </c>
      <c r="C352" s="1">
        <v>179.1309967</v>
      </c>
      <c r="D352" s="1">
        <v>18.51499939</v>
      </c>
      <c r="E352" s="1">
        <v>95.568094279999997</v>
      </c>
      <c r="F352" s="1">
        <v>1.790210415</v>
      </c>
      <c r="G352" s="1">
        <v>2.6416953030000001</v>
      </c>
      <c r="H352" s="1">
        <v>0</v>
      </c>
      <c r="I352" s="1">
        <v>95.312261239999998</v>
      </c>
      <c r="J352" s="1">
        <v>1.707252381</v>
      </c>
      <c r="K352" s="1">
        <v>2.9804863780000002</v>
      </c>
      <c r="L352" s="1">
        <v>0</v>
      </c>
      <c r="M352" s="1">
        <v>96.694033180000005</v>
      </c>
      <c r="N352" s="1">
        <v>2.1553111029999998</v>
      </c>
      <c r="O352" s="1">
        <v>1.1506557129999999</v>
      </c>
      <c r="P352" s="1">
        <v>0</v>
      </c>
      <c r="Q352" s="2">
        <f t="shared" si="11"/>
        <v>5</v>
      </c>
      <c r="R352" s="1">
        <f t="shared" si="12"/>
        <v>0.26395005800000038</v>
      </c>
      <c r="S352" s="1">
        <f t="shared" si="13"/>
        <v>0.30035251799999968</v>
      </c>
      <c r="T352" s="1">
        <f t="shared" si="14"/>
        <v>0.10235780200000022</v>
      </c>
      <c r="U352" s="1">
        <f t="shared" si="15"/>
        <v>96</v>
      </c>
      <c r="V352" s="3">
        <f t="shared" si="16"/>
        <v>95</v>
      </c>
      <c r="W352" s="3">
        <f t="shared" si="17"/>
        <v>97</v>
      </c>
      <c r="X352" s="3" t="str">
        <f t="shared" si="18"/>
        <v/>
      </c>
      <c r="Y352" s="3" t="str">
        <f t="shared" si="19"/>
        <v/>
      </c>
      <c r="Z352" s="1" t="str">
        <f t="shared" si="20"/>
        <v/>
      </c>
      <c r="AA352" s="3">
        <f t="shared" si="21"/>
        <v>0.19799471599999946</v>
      </c>
      <c r="AB352" s="3" t="str">
        <f>LOOKUP($A352,Sheet2!$A$1:$B$233)</f>
        <v>Latin America &amp; Caribbean</v>
      </c>
    </row>
    <row r="353" spans="1:28">
      <c r="A353" s="1" t="s">
        <v>214</v>
      </c>
      <c r="B353" s="1">
        <v>2020</v>
      </c>
      <c r="C353" s="1">
        <v>183.62899780000001</v>
      </c>
      <c r="D353" s="1">
        <v>18.8409996</v>
      </c>
      <c r="E353" s="1">
        <v>96.887844569999999</v>
      </c>
      <c r="F353" s="1">
        <v>1.815652166</v>
      </c>
      <c r="G353" s="1">
        <v>1.296503269</v>
      </c>
      <c r="H353" s="1">
        <v>0</v>
      </c>
      <c r="I353" s="1">
        <v>96.814023829999996</v>
      </c>
      <c r="J353" s="1">
        <v>1.7341522549999999</v>
      </c>
      <c r="K353" s="1">
        <v>1.4518239180000001</v>
      </c>
      <c r="L353" s="1">
        <v>0</v>
      </c>
      <c r="M353" s="1">
        <v>97.205822190000006</v>
      </c>
      <c r="N353" s="1">
        <v>2.166718886</v>
      </c>
      <c r="O353" s="1">
        <v>0.6274589237</v>
      </c>
      <c r="P353" s="1">
        <v>0</v>
      </c>
      <c r="Q353" s="2" t="str">
        <f t="shared" si="11"/>
        <v/>
      </c>
      <c r="R353" s="1" t="str">
        <f t="shared" si="12"/>
        <v/>
      </c>
      <c r="S353" s="1" t="str">
        <f t="shared" si="13"/>
        <v/>
      </c>
      <c r="T353" s="1" t="str">
        <f t="shared" si="14"/>
        <v/>
      </c>
      <c r="U353" s="1">
        <f t="shared" si="15"/>
        <v>97</v>
      </c>
      <c r="V353" s="3">
        <f t="shared" si="16"/>
        <v>97</v>
      </c>
      <c r="W353" s="3">
        <f t="shared" si="17"/>
        <v>97</v>
      </c>
      <c r="X353" s="3" t="str">
        <f t="shared" si="18"/>
        <v/>
      </c>
      <c r="Y353" s="3" t="str">
        <f t="shared" si="19"/>
        <v/>
      </c>
      <c r="Z353" s="1" t="str">
        <f t="shared" si="20"/>
        <v/>
      </c>
      <c r="AA353" s="3" t="str">
        <f t="shared" si="21"/>
        <v/>
      </c>
      <c r="AB353" s="3" t="str">
        <f>LOOKUP($A353,Sheet2!$A$1:$B$233)</f>
        <v>Latin America &amp; Caribbean</v>
      </c>
    </row>
    <row r="354" spans="1:28">
      <c r="A354" s="1" t="s">
        <v>215</v>
      </c>
      <c r="B354" s="1">
        <v>2015</v>
      </c>
      <c r="C354" s="1">
        <v>35.865000000000002</v>
      </c>
      <c r="D354" s="1">
        <v>100</v>
      </c>
      <c r="E354" s="1">
        <v>99.999774200000004</v>
      </c>
      <c r="F354" s="1">
        <v>0</v>
      </c>
      <c r="G354" s="1">
        <v>2.2580388819999999E-4</v>
      </c>
      <c r="H354" s="1">
        <v>0</v>
      </c>
      <c r="I354" s="1" t="s">
        <v>272</v>
      </c>
      <c r="J354" s="1" t="s">
        <v>272</v>
      </c>
      <c r="K354" s="1" t="s">
        <v>272</v>
      </c>
      <c r="L354" s="1" t="s">
        <v>272</v>
      </c>
      <c r="M354" s="1">
        <v>99.999774200000004</v>
      </c>
      <c r="N354" s="1">
        <v>0</v>
      </c>
      <c r="O354" s="1">
        <v>2.2580388819999999E-4</v>
      </c>
      <c r="P354" s="1">
        <v>0</v>
      </c>
      <c r="Q354" s="2">
        <f t="shared" si="11"/>
        <v>5</v>
      </c>
      <c r="R354" s="1">
        <f t="shared" si="12"/>
        <v>-1.0056200000008175E-4</v>
      </c>
      <c r="S354" s="1" t="str">
        <f t="shared" si="13"/>
        <v>null</v>
      </c>
      <c r="T354" s="1">
        <f t="shared" si="14"/>
        <v>-1.0056200000008175E-4</v>
      </c>
      <c r="U354" s="1">
        <f t="shared" si="15"/>
        <v>100</v>
      </c>
      <c r="V354" s="3" t="str">
        <f t="shared" si="16"/>
        <v>null</v>
      </c>
      <c r="W354" s="3">
        <f t="shared" si="17"/>
        <v>100</v>
      </c>
      <c r="X354" s="3" t="str">
        <f t="shared" si="18"/>
        <v>fullaccesss</v>
      </c>
      <c r="Y354" s="3" t="str">
        <f t="shared" si="19"/>
        <v/>
      </c>
      <c r="Z354" s="1" t="str">
        <f t="shared" si="20"/>
        <v>fullaccesss</v>
      </c>
      <c r="AA354" s="3" t="str">
        <f t="shared" si="21"/>
        <v>null</v>
      </c>
      <c r="AB354" s="3" t="str">
        <f>LOOKUP($A354,Sheet2!$A$1:$B$233)</f>
        <v>Latin America &amp; Caribbean</v>
      </c>
    </row>
    <row r="355" spans="1:28">
      <c r="A355" s="1" t="s">
        <v>215</v>
      </c>
      <c r="B355" s="1">
        <v>2020</v>
      </c>
      <c r="C355" s="1">
        <v>38.658999999999999</v>
      </c>
      <c r="D355" s="1">
        <v>100</v>
      </c>
      <c r="E355" s="1">
        <v>99.999271390000004</v>
      </c>
      <c r="F355" s="1">
        <v>0</v>
      </c>
      <c r="G355" s="1">
        <v>7.2861055070000001E-4</v>
      </c>
      <c r="H355" s="1">
        <v>0</v>
      </c>
      <c r="I355" s="1" t="s">
        <v>272</v>
      </c>
      <c r="J355" s="1" t="s">
        <v>272</v>
      </c>
      <c r="K355" s="1" t="s">
        <v>272</v>
      </c>
      <c r="L355" s="1" t="s">
        <v>272</v>
      </c>
      <c r="M355" s="1">
        <v>99.999271390000004</v>
      </c>
      <c r="N355" s="1">
        <v>0</v>
      </c>
      <c r="O355" s="1">
        <v>7.2861055070000001E-4</v>
      </c>
      <c r="P355" s="1">
        <v>0</v>
      </c>
      <c r="Q355" s="2" t="str">
        <f t="shared" si="11"/>
        <v/>
      </c>
      <c r="R355" s="1" t="str">
        <f t="shared" si="12"/>
        <v/>
      </c>
      <c r="S355" s="1" t="str">
        <f t="shared" si="13"/>
        <v/>
      </c>
      <c r="T355" s="1" t="str">
        <f t="shared" si="14"/>
        <v/>
      </c>
      <c r="U355" s="1">
        <f t="shared" si="15"/>
        <v>100</v>
      </c>
      <c r="V355" s="3" t="str">
        <f t="shared" si="16"/>
        <v>null</v>
      </c>
      <c r="W355" s="3">
        <f t="shared" si="17"/>
        <v>100</v>
      </c>
      <c r="X355" s="3" t="str">
        <f t="shared" si="18"/>
        <v/>
      </c>
      <c r="Y355" s="3" t="str">
        <f t="shared" si="19"/>
        <v/>
      </c>
      <c r="Z355" s="1" t="str">
        <f t="shared" si="20"/>
        <v/>
      </c>
      <c r="AA355" s="3" t="str">
        <f t="shared" si="21"/>
        <v/>
      </c>
      <c r="AB355" s="3" t="str">
        <f>LOOKUP($A355,Sheet2!$A$1:$B$233)</f>
        <v>Latin America &amp; Caribbean</v>
      </c>
    </row>
    <row r="356" spans="1:28">
      <c r="A356" s="1" t="s">
        <v>216</v>
      </c>
      <c r="B356" s="1">
        <v>2015</v>
      </c>
      <c r="C356" s="1">
        <v>5.9920001029999996</v>
      </c>
      <c r="D356" s="1">
        <v>89.888999940000005</v>
      </c>
      <c r="E356" s="1">
        <v>91.4</v>
      </c>
      <c r="F356" s="1">
        <v>0</v>
      </c>
      <c r="G356" s="1">
        <v>8.6</v>
      </c>
      <c r="H356" s="1">
        <v>0</v>
      </c>
      <c r="I356" s="1" t="s">
        <v>272</v>
      </c>
      <c r="J356" s="1" t="s">
        <v>272</v>
      </c>
      <c r="K356" s="1" t="s">
        <v>272</v>
      </c>
      <c r="L356" s="1" t="s">
        <v>272</v>
      </c>
      <c r="M356" s="1" t="s">
        <v>272</v>
      </c>
      <c r="N356" s="1" t="s">
        <v>272</v>
      </c>
      <c r="O356" s="1" t="s">
        <v>272</v>
      </c>
      <c r="P356" s="1" t="s">
        <v>272</v>
      </c>
      <c r="Q356" s="2">
        <f t="shared" si="11"/>
        <v>5</v>
      </c>
      <c r="R356" s="1">
        <f t="shared" si="12"/>
        <v>0</v>
      </c>
      <c r="S356" s="1" t="str">
        <f t="shared" si="13"/>
        <v>null</v>
      </c>
      <c r="T356" s="1" t="str">
        <f t="shared" si="14"/>
        <v>null</v>
      </c>
      <c r="U356" s="1">
        <f t="shared" si="15"/>
        <v>91</v>
      </c>
      <c r="V356" s="3" t="str">
        <f t="shared" si="16"/>
        <v>null</v>
      </c>
      <c r="W356" s="3" t="str">
        <f t="shared" si="17"/>
        <v>null</v>
      </c>
      <c r="X356" s="3" t="str">
        <f t="shared" si="18"/>
        <v/>
      </c>
      <c r="Y356" s="3" t="str">
        <f t="shared" si="19"/>
        <v/>
      </c>
      <c r="Z356" s="1" t="str">
        <f t="shared" si="20"/>
        <v/>
      </c>
      <c r="AA356" s="3" t="str">
        <f t="shared" si="21"/>
        <v>null</v>
      </c>
      <c r="AB356" s="3" t="str">
        <f>LOOKUP($A356,Sheet2!$A$1:$B$233)</f>
        <v>North America</v>
      </c>
    </row>
    <row r="357" spans="1:28">
      <c r="A357" s="1" t="s">
        <v>216</v>
      </c>
      <c r="B357" s="1">
        <v>2020</v>
      </c>
      <c r="C357" s="1">
        <v>5.795000076</v>
      </c>
      <c r="D357" s="1">
        <v>89.96199799</v>
      </c>
      <c r="E357" s="1">
        <v>91.4</v>
      </c>
      <c r="F357" s="1">
        <v>0</v>
      </c>
      <c r="G357" s="1">
        <v>8.6</v>
      </c>
      <c r="H357" s="1">
        <v>0</v>
      </c>
      <c r="I357" s="1" t="s">
        <v>272</v>
      </c>
      <c r="J357" s="1" t="s">
        <v>272</v>
      </c>
      <c r="K357" s="1" t="s">
        <v>272</v>
      </c>
      <c r="L357" s="1" t="s">
        <v>272</v>
      </c>
      <c r="M357" s="1" t="s">
        <v>272</v>
      </c>
      <c r="N357" s="1" t="s">
        <v>272</v>
      </c>
      <c r="O357" s="1" t="s">
        <v>272</v>
      </c>
      <c r="P357" s="1" t="s">
        <v>272</v>
      </c>
      <c r="Q357" s="2" t="str">
        <f t="shared" si="11"/>
        <v/>
      </c>
      <c r="R357" s="1" t="str">
        <f t="shared" si="12"/>
        <v/>
      </c>
      <c r="S357" s="1" t="str">
        <f t="shared" si="13"/>
        <v/>
      </c>
      <c r="T357" s="1" t="str">
        <f t="shared" si="14"/>
        <v/>
      </c>
      <c r="U357" s="1">
        <f t="shared" si="15"/>
        <v>91</v>
      </c>
      <c r="V357" s="3" t="str">
        <f t="shared" si="16"/>
        <v>null</v>
      </c>
      <c r="W357" s="3" t="str">
        <f t="shared" si="17"/>
        <v>null</v>
      </c>
      <c r="X357" s="3" t="str">
        <f t="shared" si="18"/>
        <v/>
      </c>
      <c r="Y357" s="3" t="str">
        <f t="shared" si="19"/>
        <v/>
      </c>
      <c r="Z357" s="1" t="str">
        <f t="shared" si="20"/>
        <v/>
      </c>
      <c r="AA357" s="3" t="str">
        <f t="shared" si="21"/>
        <v/>
      </c>
      <c r="AB357" s="3" t="str">
        <f>LOOKUP($A357,Sheet2!$A$1:$B$233)</f>
        <v>North America</v>
      </c>
    </row>
    <row r="358" spans="1:28">
      <c r="A358" s="1" t="s">
        <v>217</v>
      </c>
      <c r="B358" s="1">
        <v>2015</v>
      </c>
      <c r="C358" s="1">
        <v>109.13500209999999</v>
      </c>
      <c r="D358" s="1">
        <v>50.963996889999997</v>
      </c>
      <c r="E358" s="1">
        <v>95.145219900000001</v>
      </c>
      <c r="F358" s="1">
        <v>0</v>
      </c>
      <c r="G358" s="1">
        <v>4.0700937030000004</v>
      </c>
      <c r="H358" s="1">
        <v>0.78468639699999998</v>
      </c>
      <c r="I358" s="1" t="s">
        <v>272</v>
      </c>
      <c r="J358" s="1" t="s">
        <v>272</v>
      </c>
      <c r="K358" s="1" t="s">
        <v>272</v>
      </c>
      <c r="L358" s="1" t="s">
        <v>272</v>
      </c>
      <c r="M358" s="1" t="s">
        <v>272</v>
      </c>
      <c r="N358" s="1" t="s">
        <v>272</v>
      </c>
      <c r="O358" s="1" t="s">
        <v>272</v>
      </c>
      <c r="P358" s="1" t="s">
        <v>272</v>
      </c>
      <c r="Q358" s="2">
        <f t="shared" si="11"/>
        <v>3</v>
      </c>
      <c r="R358" s="1">
        <f t="shared" si="12"/>
        <v>0</v>
      </c>
      <c r="S358" s="1" t="str">
        <f t="shared" si="13"/>
        <v>null</v>
      </c>
      <c r="T358" s="1" t="str">
        <f t="shared" si="14"/>
        <v>null</v>
      </c>
      <c r="U358" s="1">
        <f t="shared" si="15"/>
        <v>95</v>
      </c>
      <c r="V358" s="3" t="str">
        <f t="shared" si="16"/>
        <v>null</v>
      </c>
      <c r="W358" s="3" t="str">
        <f t="shared" si="17"/>
        <v>null</v>
      </c>
      <c r="X358" s="3" t="str">
        <f t="shared" si="18"/>
        <v/>
      </c>
      <c r="Y358" s="3" t="str">
        <f t="shared" si="19"/>
        <v/>
      </c>
      <c r="Z358" s="1" t="str">
        <f t="shared" si="20"/>
        <v/>
      </c>
      <c r="AA358" s="3" t="str">
        <f t="shared" si="21"/>
        <v>null</v>
      </c>
      <c r="AB358" s="3" t="str">
        <f>LOOKUP($A358,Sheet2!$A$1:$B$233)</f>
        <v>Latin America &amp; Caribbean</v>
      </c>
    </row>
    <row r="359" spans="1:28">
      <c r="A359" s="1" t="s">
        <v>217</v>
      </c>
      <c r="B359" s="1">
        <v>2018</v>
      </c>
      <c r="C359" s="1">
        <v>110.2099991</v>
      </c>
      <c r="D359" s="1">
        <v>52.197998050000002</v>
      </c>
      <c r="E359" s="1">
        <v>95.145219900000001</v>
      </c>
      <c r="F359" s="1">
        <v>0</v>
      </c>
      <c r="G359" s="1">
        <v>4.8547801000000002</v>
      </c>
      <c r="H359" s="1" t="s">
        <v>272</v>
      </c>
      <c r="I359" s="1" t="s">
        <v>272</v>
      </c>
      <c r="J359" s="1" t="s">
        <v>272</v>
      </c>
      <c r="K359" s="1" t="s">
        <v>272</v>
      </c>
      <c r="L359" s="1" t="s">
        <v>272</v>
      </c>
      <c r="M359" s="1" t="s">
        <v>272</v>
      </c>
      <c r="N359" s="1" t="s">
        <v>272</v>
      </c>
      <c r="O359" s="1" t="s">
        <v>272</v>
      </c>
      <c r="P359" s="1" t="s">
        <v>272</v>
      </c>
      <c r="Q359" s="2" t="str">
        <f t="shared" si="11"/>
        <v/>
      </c>
      <c r="R359" s="1" t="str">
        <f t="shared" si="12"/>
        <v/>
      </c>
      <c r="S359" s="1" t="str">
        <f t="shared" si="13"/>
        <v/>
      </c>
      <c r="T359" s="1" t="str">
        <f t="shared" si="14"/>
        <v/>
      </c>
      <c r="U359" s="1">
        <f t="shared" si="15"/>
        <v>95</v>
      </c>
      <c r="V359" s="3" t="str">
        <f t="shared" si="16"/>
        <v>null</v>
      </c>
      <c r="W359" s="3" t="str">
        <f t="shared" si="17"/>
        <v>null</v>
      </c>
      <c r="X359" s="3" t="str">
        <f t="shared" si="18"/>
        <v/>
      </c>
      <c r="Y359" s="3" t="str">
        <f t="shared" si="19"/>
        <v/>
      </c>
      <c r="Z359" s="1" t="str">
        <f t="shared" si="20"/>
        <v/>
      </c>
      <c r="AA359" s="3" t="str">
        <f t="shared" si="21"/>
        <v/>
      </c>
      <c r="AB359" s="3" t="str">
        <f>LOOKUP($A359,Sheet2!$A$1:$B$233)</f>
        <v>Latin America &amp; Caribbean</v>
      </c>
    </row>
    <row r="360" spans="1:28">
      <c r="A360" s="1" t="s">
        <v>218</v>
      </c>
      <c r="B360" s="1">
        <v>2015</v>
      </c>
      <c r="C360" s="1">
        <v>193.5099945</v>
      </c>
      <c r="D360" s="1">
        <v>18.914001460000001</v>
      </c>
      <c r="E360" s="1">
        <v>91.321397360000006</v>
      </c>
      <c r="F360" s="1">
        <v>6.4992812960000004</v>
      </c>
      <c r="G360" s="1">
        <v>1.929815904</v>
      </c>
      <c r="H360" s="1">
        <v>0.24950544129999999</v>
      </c>
      <c r="I360" s="1">
        <v>91.386415650000004</v>
      </c>
      <c r="J360" s="1">
        <v>6.194005024</v>
      </c>
      <c r="K360" s="1">
        <v>2.1485295340000001</v>
      </c>
      <c r="L360" s="1">
        <v>0.2710497959</v>
      </c>
      <c r="M360" s="1">
        <v>91.042648679999999</v>
      </c>
      <c r="N360" s="1">
        <v>7.8080270609999998</v>
      </c>
      <c r="O360" s="1">
        <v>0.9921814015</v>
      </c>
      <c r="P360" s="1">
        <v>0.15714285710000001</v>
      </c>
      <c r="Q360" s="2">
        <f t="shared" si="11"/>
        <v>5</v>
      </c>
      <c r="R360" s="1">
        <f t="shared" si="12"/>
        <v>0.10326543799999968</v>
      </c>
      <c r="S360" s="1">
        <f t="shared" si="13"/>
        <v>7.8781444000000533E-2</v>
      </c>
      <c r="T360" s="1">
        <f t="shared" si="14"/>
        <v>0.21170826400000067</v>
      </c>
      <c r="U360" s="1">
        <f t="shared" si="15"/>
        <v>91</v>
      </c>
      <c r="V360" s="3">
        <f t="shared" si="16"/>
        <v>91</v>
      </c>
      <c r="W360" s="3">
        <f t="shared" si="17"/>
        <v>91</v>
      </c>
      <c r="X360" s="3" t="str">
        <f t="shared" si="18"/>
        <v/>
      </c>
      <c r="Y360" s="3" t="str">
        <f t="shared" si="19"/>
        <v/>
      </c>
      <c r="Z360" s="1" t="str">
        <f t="shared" si="20"/>
        <v/>
      </c>
      <c r="AA360" s="3">
        <f t="shared" si="21"/>
        <v>-0.13292682000000014</v>
      </c>
      <c r="AB360" s="3" t="str">
        <f>LOOKUP($A360,Sheet2!$A$1:$B$233)</f>
        <v>East Asia &amp; Pacific</v>
      </c>
    </row>
    <row r="361" spans="1:28">
      <c r="A361" s="1" t="s">
        <v>218</v>
      </c>
      <c r="B361" s="1">
        <v>2020</v>
      </c>
      <c r="C361" s="1">
        <v>198.4100037</v>
      </c>
      <c r="D361" s="1">
        <v>17.888999940000001</v>
      </c>
      <c r="E361" s="1">
        <v>91.837724550000004</v>
      </c>
      <c r="F361" s="1">
        <v>6.5208999519999997</v>
      </c>
      <c r="G361" s="1">
        <v>1.4186234280000001</v>
      </c>
      <c r="H361" s="1">
        <v>0.22275206789999999</v>
      </c>
      <c r="I361" s="1">
        <v>91.780322870000006</v>
      </c>
      <c r="J361" s="1">
        <v>6.2207033389999999</v>
      </c>
      <c r="K361" s="1">
        <v>1.7276921599999999</v>
      </c>
      <c r="L361" s="1">
        <v>0.2712816327</v>
      </c>
      <c r="M361" s="1">
        <v>92.101190000000003</v>
      </c>
      <c r="N361" s="1">
        <v>7.8988100000000001</v>
      </c>
      <c r="O361" s="1">
        <v>0</v>
      </c>
      <c r="P361" s="1">
        <v>0</v>
      </c>
      <c r="Q361" s="2" t="str">
        <f t="shared" si="11"/>
        <v/>
      </c>
      <c r="R361" s="1" t="str">
        <f t="shared" si="12"/>
        <v/>
      </c>
      <c r="S361" s="1" t="str">
        <f t="shared" si="13"/>
        <v/>
      </c>
      <c r="T361" s="1" t="str">
        <f t="shared" si="14"/>
        <v/>
      </c>
      <c r="U361" s="1">
        <f t="shared" si="15"/>
        <v>92</v>
      </c>
      <c r="V361" s="3">
        <f t="shared" si="16"/>
        <v>92</v>
      </c>
      <c r="W361" s="3">
        <f t="shared" si="17"/>
        <v>92</v>
      </c>
      <c r="X361" s="3" t="str">
        <f t="shared" si="18"/>
        <v/>
      </c>
      <c r="Y361" s="3" t="str">
        <f t="shared" si="19"/>
        <v/>
      </c>
      <c r="Z361" s="1" t="str">
        <f t="shared" si="20"/>
        <v/>
      </c>
      <c r="AA361" s="3" t="str">
        <f t="shared" si="21"/>
        <v/>
      </c>
      <c r="AB361" s="3" t="str">
        <f>LOOKUP($A361,Sheet2!$A$1:$B$233)</f>
        <v>East Asia &amp; Pacific</v>
      </c>
    </row>
    <row r="362" spans="1:28">
      <c r="A362" s="1" t="s">
        <v>219</v>
      </c>
      <c r="B362" s="1">
        <v>2015</v>
      </c>
      <c r="C362" s="1">
        <v>33.270000459999999</v>
      </c>
      <c r="D362" s="1">
        <v>96.738998409999994</v>
      </c>
      <c r="E362" s="1">
        <v>100</v>
      </c>
      <c r="F362" s="1">
        <v>0</v>
      </c>
      <c r="G362" s="1">
        <v>0</v>
      </c>
      <c r="H362" s="1">
        <v>0</v>
      </c>
      <c r="I362" s="1" t="s">
        <v>272</v>
      </c>
      <c r="J362" s="1" t="s">
        <v>272</v>
      </c>
      <c r="K362" s="1" t="s">
        <v>272</v>
      </c>
      <c r="L362" s="1" t="s">
        <v>272</v>
      </c>
      <c r="M362" s="1" t="s">
        <v>272</v>
      </c>
      <c r="N362" s="1" t="s">
        <v>272</v>
      </c>
      <c r="O362" s="1" t="s">
        <v>272</v>
      </c>
      <c r="P362" s="1" t="s">
        <v>272</v>
      </c>
      <c r="Q362" s="2">
        <f t="shared" si="11"/>
        <v>5</v>
      </c>
      <c r="R362" s="1">
        <f t="shared" si="12"/>
        <v>0</v>
      </c>
      <c r="S362" s="1" t="str">
        <f t="shared" si="13"/>
        <v>null</v>
      </c>
      <c r="T362" s="1" t="str">
        <f t="shared" si="14"/>
        <v>null</v>
      </c>
      <c r="U362" s="1">
        <f t="shared" si="15"/>
        <v>100</v>
      </c>
      <c r="V362" s="3" t="str">
        <f t="shared" si="16"/>
        <v>null</v>
      </c>
      <c r="W362" s="3" t="str">
        <f t="shared" si="17"/>
        <v>null</v>
      </c>
      <c r="X362" s="3" t="str">
        <f t="shared" si="18"/>
        <v>fullaccesss</v>
      </c>
      <c r="Y362" s="3" t="str">
        <f t="shared" si="19"/>
        <v/>
      </c>
      <c r="Z362" s="1" t="str">
        <f t="shared" si="20"/>
        <v/>
      </c>
      <c r="AA362" s="3" t="str">
        <f t="shared" si="21"/>
        <v>null</v>
      </c>
      <c r="AB362" s="3" t="str">
        <f>LOOKUP($A362,Sheet2!$A$1:$B$233)</f>
        <v>Europe &amp; Central Asia</v>
      </c>
    </row>
    <row r="363" spans="1:28">
      <c r="A363" s="1" t="s">
        <v>219</v>
      </c>
      <c r="B363" s="1">
        <v>2020</v>
      </c>
      <c r="C363" s="1">
        <v>33.937999730000001</v>
      </c>
      <c r="D363" s="1">
        <v>97.499000550000005</v>
      </c>
      <c r="E363" s="1">
        <v>100</v>
      </c>
      <c r="F363" s="1">
        <v>0</v>
      </c>
      <c r="G363" s="1">
        <v>0</v>
      </c>
      <c r="H363" s="1">
        <v>0</v>
      </c>
      <c r="I363" s="1" t="s">
        <v>272</v>
      </c>
      <c r="J363" s="1" t="s">
        <v>272</v>
      </c>
      <c r="K363" s="1" t="s">
        <v>272</v>
      </c>
      <c r="L363" s="1" t="s">
        <v>272</v>
      </c>
      <c r="M363" s="1" t="s">
        <v>272</v>
      </c>
      <c r="N363" s="1" t="s">
        <v>272</v>
      </c>
      <c r="O363" s="1" t="s">
        <v>272</v>
      </c>
      <c r="P363" s="1" t="s">
        <v>272</v>
      </c>
      <c r="Q363" s="2" t="str">
        <f t="shared" si="11"/>
        <v/>
      </c>
      <c r="R363" s="1" t="str">
        <f t="shared" si="12"/>
        <v/>
      </c>
      <c r="S363" s="1" t="str">
        <f t="shared" si="13"/>
        <v/>
      </c>
      <c r="T363" s="1" t="str">
        <f t="shared" si="14"/>
        <v/>
      </c>
      <c r="U363" s="1">
        <f t="shared" si="15"/>
        <v>100</v>
      </c>
      <c r="V363" s="3" t="str">
        <f t="shared" si="16"/>
        <v>null</v>
      </c>
      <c r="W363" s="3" t="str">
        <f t="shared" si="17"/>
        <v>null</v>
      </c>
      <c r="X363" s="3" t="str">
        <f t="shared" si="18"/>
        <v/>
      </c>
      <c r="Y363" s="3" t="str">
        <f t="shared" si="19"/>
        <v/>
      </c>
      <c r="Z363" s="1" t="str">
        <f t="shared" si="20"/>
        <v/>
      </c>
      <c r="AA363" s="3" t="str">
        <f t="shared" si="21"/>
        <v/>
      </c>
      <c r="AB363" s="3" t="str">
        <f>LOOKUP($A363,Sheet2!$A$1:$B$233)</f>
        <v>Europe &amp; Central Asia</v>
      </c>
    </row>
    <row r="364" spans="1:28">
      <c r="A364" s="1" t="s">
        <v>220</v>
      </c>
      <c r="B364" s="1">
        <v>2015</v>
      </c>
      <c r="C364" s="1">
        <v>199.43899540000001</v>
      </c>
      <c r="D364" s="1">
        <v>70.174003600000006</v>
      </c>
      <c r="E364" s="1">
        <v>77.124229790000001</v>
      </c>
      <c r="F364" s="1">
        <v>18.34430682</v>
      </c>
      <c r="G364" s="1">
        <v>1.8595771210000001</v>
      </c>
      <c r="H364" s="1">
        <v>2.6718862689999998</v>
      </c>
      <c r="I364" s="1">
        <v>71.282716640000004</v>
      </c>
      <c r="J364" s="1">
        <v>17.07304495</v>
      </c>
      <c r="K364" s="1">
        <v>4.1184792559999996</v>
      </c>
      <c r="L364" s="1">
        <v>7.5257591550000003</v>
      </c>
      <c r="M364" s="1">
        <v>79.607040999999995</v>
      </c>
      <c r="N364" s="1">
        <v>18.884629660000002</v>
      </c>
      <c r="O364" s="1">
        <v>0.89948056340000004</v>
      </c>
      <c r="P364" s="1">
        <v>0.60884877739999999</v>
      </c>
      <c r="Q364" s="2">
        <f t="shared" si="11"/>
        <v>5</v>
      </c>
      <c r="R364" s="1">
        <f t="shared" si="12"/>
        <v>0.22044507399999985</v>
      </c>
      <c r="S364" s="1">
        <f t="shared" si="13"/>
        <v>0.6035795699999994</v>
      </c>
      <c r="T364" s="1">
        <f t="shared" si="14"/>
        <v>-5.2996199999995495E-3</v>
      </c>
      <c r="U364" s="1">
        <f t="shared" si="15"/>
        <v>77</v>
      </c>
      <c r="V364" s="3">
        <f t="shared" si="16"/>
        <v>71</v>
      </c>
      <c r="W364" s="3">
        <f t="shared" si="17"/>
        <v>80</v>
      </c>
      <c r="X364" s="3" t="str">
        <f t="shared" si="18"/>
        <v/>
      </c>
      <c r="Y364" s="3" t="str">
        <f t="shared" si="19"/>
        <v/>
      </c>
      <c r="Z364" s="1" t="str">
        <f t="shared" si="20"/>
        <v/>
      </c>
      <c r="AA364" s="3">
        <f t="shared" si="21"/>
        <v>0.6088791899999989</v>
      </c>
      <c r="AB364" s="3" t="str">
        <f>LOOKUP($A364,Sheet2!$A$1:$B$233)</f>
        <v>Sub-Saharan Africa</v>
      </c>
    </row>
    <row r="365" spans="1:28">
      <c r="A365" s="1" t="s">
        <v>220</v>
      </c>
      <c r="B365" s="1">
        <v>2020</v>
      </c>
      <c r="C365" s="1">
        <v>219.16099550000001</v>
      </c>
      <c r="D365" s="1">
        <v>74.354003910000003</v>
      </c>
      <c r="E365" s="1">
        <v>78.22645516</v>
      </c>
      <c r="F365" s="1">
        <v>20.237982980000002</v>
      </c>
      <c r="G365" s="1">
        <v>0.44351992839999999</v>
      </c>
      <c r="H365" s="1">
        <v>1.0920419299999999</v>
      </c>
      <c r="I365" s="1">
        <v>74.300614490000001</v>
      </c>
      <c r="J365" s="1">
        <v>19.711842579999999</v>
      </c>
      <c r="K365" s="1">
        <v>1.7294057039999999</v>
      </c>
      <c r="L365" s="1">
        <v>4.2581372279999998</v>
      </c>
      <c r="M365" s="1">
        <v>79.580542899999998</v>
      </c>
      <c r="N365" s="1">
        <v>20.419457099999999</v>
      </c>
      <c r="O365" s="1">
        <v>0</v>
      </c>
      <c r="P365" s="1">
        <v>0</v>
      </c>
      <c r="Q365" s="2" t="str">
        <f t="shared" si="11"/>
        <v/>
      </c>
      <c r="R365" s="1" t="str">
        <f t="shared" si="12"/>
        <v/>
      </c>
      <c r="S365" s="1" t="str">
        <f t="shared" si="13"/>
        <v/>
      </c>
      <c r="T365" s="1" t="str">
        <f t="shared" si="14"/>
        <v/>
      </c>
      <c r="U365" s="1">
        <f t="shared" si="15"/>
        <v>78</v>
      </c>
      <c r="V365" s="3">
        <f t="shared" si="16"/>
        <v>74</v>
      </c>
      <c r="W365" s="3">
        <f t="shared" si="17"/>
        <v>80</v>
      </c>
      <c r="X365" s="3" t="str">
        <f t="shared" si="18"/>
        <v/>
      </c>
      <c r="Y365" s="3" t="str">
        <f t="shared" si="19"/>
        <v/>
      </c>
      <c r="Z365" s="1" t="str">
        <f t="shared" si="20"/>
        <v/>
      </c>
      <c r="AA365" s="3" t="str">
        <f t="shared" si="21"/>
        <v/>
      </c>
      <c r="AB365" s="3" t="str">
        <f>LOOKUP($A365,Sheet2!$A$1:$B$233)</f>
        <v>Sub-Saharan Africa</v>
      </c>
    </row>
    <row r="366" spans="1:28">
      <c r="A366" s="1" t="s">
        <v>221</v>
      </c>
      <c r="B366" s="1">
        <v>2015</v>
      </c>
      <c r="C366" s="1">
        <v>31717.675780000001</v>
      </c>
      <c r="D366" s="1">
        <v>83.180000309999997</v>
      </c>
      <c r="E366" s="1">
        <v>99.548026379999996</v>
      </c>
      <c r="F366" s="1">
        <v>0</v>
      </c>
      <c r="G366" s="1">
        <v>0.45197361660000002</v>
      </c>
      <c r="H366" s="1">
        <v>0</v>
      </c>
      <c r="I366" s="1" t="s">
        <v>272</v>
      </c>
      <c r="J366" s="1" t="s">
        <v>272</v>
      </c>
      <c r="K366" s="1" t="s">
        <v>272</v>
      </c>
      <c r="L366" s="1" t="s">
        <v>272</v>
      </c>
      <c r="M366" s="1" t="s">
        <v>272</v>
      </c>
      <c r="N366" s="1" t="s">
        <v>272</v>
      </c>
      <c r="O366" s="1" t="s">
        <v>272</v>
      </c>
      <c r="P366" s="1" t="s">
        <v>272</v>
      </c>
      <c r="Q366" s="2">
        <f t="shared" si="11"/>
        <v>5</v>
      </c>
      <c r="R366" s="1">
        <f t="shared" si="12"/>
        <v>9.0394724000000787E-2</v>
      </c>
      <c r="S366" s="1" t="str">
        <f t="shared" si="13"/>
        <v>null</v>
      </c>
      <c r="T366" s="1" t="str">
        <f t="shared" si="14"/>
        <v>null</v>
      </c>
      <c r="U366" s="1">
        <f t="shared" si="15"/>
        <v>100</v>
      </c>
      <c r="V366" s="3" t="str">
        <f t="shared" si="16"/>
        <v>null</v>
      </c>
      <c r="W366" s="3" t="str">
        <f t="shared" si="17"/>
        <v>null</v>
      </c>
      <c r="X366" s="3" t="str">
        <f t="shared" si="18"/>
        <v>fullaccesss</v>
      </c>
      <c r="Y366" s="3" t="str">
        <f t="shared" si="19"/>
        <v/>
      </c>
      <c r="Z366" s="1" t="str">
        <f t="shared" si="20"/>
        <v/>
      </c>
      <c r="AA366" s="3" t="str">
        <f t="shared" si="21"/>
        <v>null</v>
      </c>
      <c r="AB366" s="3" t="str">
        <f>LOOKUP($A366,Sheet2!$A$1:$B$233)</f>
        <v>Europe &amp; Central Asia</v>
      </c>
    </row>
    <row r="367" spans="1:28">
      <c r="A367" s="1" t="s">
        <v>221</v>
      </c>
      <c r="B367" s="1">
        <v>2020</v>
      </c>
      <c r="C367" s="1">
        <v>34813.867189999997</v>
      </c>
      <c r="D367" s="1">
        <v>84.287002560000005</v>
      </c>
      <c r="E367" s="1">
        <v>100</v>
      </c>
      <c r="F367" s="1">
        <v>0</v>
      </c>
      <c r="G367" s="1">
        <v>0</v>
      </c>
      <c r="H367" s="1">
        <v>0</v>
      </c>
      <c r="I367" s="1" t="s">
        <v>272</v>
      </c>
      <c r="J367" s="1" t="s">
        <v>272</v>
      </c>
      <c r="K367" s="1" t="s">
        <v>272</v>
      </c>
      <c r="L367" s="1" t="s">
        <v>272</v>
      </c>
      <c r="M367" s="1" t="s">
        <v>272</v>
      </c>
      <c r="N367" s="1" t="s">
        <v>272</v>
      </c>
      <c r="O367" s="1" t="s">
        <v>272</v>
      </c>
      <c r="P367" s="1" t="s">
        <v>272</v>
      </c>
      <c r="Q367" s="2" t="str">
        <f t="shared" si="11"/>
        <v/>
      </c>
      <c r="R367" s="1" t="str">
        <f t="shared" si="12"/>
        <v/>
      </c>
      <c r="S367" s="1" t="str">
        <f t="shared" si="13"/>
        <v/>
      </c>
      <c r="T367" s="1" t="str">
        <f t="shared" si="14"/>
        <v/>
      </c>
      <c r="U367" s="1">
        <f t="shared" si="15"/>
        <v>100</v>
      </c>
      <c r="V367" s="3" t="str">
        <f t="shared" si="16"/>
        <v>null</v>
      </c>
      <c r="W367" s="3" t="str">
        <f t="shared" si="17"/>
        <v>null</v>
      </c>
      <c r="X367" s="3" t="str">
        <f t="shared" si="18"/>
        <v/>
      </c>
      <c r="Y367" s="3" t="str">
        <f t="shared" si="19"/>
        <v/>
      </c>
      <c r="Z367" s="1" t="str">
        <f t="shared" si="20"/>
        <v/>
      </c>
      <c r="AA367" s="3" t="str">
        <f t="shared" si="21"/>
        <v/>
      </c>
      <c r="AB367" s="3" t="str">
        <f>LOOKUP($A367,Sheet2!$A$1:$B$233)</f>
        <v>Europe &amp; Central Asia</v>
      </c>
    </row>
    <row r="368" spans="1:28">
      <c r="A368" s="1" t="s">
        <v>222</v>
      </c>
      <c r="B368" s="1">
        <v>2015</v>
      </c>
      <c r="C368" s="1">
        <v>14578.450199999999</v>
      </c>
      <c r="D368" s="1">
        <v>45.86200333</v>
      </c>
      <c r="E368" s="1">
        <v>78.602093620000005</v>
      </c>
      <c r="F368" s="1">
        <v>3.3921456349999999</v>
      </c>
      <c r="G368" s="1">
        <v>17.594913179999999</v>
      </c>
      <c r="H368" s="1">
        <v>0.41084756459999999</v>
      </c>
      <c r="I368" s="1">
        <v>65.941201559999996</v>
      </c>
      <c r="J368" s="1">
        <v>5.2534118540000003</v>
      </c>
      <c r="K368" s="1">
        <v>28.079192549999998</v>
      </c>
      <c r="L368" s="1">
        <v>0.72619403689999995</v>
      </c>
      <c r="M368" s="1">
        <v>93.547697760000005</v>
      </c>
      <c r="N368" s="1">
        <v>1.195005973</v>
      </c>
      <c r="O368" s="1">
        <v>5.2187007940000001</v>
      </c>
      <c r="P368" s="1">
        <v>3.8595473790000001E-2</v>
      </c>
      <c r="Q368" s="2">
        <f t="shared" si="11"/>
        <v>5</v>
      </c>
      <c r="R368" s="1">
        <f t="shared" si="12"/>
        <v>1.2606288339999991</v>
      </c>
      <c r="S368" s="1">
        <f t="shared" si="13"/>
        <v>1.8603453279999997</v>
      </c>
      <c r="T368" s="1">
        <f t="shared" si="14"/>
        <v>0.35480063599999878</v>
      </c>
      <c r="U368" s="1">
        <f t="shared" si="15"/>
        <v>79</v>
      </c>
      <c r="V368" s="3">
        <f t="shared" si="16"/>
        <v>66</v>
      </c>
      <c r="W368" s="3">
        <f t="shared" si="17"/>
        <v>94</v>
      </c>
      <c r="X368" s="3" t="str">
        <f t="shared" si="18"/>
        <v/>
      </c>
      <c r="Y368" s="3" t="str">
        <f t="shared" si="19"/>
        <v/>
      </c>
      <c r="Z368" s="1" t="str">
        <f t="shared" si="20"/>
        <v/>
      </c>
      <c r="AA368" s="3">
        <f t="shared" si="21"/>
        <v>1.5055446920000009</v>
      </c>
      <c r="AB368" s="3" t="str">
        <f>LOOKUP($A368,Sheet2!$A$1:$B$233)</f>
        <v>Sub-Saharan Africa</v>
      </c>
    </row>
    <row r="369" spans="1:28">
      <c r="A369" s="1" t="s">
        <v>222</v>
      </c>
      <c r="B369" s="1">
        <v>2020</v>
      </c>
      <c r="C369" s="1">
        <v>16743.929690000001</v>
      </c>
      <c r="D369" s="1">
        <v>48.122001650000001</v>
      </c>
      <c r="E369" s="1">
        <v>84.905237790000001</v>
      </c>
      <c r="F369" s="1">
        <v>2.3872175090000001</v>
      </c>
      <c r="G369" s="1">
        <v>12.60781566</v>
      </c>
      <c r="H369" s="1">
        <v>9.9729040419999998E-2</v>
      </c>
      <c r="I369" s="1">
        <v>75.242928199999994</v>
      </c>
      <c r="J369" s="1">
        <v>4.052382433</v>
      </c>
      <c r="K369" s="1">
        <v>20.512451739999999</v>
      </c>
      <c r="L369" s="1">
        <v>0.1922376314</v>
      </c>
      <c r="M369" s="1">
        <v>95.321700939999999</v>
      </c>
      <c r="N369" s="1">
        <v>0.59208365669999996</v>
      </c>
      <c r="O369" s="1">
        <v>4.0862154019999997</v>
      </c>
      <c r="P369" s="1">
        <v>0</v>
      </c>
      <c r="Q369" s="2" t="str">
        <f t="shared" si="11"/>
        <v/>
      </c>
      <c r="R369" s="1" t="str">
        <f t="shared" si="12"/>
        <v/>
      </c>
      <c r="S369" s="1" t="str">
        <f t="shared" si="13"/>
        <v/>
      </c>
      <c r="T369" s="1" t="str">
        <f t="shared" si="14"/>
        <v/>
      </c>
      <c r="U369" s="1">
        <f t="shared" si="15"/>
        <v>85</v>
      </c>
      <c r="V369" s="3">
        <f t="shared" si="16"/>
        <v>75</v>
      </c>
      <c r="W369" s="3">
        <f t="shared" si="17"/>
        <v>95</v>
      </c>
      <c r="X369" s="3" t="str">
        <f t="shared" si="18"/>
        <v/>
      </c>
      <c r="Y369" s="3" t="str">
        <f t="shared" si="19"/>
        <v/>
      </c>
      <c r="Z369" s="1" t="str">
        <f t="shared" si="20"/>
        <v/>
      </c>
      <c r="AA369" s="3" t="str">
        <f t="shared" si="21"/>
        <v/>
      </c>
      <c r="AB369" s="3" t="str">
        <f>LOOKUP($A369,Sheet2!$A$1:$B$233)</f>
        <v>Sub-Saharan Africa</v>
      </c>
    </row>
    <row r="370" spans="1:28">
      <c r="A370" s="1" t="s">
        <v>223</v>
      </c>
      <c r="B370" s="1">
        <v>2015</v>
      </c>
      <c r="C370" s="1">
        <v>8876.7773440000001</v>
      </c>
      <c r="D370" s="1">
        <v>55.695999149999999</v>
      </c>
      <c r="E370" s="1">
        <v>93.386457300000004</v>
      </c>
      <c r="F370" s="1">
        <v>6.1120960520000001</v>
      </c>
      <c r="G370" s="1">
        <v>0.48354363439999998</v>
      </c>
      <c r="H370" s="1">
        <v>1.7903015790000001E-2</v>
      </c>
      <c r="I370" s="1">
        <v>94.723529049999996</v>
      </c>
      <c r="J370" s="1">
        <v>4.6004382010000002</v>
      </c>
      <c r="K370" s="1">
        <v>0.63562326859999996</v>
      </c>
      <c r="L370" s="1">
        <v>4.0409477999999999E-2</v>
      </c>
      <c r="M370" s="1">
        <v>92.322868690000007</v>
      </c>
      <c r="N370" s="1">
        <v>7.3145611089999996</v>
      </c>
      <c r="O370" s="1">
        <v>0.36257019709999999</v>
      </c>
      <c r="P370" s="1">
        <v>0</v>
      </c>
      <c r="Q370" s="2">
        <f t="shared" si="11"/>
        <v>5</v>
      </c>
      <c r="R370" s="1">
        <f t="shared" si="12"/>
        <v>0.38181440399999927</v>
      </c>
      <c r="S370" s="1">
        <f t="shared" si="13"/>
        <v>0.22428914000000191</v>
      </c>
      <c r="T370" s="1">
        <f t="shared" si="14"/>
        <v>0.50974023999999929</v>
      </c>
      <c r="U370" s="1">
        <f t="shared" si="15"/>
        <v>93</v>
      </c>
      <c r="V370" s="3">
        <f t="shared" si="16"/>
        <v>95</v>
      </c>
      <c r="W370" s="3">
        <f t="shared" si="17"/>
        <v>92</v>
      </c>
      <c r="X370" s="3" t="str">
        <f t="shared" si="18"/>
        <v/>
      </c>
      <c r="Y370" s="3" t="str">
        <f t="shared" si="19"/>
        <v/>
      </c>
      <c r="Z370" s="1" t="str">
        <f t="shared" si="20"/>
        <v/>
      </c>
      <c r="AA370" s="3">
        <f t="shared" si="21"/>
        <v>-0.2854510999999974</v>
      </c>
      <c r="AB370" s="3" t="str">
        <f>LOOKUP($A370,Sheet2!$A$1:$B$233)</f>
        <v>Europe &amp; Central Asia</v>
      </c>
    </row>
    <row r="371" spans="1:28">
      <c r="A371" s="1" t="s">
        <v>223</v>
      </c>
      <c r="B371" s="1">
        <v>2020</v>
      </c>
      <c r="C371" s="1">
        <v>8737.3701170000004</v>
      </c>
      <c r="D371" s="1">
        <v>56.445999149999999</v>
      </c>
      <c r="E371" s="1">
        <v>95.29552932</v>
      </c>
      <c r="F371" s="1">
        <v>4.244199279</v>
      </c>
      <c r="G371" s="1">
        <v>0.44372047780000001</v>
      </c>
      <c r="H371" s="1">
        <v>1.6550926470000001E-2</v>
      </c>
      <c r="I371" s="1">
        <v>95.844974750000006</v>
      </c>
      <c r="J371" s="1">
        <v>3.545864028</v>
      </c>
      <c r="K371" s="1">
        <v>0.57116028659999996</v>
      </c>
      <c r="L371" s="1">
        <v>3.8000931410000001E-2</v>
      </c>
      <c r="M371" s="1">
        <v>94.871569890000004</v>
      </c>
      <c r="N371" s="1">
        <v>4.7830378649999998</v>
      </c>
      <c r="O371" s="1">
        <v>0.3453922445</v>
      </c>
      <c r="P371" s="1">
        <v>0</v>
      </c>
      <c r="Q371" s="2" t="str">
        <f t="shared" si="11"/>
        <v/>
      </c>
      <c r="R371" s="1" t="str">
        <f t="shared" si="12"/>
        <v/>
      </c>
      <c r="S371" s="1" t="str">
        <f t="shared" si="13"/>
        <v/>
      </c>
      <c r="T371" s="1" t="str">
        <f t="shared" si="14"/>
        <v/>
      </c>
      <c r="U371" s="1">
        <f t="shared" si="15"/>
        <v>95</v>
      </c>
      <c r="V371" s="3">
        <f t="shared" si="16"/>
        <v>96</v>
      </c>
      <c r="W371" s="3">
        <f t="shared" si="17"/>
        <v>95</v>
      </c>
      <c r="X371" s="3" t="str">
        <f t="shared" si="18"/>
        <v/>
      </c>
      <c r="Y371" s="3" t="str">
        <f t="shared" si="19"/>
        <v/>
      </c>
      <c r="Z371" s="1" t="str">
        <f t="shared" si="20"/>
        <v/>
      </c>
      <c r="AA371" s="3" t="str">
        <f t="shared" si="21"/>
        <v/>
      </c>
      <c r="AB371" s="3" t="str">
        <f>LOOKUP($A371,Sheet2!$A$1:$B$233)</f>
        <v>Europe &amp; Central Asia</v>
      </c>
    </row>
    <row r="372" spans="1:28">
      <c r="A372" s="1" t="s">
        <v>224</v>
      </c>
      <c r="B372" s="1">
        <v>2015</v>
      </c>
      <c r="C372" s="1">
        <v>94.981002810000007</v>
      </c>
      <c r="D372" s="1">
        <v>55.400001529999997</v>
      </c>
      <c r="E372" s="1">
        <v>96.250891499999994</v>
      </c>
      <c r="F372" s="1">
        <v>0</v>
      </c>
      <c r="G372" s="1">
        <v>0</v>
      </c>
      <c r="H372" s="1">
        <v>3.7491085019999999</v>
      </c>
      <c r="I372" s="1" t="s">
        <v>272</v>
      </c>
      <c r="J372" s="1" t="s">
        <v>272</v>
      </c>
      <c r="K372" s="1" t="s">
        <v>272</v>
      </c>
      <c r="L372" s="1" t="s">
        <v>272</v>
      </c>
      <c r="M372" s="1" t="s">
        <v>272</v>
      </c>
      <c r="N372" s="1" t="s">
        <v>272</v>
      </c>
      <c r="O372" s="1" t="s">
        <v>272</v>
      </c>
      <c r="P372" s="1" t="s">
        <v>272</v>
      </c>
      <c r="Q372" s="2">
        <f t="shared" si="11"/>
        <v>4</v>
      </c>
      <c r="R372" s="1">
        <f t="shared" si="12"/>
        <v>0.15021384750000166</v>
      </c>
      <c r="S372" s="1" t="str">
        <f t="shared" si="13"/>
        <v>null</v>
      </c>
      <c r="T372" s="1" t="str">
        <f t="shared" si="14"/>
        <v>null</v>
      </c>
      <c r="U372" s="1">
        <f t="shared" si="15"/>
        <v>96</v>
      </c>
      <c r="V372" s="3" t="str">
        <f t="shared" si="16"/>
        <v>null</v>
      </c>
      <c r="W372" s="3" t="str">
        <f t="shared" si="17"/>
        <v>null</v>
      </c>
      <c r="X372" s="3" t="str">
        <f t="shared" si="18"/>
        <v/>
      </c>
      <c r="Y372" s="3" t="str">
        <f t="shared" si="19"/>
        <v/>
      </c>
      <c r="Z372" s="1" t="str">
        <f t="shared" si="20"/>
        <v/>
      </c>
      <c r="AA372" s="3" t="str">
        <f t="shared" si="21"/>
        <v>null</v>
      </c>
      <c r="AB372" s="3" t="str">
        <f>LOOKUP($A372,Sheet2!$A$1:$B$233)</f>
        <v>East Asia &amp; Pacific</v>
      </c>
    </row>
    <row r="373" spans="1:28">
      <c r="A373" s="1" t="s">
        <v>224</v>
      </c>
      <c r="B373" s="1">
        <v>2019</v>
      </c>
      <c r="C373" s="1">
        <v>97.740997309999997</v>
      </c>
      <c r="D373" s="1">
        <v>57.119003300000003</v>
      </c>
      <c r="E373" s="1">
        <v>96.851746890000001</v>
      </c>
      <c r="F373" s="1">
        <v>0</v>
      </c>
      <c r="G373" s="1">
        <v>3.1482531090000001</v>
      </c>
      <c r="H373" s="1" t="s">
        <v>272</v>
      </c>
      <c r="I373" s="1" t="s">
        <v>272</v>
      </c>
      <c r="J373" s="1" t="s">
        <v>272</v>
      </c>
      <c r="K373" s="1" t="s">
        <v>272</v>
      </c>
      <c r="L373" s="1" t="s">
        <v>272</v>
      </c>
      <c r="M373" s="1" t="s">
        <v>272</v>
      </c>
      <c r="N373" s="1" t="s">
        <v>272</v>
      </c>
      <c r="O373" s="1" t="s">
        <v>272</v>
      </c>
      <c r="P373" s="1" t="s">
        <v>272</v>
      </c>
      <c r="Q373" s="2" t="str">
        <f t="shared" si="11"/>
        <v/>
      </c>
      <c r="R373" s="1" t="str">
        <f t="shared" si="12"/>
        <v/>
      </c>
      <c r="S373" s="1" t="str">
        <f t="shared" si="13"/>
        <v/>
      </c>
      <c r="T373" s="1" t="str">
        <f t="shared" si="14"/>
        <v/>
      </c>
      <c r="U373" s="1">
        <f t="shared" si="15"/>
        <v>97</v>
      </c>
      <c r="V373" s="3" t="str">
        <f t="shared" si="16"/>
        <v>null</v>
      </c>
      <c r="W373" s="3" t="str">
        <f t="shared" si="17"/>
        <v>null</v>
      </c>
      <c r="X373" s="3" t="str">
        <f t="shared" si="18"/>
        <v/>
      </c>
      <c r="Y373" s="3" t="str">
        <f t="shared" si="19"/>
        <v/>
      </c>
      <c r="Z373" s="1" t="str">
        <f t="shared" si="20"/>
        <v/>
      </c>
      <c r="AA373" s="3" t="str">
        <f t="shared" si="21"/>
        <v/>
      </c>
      <c r="AB373" s="3" t="str">
        <f>LOOKUP($A373,Sheet2!$A$1:$B$233)</f>
        <v>East Asia &amp; Pacific</v>
      </c>
    </row>
    <row r="374" spans="1:28">
      <c r="A374" s="1" t="s">
        <v>225</v>
      </c>
      <c r="B374" s="1">
        <v>2015</v>
      </c>
      <c r="C374" s="1">
        <v>7171.9091799999997</v>
      </c>
      <c r="D374" s="1">
        <v>40.828998570000003</v>
      </c>
      <c r="E374" s="1">
        <v>57.847465159999999</v>
      </c>
      <c r="F374" s="1">
        <v>8.1969579570000004</v>
      </c>
      <c r="G374" s="1">
        <v>15.91095456</v>
      </c>
      <c r="H374" s="1">
        <v>18.044622319999998</v>
      </c>
      <c r="I374" s="1">
        <v>45.529713839999999</v>
      </c>
      <c r="J374" s="1">
        <v>4.8404944719999996</v>
      </c>
      <c r="K374" s="1">
        <v>21.716961430000001</v>
      </c>
      <c r="L374" s="1">
        <v>27.912830270000001</v>
      </c>
      <c r="M374" s="1">
        <v>75.698837580000003</v>
      </c>
      <c r="N374" s="1">
        <v>13.06127759</v>
      </c>
      <c r="O374" s="1">
        <v>7.4966597610000001</v>
      </c>
      <c r="P374" s="1">
        <v>3.7432250680000001</v>
      </c>
      <c r="Q374" s="2">
        <f t="shared" si="11"/>
        <v>5</v>
      </c>
      <c r="R374" s="1">
        <f t="shared" si="12"/>
        <v>1.1837640919999999</v>
      </c>
      <c r="S374" s="1">
        <f t="shared" si="13"/>
        <v>1.4445977659999998</v>
      </c>
      <c r="T374" s="1">
        <f t="shared" si="14"/>
        <v>0.54256001599999881</v>
      </c>
      <c r="U374" s="1">
        <f t="shared" si="15"/>
        <v>58</v>
      </c>
      <c r="V374" s="3">
        <f t="shared" si="16"/>
        <v>46</v>
      </c>
      <c r="W374" s="3">
        <f t="shared" si="17"/>
        <v>76</v>
      </c>
      <c r="X374" s="3" t="str">
        <f t="shared" si="18"/>
        <v/>
      </c>
      <c r="Y374" s="3" t="str">
        <f t="shared" si="19"/>
        <v/>
      </c>
      <c r="Z374" s="1" t="str">
        <f t="shared" si="20"/>
        <v/>
      </c>
      <c r="AA374" s="3">
        <f t="shared" si="21"/>
        <v>0.90203775000000097</v>
      </c>
      <c r="AB374" s="3" t="str">
        <f>LOOKUP($A374,Sheet2!$A$1:$B$233)</f>
        <v>Sub-Saharan Africa</v>
      </c>
    </row>
    <row r="375" spans="1:28">
      <c r="A375" s="1" t="s">
        <v>225</v>
      </c>
      <c r="B375" s="1">
        <v>2020</v>
      </c>
      <c r="C375" s="1">
        <v>7976.9848629999997</v>
      </c>
      <c r="D375" s="1">
        <v>42.923000340000002</v>
      </c>
      <c r="E375" s="1">
        <v>63.766285619999998</v>
      </c>
      <c r="F375" s="1">
        <v>9.0233163570000006</v>
      </c>
      <c r="G375" s="1">
        <v>15.5639457</v>
      </c>
      <c r="H375" s="1">
        <v>11.646452330000001</v>
      </c>
      <c r="I375" s="1">
        <v>52.752702669999998</v>
      </c>
      <c r="J375" s="1">
        <v>5.2211368890000003</v>
      </c>
      <c r="K375" s="1">
        <v>23.142949089999998</v>
      </c>
      <c r="L375" s="1">
        <v>18.88321135</v>
      </c>
      <c r="M375" s="1">
        <v>78.411637659999997</v>
      </c>
      <c r="N375" s="1">
        <v>14.079277429999999</v>
      </c>
      <c r="O375" s="1">
        <v>5.4857354369999998</v>
      </c>
      <c r="P375" s="1">
        <v>2.0233494749999998</v>
      </c>
      <c r="Q375" s="2" t="str">
        <f t="shared" si="11"/>
        <v/>
      </c>
      <c r="R375" s="1" t="str">
        <f t="shared" si="12"/>
        <v/>
      </c>
      <c r="S375" s="1" t="str">
        <f t="shared" si="13"/>
        <v/>
      </c>
      <c r="T375" s="1" t="str">
        <f t="shared" si="14"/>
        <v/>
      </c>
      <c r="U375" s="1">
        <f t="shared" si="15"/>
        <v>64</v>
      </c>
      <c r="V375" s="3">
        <f t="shared" si="16"/>
        <v>53</v>
      </c>
      <c r="W375" s="3">
        <f t="shared" si="17"/>
        <v>78</v>
      </c>
      <c r="X375" s="3" t="str">
        <f t="shared" si="18"/>
        <v/>
      </c>
      <c r="Y375" s="3" t="str">
        <f t="shared" si="19"/>
        <v/>
      </c>
      <c r="Z375" s="1" t="str">
        <f t="shared" si="20"/>
        <v/>
      </c>
      <c r="AA375" s="3" t="str">
        <f t="shared" si="21"/>
        <v/>
      </c>
      <c r="AB375" s="3" t="str">
        <f>LOOKUP($A375,Sheet2!$A$1:$B$233)</f>
        <v>Sub-Saharan Africa</v>
      </c>
    </row>
    <row r="376" spans="1:28">
      <c r="A376" s="1" t="s">
        <v>226</v>
      </c>
      <c r="B376" s="1">
        <v>2015</v>
      </c>
      <c r="C376" s="1">
        <v>5592.1430659999996</v>
      </c>
      <c r="D376" s="1">
        <v>100</v>
      </c>
      <c r="E376" s="1">
        <v>100</v>
      </c>
      <c r="F376" s="1">
        <v>0</v>
      </c>
      <c r="G376" s="1">
        <v>0</v>
      </c>
      <c r="H376" s="1">
        <v>0</v>
      </c>
      <c r="I376" s="1" t="s">
        <v>272</v>
      </c>
      <c r="J376" s="1" t="s">
        <v>272</v>
      </c>
      <c r="K376" s="1" t="s">
        <v>272</v>
      </c>
      <c r="L376" s="1" t="s">
        <v>272</v>
      </c>
      <c r="M376" s="1">
        <v>100</v>
      </c>
      <c r="N376" s="1">
        <v>0</v>
      </c>
      <c r="O376" s="1">
        <v>0</v>
      </c>
      <c r="P376" s="1">
        <v>0</v>
      </c>
      <c r="Q376" s="2">
        <f t="shared" si="11"/>
        <v>5</v>
      </c>
      <c r="R376" s="1">
        <f t="shared" si="12"/>
        <v>0</v>
      </c>
      <c r="S376" s="1" t="str">
        <f t="shared" si="13"/>
        <v>null</v>
      </c>
      <c r="T376" s="1">
        <f t="shared" si="14"/>
        <v>0</v>
      </c>
      <c r="U376" s="1">
        <f t="shared" si="15"/>
        <v>100</v>
      </c>
      <c r="V376" s="3" t="str">
        <f t="shared" si="16"/>
        <v>null</v>
      </c>
      <c r="W376" s="3">
        <f t="shared" si="17"/>
        <v>100</v>
      </c>
      <c r="X376" s="3" t="str">
        <f t="shared" si="18"/>
        <v>fullaccesss</v>
      </c>
      <c r="Y376" s="3" t="str">
        <f t="shared" si="19"/>
        <v/>
      </c>
      <c r="Z376" s="1" t="str">
        <f t="shared" si="20"/>
        <v>fullaccesss</v>
      </c>
      <c r="AA376" s="3" t="str">
        <f t="shared" si="21"/>
        <v>null</v>
      </c>
      <c r="AB376" s="3" t="str">
        <f>LOOKUP($A376,Sheet2!$A$1:$B$233)</f>
        <v>East Asia &amp; Pacific</v>
      </c>
    </row>
    <row r="377" spans="1:28">
      <c r="A377" s="1" t="s">
        <v>226</v>
      </c>
      <c r="B377" s="1">
        <v>2020</v>
      </c>
      <c r="C377" s="1">
        <v>5850.3427730000003</v>
      </c>
      <c r="D377" s="1">
        <v>100</v>
      </c>
      <c r="E377" s="1">
        <v>100</v>
      </c>
      <c r="F377" s="1">
        <v>0</v>
      </c>
      <c r="G377" s="1">
        <v>0</v>
      </c>
      <c r="H377" s="1">
        <v>0</v>
      </c>
      <c r="I377" s="1" t="s">
        <v>272</v>
      </c>
      <c r="J377" s="1" t="s">
        <v>272</v>
      </c>
      <c r="K377" s="1" t="s">
        <v>272</v>
      </c>
      <c r="L377" s="1" t="s">
        <v>272</v>
      </c>
      <c r="M377" s="1">
        <v>100</v>
      </c>
      <c r="N377" s="1">
        <v>0</v>
      </c>
      <c r="O377" s="1">
        <v>0</v>
      </c>
      <c r="P377" s="1">
        <v>0</v>
      </c>
      <c r="Q377" s="2" t="str">
        <f t="shared" si="11"/>
        <v/>
      </c>
      <c r="R377" s="1" t="str">
        <f t="shared" si="12"/>
        <v/>
      </c>
      <c r="S377" s="1" t="str">
        <f t="shared" si="13"/>
        <v/>
      </c>
      <c r="T377" s="1" t="str">
        <f t="shared" si="14"/>
        <v/>
      </c>
      <c r="U377" s="1">
        <f t="shared" si="15"/>
        <v>100</v>
      </c>
      <c r="V377" s="3" t="str">
        <f t="shared" si="16"/>
        <v>null</v>
      </c>
      <c r="W377" s="3">
        <f t="shared" si="17"/>
        <v>100</v>
      </c>
      <c r="X377" s="3" t="str">
        <f t="shared" si="18"/>
        <v/>
      </c>
      <c r="Y377" s="3" t="str">
        <f t="shared" si="19"/>
        <v/>
      </c>
      <c r="Z377" s="1" t="str">
        <f t="shared" si="20"/>
        <v/>
      </c>
      <c r="AA377" s="3" t="str">
        <f t="shared" si="21"/>
        <v/>
      </c>
      <c r="AB377" s="3" t="str">
        <f>LOOKUP($A377,Sheet2!$A$1:$B$233)</f>
        <v>East Asia &amp; Pacific</v>
      </c>
    </row>
    <row r="378" spans="1:28">
      <c r="A378" s="1" t="s">
        <v>227</v>
      </c>
      <c r="B378" s="1">
        <v>2015</v>
      </c>
      <c r="C378" s="1">
        <v>39.966999049999998</v>
      </c>
      <c r="D378" s="1">
        <v>100</v>
      </c>
      <c r="E378" s="1">
        <v>95.311179330000002</v>
      </c>
      <c r="F378" s="1">
        <v>0</v>
      </c>
      <c r="G378" s="1">
        <v>4.6888206700000001</v>
      </c>
      <c r="H378" s="1">
        <v>0</v>
      </c>
      <c r="I378" s="1" t="s">
        <v>272</v>
      </c>
      <c r="J378" s="1" t="s">
        <v>272</v>
      </c>
      <c r="K378" s="1" t="s">
        <v>272</v>
      </c>
      <c r="L378" s="1" t="s">
        <v>272</v>
      </c>
      <c r="M378" s="1">
        <v>95.311179330000002</v>
      </c>
      <c r="N378" s="1">
        <v>0</v>
      </c>
      <c r="O378" s="1">
        <v>4.6888206700000001</v>
      </c>
      <c r="P378" s="1">
        <v>0</v>
      </c>
      <c r="Q378" s="2">
        <f t="shared" si="11"/>
        <v>2</v>
      </c>
      <c r="R378" s="1">
        <f t="shared" si="12"/>
        <v>0</v>
      </c>
      <c r="S378" s="1" t="str">
        <f t="shared" si="13"/>
        <v>null</v>
      </c>
      <c r="T378" s="1">
        <f t="shared" si="14"/>
        <v>0</v>
      </c>
      <c r="U378" s="1">
        <f t="shared" si="15"/>
        <v>95</v>
      </c>
      <c r="V378" s="3" t="str">
        <f t="shared" si="16"/>
        <v>null</v>
      </c>
      <c r="W378" s="3">
        <f t="shared" si="17"/>
        <v>95</v>
      </c>
      <c r="X378" s="3" t="str">
        <f t="shared" si="18"/>
        <v/>
      </c>
      <c r="Y378" s="3" t="str">
        <f t="shared" si="19"/>
        <v/>
      </c>
      <c r="Z378" s="1" t="str">
        <f t="shared" si="20"/>
        <v/>
      </c>
      <c r="AA378" s="3" t="str">
        <f t="shared" si="21"/>
        <v>null</v>
      </c>
      <c r="AB378" s="3" t="str">
        <f>LOOKUP($A378,Sheet2!$A$1:$B$233)</f>
        <v>Latin America &amp; Caribbean</v>
      </c>
    </row>
    <row r="379" spans="1:28">
      <c r="A379" s="1" t="s">
        <v>227</v>
      </c>
      <c r="B379" s="1">
        <v>2017</v>
      </c>
      <c r="C379" s="1">
        <v>41.444000240000001</v>
      </c>
      <c r="D379" s="1">
        <v>100</v>
      </c>
      <c r="E379" s="1">
        <v>95.311179330000002</v>
      </c>
      <c r="F379" s="1">
        <v>0</v>
      </c>
      <c r="G379" s="1">
        <v>4.6888206700000001</v>
      </c>
      <c r="H379" s="1">
        <v>0</v>
      </c>
      <c r="I379" s="1" t="s">
        <v>272</v>
      </c>
      <c r="J379" s="1" t="s">
        <v>272</v>
      </c>
      <c r="K379" s="1" t="s">
        <v>272</v>
      </c>
      <c r="L379" s="1" t="s">
        <v>272</v>
      </c>
      <c r="M379" s="1">
        <v>95.311179330000002</v>
      </c>
      <c r="N379" s="1">
        <v>0</v>
      </c>
      <c r="O379" s="1">
        <v>4.6888206700000001</v>
      </c>
      <c r="P379" s="1">
        <v>0</v>
      </c>
      <c r="Q379" s="2" t="str">
        <f t="shared" si="11"/>
        <v/>
      </c>
      <c r="R379" s="1" t="str">
        <f t="shared" si="12"/>
        <v/>
      </c>
      <c r="S379" s="1" t="str">
        <f t="shared" si="13"/>
        <v/>
      </c>
      <c r="T379" s="1" t="str">
        <f t="shared" si="14"/>
        <v/>
      </c>
      <c r="U379" s="1">
        <f t="shared" si="15"/>
        <v>95</v>
      </c>
      <c r="V379" s="3" t="str">
        <f t="shared" si="16"/>
        <v>null</v>
      </c>
      <c r="W379" s="3">
        <f t="shared" si="17"/>
        <v>95</v>
      </c>
      <c r="X379" s="3" t="str">
        <f t="shared" si="18"/>
        <v/>
      </c>
      <c r="Y379" s="3" t="str">
        <f t="shared" si="19"/>
        <v/>
      </c>
      <c r="Z379" s="1" t="str">
        <f t="shared" si="20"/>
        <v/>
      </c>
      <c r="AA379" s="3" t="str">
        <f t="shared" si="21"/>
        <v/>
      </c>
      <c r="AB379" s="3" t="str">
        <f>LOOKUP($A379,Sheet2!$A$1:$B$233)</f>
        <v>Latin America &amp; Caribbean</v>
      </c>
    </row>
    <row r="380" spans="1:28">
      <c r="A380" s="1" t="s">
        <v>229</v>
      </c>
      <c r="B380" s="1">
        <v>2015</v>
      </c>
      <c r="C380" s="1">
        <v>5435.6137699999999</v>
      </c>
      <c r="D380" s="1">
        <v>53.888999939999998</v>
      </c>
      <c r="E380" s="1">
        <v>99.787189130000002</v>
      </c>
      <c r="F380" s="1">
        <v>0.21281086739999999</v>
      </c>
      <c r="G380" s="1">
        <v>0</v>
      </c>
      <c r="H380" s="1">
        <v>0</v>
      </c>
      <c r="I380" s="1">
        <v>100</v>
      </c>
      <c r="J380" s="1">
        <v>0</v>
      </c>
      <c r="K380" s="1">
        <v>0</v>
      </c>
      <c r="L380" s="1">
        <v>0</v>
      </c>
      <c r="M380" s="1">
        <v>99.605094059999999</v>
      </c>
      <c r="N380" s="1">
        <v>0.39490593740000002</v>
      </c>
      <c r="O380" s="1">
        <v>0</v>
      </c>
      <c r="P380" s="1">
        <v>0</v>
      </c>
      <c r="Q380" s="2">
        <f t="shared" si="11"/>
        <v>5</v>
      </c>
      <c r="R380" s="1">
        <f t="shared" si="12"/>
        <v>1.018899999991163E-4</v>
      </c>
      <c r="S380" s="1">
        <f t="shared" si="13"/>
        <v>0</v>
      </c>
      <c r="T380" s="1">
        <f t="shared" si="14"/>
        <v>0</v>
      </c>
      <c r="U380" s="1">
        <f t="shared" si="15"/>
        <v>100</v>
      </c>
      <c r="V380" s="3">
        <f t="shared" si="16"/>
        <v>100</v>
      </c>
      <c r="W380" s="3">
        <f t="shared" si="17"/>
        <v>100</v>
      </c>
      <c r="X380" s="3" t="str">
        <f t="shared" si="18"/>
        <v>fullaccesss</v>
      </c>
      <c r="Y380" s="3" t="str">
        <f t="shared" si="19"/>
        <v>fullaccesss</v>
      </c>
      <c r="Z380" s="1" t="str">
        <f t="shared" si="20"/>
        <v>fullaccesss</v>
      </c>
      <c r="AA380" s="3">
        <f t="shared" si="21"/>
        <v>0</v>
      </c>
      <c r="AB380" s="3" t="str">
        <f>LOOKUP($A380,Sheet2!$A$1:$B$233)</f>
        <v>Europe &amp; Central Asia</v>
      </c>
    </row>
    <row r="381" spans="1:28">
      <c r="A381" s="1" t="s">
        <v>229</v>
      </c>
      <c r="B381" s="1">
        <v>2020</v>
      </c>
      <c r="C381" s="1">
        <v>5459.6430659999996</v>
      </c>
      <c r="D381" s="1">
        <v>53.759998320000001</v>
      </c>
      <c r="E381" s="1">
        <v>99.787698579999997</v>
      </c>
      <c r="F381" s="1">
        <v>0.2123014241</v>
      </c>
      <c r="G381" s="1">
        <v>0</v>
      </c>
      <c r="H381" s="1">
        <v>0</v>
      </c>
      <c r="I381" s="1">
        <v>100</v>
      </c>
      <c r="J381" s="1">
        <v>0</v>
      </c>
      <c r="K381" s="1">
        <v>0</v>
      </c>
      <c r="L381" s="1">
        <v>0</v>
      </c>
      <c r="M381" s="1">
        <v>99.605094059999999</v>
      </c>
      <c r="N381" s="1">
        <v>0.39490593740000002</v>
      </c>
      <c r="O381" s="1">
        <v>0</v>
      </c>
      <c r="P381" s="1">
        <v>0</v>
      </c>
      <c r="Q381" s="2" t="str">
        <f t="shared" si="11"/>
        <v/>
      </c>
      <c r="R381" s="1" t="str">
        <f t="shared" si="12"/>
        <v/>
      </c>
      <c r="S381" s="1" t="str">
        <f t="shared" si="13"/>
        <v/>
      </c>
      <c r="T381" s="1" t="str">
        <f t="shared" si="14"/>
        <v/>
      </c>
      <c r="U381" s="1">
        <f t="shared" si="15"/>
        <v>100</v>
      </c>
      <c r="V381" s="3">
        <f t="shared" si="16"/>
        <v>100</v>
      </c>
      <c r="W381" s="3">
        <f t="shared" si="17"/>
        <v>100</v>
      </c>
      <c r="X381" s="3" t="str">
        <f t="shared" si="18"/>
        <v/>
      </c>
      <c r="Y381" s="3" t="str">
        <f t="shared" si="19"/>
        <v/>
      </c>
      <c r="Z381" s="1" t="str">
        <f t="shared" si="20"/>
        <v/>
      </c>
      <c r="AA381" s="3" t="str">
        <f t="shared" si="21"/>
        <v/>
      </c>
      <c r="AB381" s="3" t="str">
        <f>LOOKUP($A381,Sheet2!$A$1:$B$233)</f>
        <v>Europe &amp; Central Asia</v>
      </c>
    </row>
    <row r="382" spans="1:28">
      <c r="A382" s="1" t="s">
        <v>230</v>
      </c>
      <c r="B382" s="1">
        <v>2015</v>
      </c>
      <c r="C382" s="1">
        <v>2071.1989749999998</v>
      </c>
      <c r="D382" s="1">
        <v>53.78100586</v>
      </c>
      <c r="E382" s="1">
        <v>99.5</v>
      </c>
      <c r="F382" s="1">
        <v>0</v>
      </c>
      <c r="G382" s="1">
        <v>0.5</v>
      </c>
      <c r="H382" s="1">
        <v>0</v>
      </c>
      <c r="I382" s="1" t="s">
        <v>272</v>
      </c>
      <c r="J382" s="1" t="s">
        <v>272</v>
      </c>
      <c r="K382" s="1" t="s">
        <v>272</v>
      </c>
      <c r="L382" s="1" t="s">
        <v>272</v>
      </c>
      <c r="M382" s="1" t="s">
        <v>272</v>
      </c>
      <c r="N382" s="1" t="s">
        <v>272</v>
      </c>
      <c r="O382" s="1" t="s">
        <v>272</v>
      </c>
      <c r="P382" s="1" t="s">
        <v>272</v>
      </c>
      <c r="Q382" s="2">
        <f t="shared" si="11"/>
        <v>5</v>
      </c>
      <c r="R382" s="1">
        <f t="shared" si="12"/>
        <v>0</v>
      </c>
      <c r="S382" s="1" t="str">
        <f t="shared" si="13"/>
        <v>null</v>
      </c>
      <c r="T382" s="1" t="str">
        <f t="shared" si="14"/>
        <v>null</v>
      </c>
      <c r="U382" s="1">
        <f t="shared" si="15"/>
        <v>100</v>
      </c>
      <c r="V382" s="3" t="str">
        <f t="shared" si="16"/>
        <v>null</v>
      </c>
      <c r="W382" s="3" t="str">
        <f t="shared" si="17"/>
        <v>null</v>
      </c>
      <c r="X382" s="3" t="str">
        <f t="shared" si="18"/>
        <v>fullaccesss</v>
      </c>
      <c r="Y382" s="3" t="str">
        <f t="shared" si="19"/>
        <v/>
      </c>
      <c r="Z382" s="1" t="str">
        <f t="shared" si="20"/>
        <v/>
      </c>
      <c r="AA382" s="3" t="str">
        <f t="shared" si="21"/>
        <v>null</v>
      </c>
      <c r="AB382" s="3" t="str">
        <f>LOOKUP($A382,Sheet2!$A$1:$B$233)</f>
        <v>Europe &amp; Central Asia</v>
      </c>
    </row>
    <row r="383" spans="1:28">
      <c r="A383" s="1" t="s">
        <v>230</v>
      </c>
      <c r="B383" s="1">
        <v>2020</v>
      </c>
      <c r="C383" s="1">
        <v>2078.931885</v>
      </c>
      <c r="D383" s="1">
        <v>55.118003850000001</v>
      </c>
      <c r="E383" s="1">
        <v>99.5</v>
      </c>
      <c r="F383" s="1">
        <v>0</v>
      </c>
      <c r="G383" s="1">
        <v>0.5</v>
      </c>
      <c r="H383" s="1">
        <v>0</v>
      </c>
      <c r="I383" s="1" t="s">
        <v>272</v>
      </c>
      <c r="J383" s="1" t="s">
        <v>272</v>
      </c>
      <c r="K383" s="1" t="s">
        <v>272</v>
      </c>
      <c r="L383" s="1" t="s">
        <v>272</v>
      </c>
      <c r="M383" s="1" t="s">
        <v>272</v>
      </c>
      <c r="N383" s="1" t="s">
        <v>272</v>
      </c>
      <c r="O383" s="1" t="s">
        <v>272</v>
      </c>
      <c r="P383" s="1" t="s">
        <v>272</v>
      </c>
      <c r="Q383" s="2" t="str">
        <f t="shared" si="11"/>
        <v/>
      </c>
      <c r="R383" s="1" t="str">
        <f t="shared" si="12"/>
        <v/>
      </c>
      <c r="S383" s="1" t="str">
        <f t="shared" si="13"/>
        <v/>
      </c>
      <c r="T383" s="1" t="str">
        <f t="shared" si="14"/>
        <v/>
      </c>
      <c r="U383" s="1">
        <f t="shared" si="15"/>
        <v>100</v>
      </c>
      <c r="V383" s="3" t="str">
        <f t="shared" si="16"/>
        <v>null</v>
      </c>
      <c r="W383" s="3" t="str">
        <f t="shared" si="17"/>
        <v>null</v>
      </c>
      <c r="X383" s="3" t="str">
        <f t="shared" si="18"/>
        <v/>
      </c>
      <c r="Y383" s="3" t="str">
        <f t="shared" si="19"/>
        <v/>
      </c>
      <c r="Z383" s="1" t="str">
        <f t="shared" si="20"/>
        <v/>
      </c>
      <c r="AA383" s="3" t="str">
        <f t="shared" si="21"/>
        <v/>
      </c>
      <c r="AB383" s="3" t="str">
        <f>LOOKUP($A383,Sheet2!$A$1:$B$233)</f>
        <v>Europe &amp; Central Asia</v>
      </c>
    </row>
    <row r="384" spans="1:28">
      <c r="A384" s="1" t="s">
        <v>231</v>
      </c>
      <c r="B384" s="1">
        <v>2015</v>
      </c>
      <c r="C384" s="1">
        <v>603.13299559999996</v>
      </c>
      <c r="D384" s="1">
        <v>22.359998699999998</v>
      </c>
      <c r="E384" s="1">
        <v>69.329918890000002</v>
      </c>
      <c r="F384" s="1">
        <v>5.7052676340000001</v>
      </c>
      <c r="G384" s="1">
        <v>18.988981249999998</v>
      </c>
      <c r="H384" s="1">
        <v>5.9758322210000001</v>
      </c>
      <c r="I384" s="1">
        <v>63.012138190000002</v>
      </c>
      <c r="J384" s="1">
        <v>6.3384682029999997</v>
      </c>
      <c r="K384" s="1">
        <v>23.284595639999999</v>
      </c>
      <c r="L384" s="1">
        <v>7.3647979660000003</v>
      </c>
      <c r="M384" s="1">
        <v>91.266972050000007</v>
      </c>
      <c r="N384" s="1">
        <v>3.5066230169999999</v>
      </c>
      <c r="O384" s="1">
        <v>4.0734396070000001</v>
      </c>
      <c r="P384" s="1">
        <v>1.1529653280000001</v>
      </c>
      <c r="Q384" s="2">
        <f t="shared" si="11"/>
        <v>5</v>
      </c>
      <c r="R384" s="1">
        <f t="shared" si="12"/>
        <v>-0.40577867000000084</v>
      </c>
      <c r="S384" s="1">
        <f t="shared" si="13"/>
        <v>-0.72137414000000033</v>
      </c>
      <c r="T384" s="1">
        <f t="shared" si="14"/>
        <v>2.8760967999997434E-2</v>
      </c>
      <c r="U384" s="1">
        <f t="shared" si="15"/>
        <v>69</v>
      </c>
      <c r="V384" s="3">
        <f t="shared" si="16"/>
        <v>63</v>
      </c>
      <c r="W384" s="3">
        <f t="shared" si="17"/>
        <v>91</v>
      </c>
      <c r="X384" s="3" t="str">
        <f t="shared" si="18"/>
        <v/>
      </c>
      <c r="Y384" s="3" t="str">
        <f t="shared" si="19"/>
        <v/>
      </c>
      <c r="Z384" s="1" t="str">
        <f t="shared" si="20"/>
        <v/>
      </c>
      <c r="AA384" s="3">
        <f t="shared" si="21"/>
        <v>-0.75013510799999772</v>
      </c>
      <c r="AB384" s="3" t="str">
        <f>LOOKUP($A384,Sheet2!$A$1:$B$233)</f>
        <v>East Asia &amp; Pacific</v>
      </c>
    </row>
    <row r="385" spans="1:28">
      <c r="A385" s="1" t="s">
        <v>231</v>
      </c>
      <c r="B385" s="1">
        <v>2020</v>
      </c>
      <c r="C385" s="1">
        <v>686.87799070000005</v>
      </c>
      <c r="D385" s="1">
        <v>24.670000080000001</v>
      </c>
      <c r="E385" s="1">
        <v>67.301025539999998</v>
      </c>
      <c r="F385" s="1">
        <v>5.79547831</v>
      </c>
      <c r="G385" s="1">
        <v>21.267843129999999</v>
      </c>
      <c r="H385" s="1">
        <v>5.6356530249999999</v>
      </c>
      <c r="I385" s="1">
        <v>59.40526749</v>
      </c>
      <c r="J385" s="1">
        <v>6.5285236490000003</v>
      </c>
      <c r="K385" s="1">
        <v>26.955911</v>
      </c>
      <c r="L385" s="1">
        <v>7.1102978569999999</v>
      </c>
      <c r="M385" s="1">
        <v>91.410776889999994</v>
      </c>
      <c r="N385" s="1">
        <v>3.5571204249999999</v>
      </c>
      <c r="O385" s="1">
        <v>3.8992861369999998</v>
      </c>
      <c r="P385" s="1">
        <v>1.1328165530000001</v>
      </c>
      <c r="Q385" s="2" t="str">
        <f t="shared" si="11"/>
        <v/>
      </c>
      <c r="R385" s="1" t="str">
        <f t="shared" si="12"/>
        <v/>
      </c>
      <c r="S385" s="1" t="str">
        <f t="shared" si="13"/>
        <v/>
      </c>
      <c r="T385" s="1" t="str">
        <f t="shared" si="14"/>
        <v/>
      </c>
      <c r="U385" s="1">
        <f t="shared" si="15"/>
        <v>67</v>
      </c>
      <c r="V385" s="3">
        <f t="shared" si="16"/>
        <v>59</v>
      </c>
      <c r="W385" s="3">
        <f t="shared" si="17"/>
        <v>91</v>
      </c>
      <c r="X385" s="3" t="str">
        <f t="shared" si="18"/>
        <v/>
      </c>
      <c r="Y385" s="3" t="str">
        <f t="shared" si="19"/>
        <v/>
      </c>
      <c r="Z385" s="1" t="str">
        <f t="shared" si="20"/>
        <v/>
      </c>
      <c r="AA385" s="3" t="str">
        <f t="shared" si="21"/>
        <v/>
      </c>
      <c r="AB385" s="3" t="str">
        <f>LOOKUP($A385,Sheet2!$A$1:$B$233)</f>
        <v>East Asia &amp; Pacific</v>
      </c>
    </row>
    <row r="386" spans="1:28">
      <c r="A386" s="1" t="s">
        <v>232</v>
      </c>
      <c r="B386" s="1">
        <v>2015</v>
      </c>
      <c r="C386" s="1">
        <v>13797.204100000001</v>
      </c>
      <c r="D386" s="1">
        <v>43.245002749999998</v>
      </c>
      <c r="E386" s="1">
        <v>48.711153680000002</v>
      </c>
      <c r="F386" s="1">
        <v>23.406187760000002</v>
      </c>
      <c r="G386" s="1">
        <v>20.154106760000001</v>
      </c>
      <c r="H386" s="1">
        <v>7.7285517889999999</v>
      </c>
      <c r="I386" s="1">
        <v>29.2281926</v>
      </c>
      <c r="J386" s="1">
        <v>28.887148530000001</v>
      </c>
      <c r="K386" s="1">
        <v>28.975788860000002</v>
      </c>
      <c r="L386" s="1">
        <v>12.908870009999999</v>
      </c>
      <c r="M386" s="1">
        <v>74.28070864</v>
      </c>
      <c r="N386" s="1">
        <v>16.212941990000001</v>
      </c>
      <c r="O386" s="1">
        <v>8.5764782830000001</v>
      </c>
      <c r="P386" s="1">
        <v>0.92987109219999997</v>
      </c>
      <c r="Q386" s="2">
        <f t="shared" si="11"/>
        <v>5</v>
      </c>
      <c r="R386" s="1">
        <f t="shared" si="12"/>
        <v>1.553163941999999</v>
      </c>
      <c r="S386" s="1">
        <f t="shared" si="13"/>
        <v>1.5695340439999996</v>
      </c>
      <c r="T386" s="1">
        <f t="shared" si="14"/>
        <v>0.96851942000000124</v>
      </c>
      <c r="U386" s="1">
        <f t="shared" si="15"/>
        <v>49</v>
      </c>
      <c r="V386" s="3">
        <f t="shared" si="16"/>
        <v>29</v>
      </c>
      <c r="W386" s="3">
        <f t="shared" si="17"/>
        <v>74</v>
      </c>
      <c r="X386" s="3" t="str">
        <f t="shared" si="18"/>
        <v/>
      </c>
      <c r="Y386" s="3" t="str">
        <f t="shared" si="19"/>
        <v/>
      </c>
      <c r="Z386" s="1" t="str">
        <f t="shared" si="20"/>
        <v/>
      </c>
      <c r="AA386" s="3">
        <f t="shared" si="21"/>
        <v>0.60101462399999839</v>
      </c>
      <c r="AB386" s="3" t="str">
        <f>LOOKUP($A386,Sheet2!$A$1:$B$233)</f>
        <v>Sub-Saharan Africa</v>
      </c>
    </row>
    <row r="387" spans="1:28">
      <c r="A387" s="1" t="s">
        <v>232</v>
      </c>
      <c r="B387" s="1">
        <v>2020</v>
      </c>
      <c r="C387" s="1">
        <v>15893.21875</v>
      </c>
      <c r="D387" s="1">
        <v>46.140998840000002</v>
      </c>
      <c r="E387" s="1">
        <v>56.476973389999998</v>
      </c>
      <c r="F387" s="1">
        <v>27.704199559999999</v>
      </c>
      <c r="G387" s="1">
        <v>13.41704303</v>
      </c>
      <c r="H387" s="1">
        <v>2.4017840210000001</v>
      </c>
      <c r="I387" s="1">
        <v>37.075862819999998</v>
      </c>
      <c r="J387" s="1">
        <v>36.643249580000003</v>
      </c>
      <c r="K387" s="1">
        <v>21.821495460000001</v>
      </c>
      <c r="L387" s="1">
        <v>4.4593921429999996</v>
      </c>
      <c r="M387" s="1">
        <v>79.123305740000006</v>
      </c>
      <c r="N387" s="1">
        <v>17.269915560000001</v>
      </c>
      <c r="O387" s="1">
        <v>3.6067787029999998</v>
      </c>
      <c r="P387" s="1">
        <v>0</v>
      </c>
      <c r="Q387" s="2" t="str">
        <f t="shared" si="11"/>
        <v/>
      </c>
      <c r="R387" s="1" t="str">
        <f t="shared" si="12"/>
        <v/>
      </c>
      <c r="S387" s="1" t="str">
        <f t="shared" si="13"/>
        <v/>
      </c>
      <c r="T387" s="1" t="str">
        <f t="shared" si="14"/>
        <v/>
      </c>
      <c r="U387" s="1">
        <f t="shared" si="15"/>
        <v>56</v>
      </c>
      <c r="V387" s="3">
        <f t="shared" si="16"/>
        <v>37</v>
      </c>
      <c r="W387" s="3">
        <f t="shared" si="17"/>
        <v>79</v>
      </c>
      <c r="X387" s="3" t="str">
        <f t="shared" si="18"/>
        <v/>
      </c>
      <c r="Y387" s="3" t="str">
        <f t="shared" si="19"/>
        <v/>
      </c>
      <c r="Z387" s="1" t="str">
        <f t="shared" si="20"/>
        <v/>
      </c>
      <c r="AA387" s="3" t="str">
        <f t="shared" si="21"/>
        <v/>
      </c>
      <c r="AB387" s="3" t="str">
        <f>LOOKUP($A387,Sheet2!$A$1:$B$233)</f>
        <v>Sub-Saharan Africa</v>
      </c>
    </row>
    <row r="388" spans="1:28">
      <c r="A388" s="1" t="s">
        <v>233</v>
      </c>
      <c r="B388" s="1">
        <v>2015</v>
      </c>
      <c r="C388" s="1">
        <v>55386.367189999997</v>
      </c>
      <c r="D388" s="1">
        <v>64.828002929999997</v>
      </c>
      <c r="E388" s="1">
        <v>91.876343869999999</v>
      </c>
      <c r="F388" s="1">
        <v>2.8031559650000002</v>
      </c>
      <c r="G388" s="1">
        <v>2.0788208039999998</v>
      </c>
      <c r="H388" s="1">
        <v>3.2416793589999999</v>
      </c>
      <c r="I388" s="1">
        <v>79.033738529999994</v>
      </c>
      <c r="J388" s="1">
        <v>6.6176674499999999</v>
      </c>
      <c r="K388" s="1">
        <v>5.1319458180000002</v>
      </c>
      <c r="L388" s="1">
        <v>9.216648202</v>
      </c>
      <c r="M388" s="1">
        <v>98.844013450000006</v>
      </c>
      <c r="N388" s="1">
        <v>0.73361828630000003</v>
      </c>
      <c r="O388" s="1">
        <v>0.42236825970000003</v>
      </c>
      <c r="P388" s="1">
        <v>0</v>
      </c>
      <c r="Q388" s="2">
        <f t="shared" si="11"/>
        <v>5</v>
      </c>
      <c r="R388" s="1">
        <f t="shared" si="12"/>
        <v>0.4017427139999995</v>
      </c>
      <c r="S388" s="1">
        <f t="shared" si="13"/>
        <v>0.85914853000000169</v>
      </c>
      <c r="T388" s="1">
        <f t="shared" si="14"/>
        <v>3.1450277999999797E-2</v>
      </c>
      <c r="U388" s="1">
        <f t="shared" si="15"/>
        <v>92</v>
      </c>
      <c r="V388" s="3">
        <f t="shared" si="16"/>
        <v>79</v>
      </c>
      <c r="W388" s="3">
        <f t="shared" si="17"/>
        <v>99</v>
      </c>
      <c r="X388" s="3" t="str">
        <f t="shared" si="18"/>
        <v/>
      </c>
      <c r="Y388" s="3" t="str">
        <f t="shared" si="19"/>
        <v/>
      </c>
      <c r="Z388" s="1" t="str">
        <f t="shared" si="20"/>
        <v/>
      </c>
      <c r="AA388" s="3">
        <f t="shared" si="21"/>
        <v>0.82769825200000191</v>
      </c>
      <c r="AB388" s="3" t="str">
        <f>LOOKUP($A388,Sheet2!$A$1:$B$233)</f>
        <v>Sub-Saharan Africa</v>
      </c>
    </row>
    <row r="389" spans="1:28">
      <c r="A389" s="1" t="s">
        <v>233</v>
      </c>
      <c r="B389" s="1">
        <v>2020</v>
      </c>
      <c r="C389" s="1">
        <v>59308.691409999999</v>
      </c>
      <c r="D389" s="1">
        <v>67.354003910000003</v>
      </c>
      <c r="E389" s="1">
        <v>93.885057439999997</v>
      </c>
      <c r="F389" s="1">
        <v>2.7727361859999999</v>
      </c>
      <c r="G389" s="1">
        <v>1.410816657</v>
      </c>
      <c r="H389" s="1">
        <v>1.9313897120000001</v>
      </c>
      <c r="I389" s="1">
        <v>83.329481180000002</v>
      </c>
      <c r="J389" s="1">
        <v>6.9773593590000003</v>
      </c>
      <c r="K389" s="1">
        <v>3.7769992870000002</v>
      </c>
      <c r="L389" s="1">
        <v>5.9161601729999997</v>
      </c>
      <c r="M389" s="1">
        <v>99.001264840000005</v>
      </c>
      <c r="N389" s="1">
        <v>0.73478540299999995</v>
      </c>
      <c r="O389" s="1">
        <v>0.26394975469999998</v>
      </c>
      <c r="P389" s="1">
        <v>0</v>
      </c>
      <c r="Q389" s="2" t="str">
        <f t="shared" si="11"/>
        <v/>
      </c>
      <c r="R389" s="1" t="str">
        <f t="shared" si="12"/>
        <v/>
      </c>
      <c r="S389" s="1" t="str">
        <f t="shared" si="13"/>
        <v/>
      </c>
      <c r="T389" s="1" t="str">
        <f t="shared" si="14"/>
        <v/>
      </c>
      <c r="U389" s="1">
        <f t="shared" si="15"/>
        <v>94</v>
      </c>
      <c r="V389" s="3">
        <f t="shared" si="16"/>
        <v>83</v>
      </c>
      <c r="W389" s="3">
        <f t="shared" si="17"/>
        <v>99</v>
      </c>
      <c r="X389" s="3" t="str">
        <f t="shared" si="18"/>
        <v/>
      </c>
      <c r="Y389" s="3" t="str">
        <f t="shared" si="19"/>
        <v/>
      </c>
      <c r="Z389" s="1" t="str">
        <f t="shared" si="20"/>
        <v/>
      </c>
      <c r="AA389" s="3" t="str">
        <f t="shared" si="21"/>
        <v/>
      </c>
      <c r="AB389" s="3" t="str">
        <f>LOOKUP($A389,Sheet2!$A$1:$B$233)</f>
        <v>Sub-Saharan Africa</v>
      </c>
    </row>
    <row r="390" spans="1:28">
      <c r="A390" s="1" t="s">
        <v>234</v>
      </c>
      <c r="B390" s="1">
        <v>2015</v>
      </c>
      <c r="C390" s="1">
        <v>10715.657230000001</v>
      </c>
      <c r="D390" s="1">
        <v>18.851999280000001</v>
      </c>
      <c r="E390" s="1">
        <v>41.247509460000003</v>
      </c>
      <c r="F390" s="1">
        <v>30.695737130000001</v>
      </c>
      <c r="G390" s="1">
        <v>13.55439295</v>
      </c>
      <c r="H390" s="1">
        <v>14.502360449999999</v>
      </c>
      <c r="I390" s="1">
        <v>36.726779729999997</v>
      </c>
      <c r="J390" s="1">
        <v>32.662799669999998</v>
      </c>
      <c r="K390" s="1">
        <v>14.310065379999999</v>
      </c>
      <c r="L390" s="1">
        <v>16.30035522</v>
      </c>
      <c r="M390" s="1">
        <v>60.70687736</v>
      </c>
      <c r="N390" s="1">
        <v>22.228553949999998</v>
      </c>
      <c r="O390" s="1">
        <v>10.301639140000001</v>
      </c>
      <c r="P390" s="1">
        <v>6.7629295520000001</v>
      </c>
      <c r="Q390" s="2">
        <f t="shared" si="11"/>
        <v>5</v>
      </c>
      <c r="R390" s="1">
        <f t="shared" si="12"/>
        <v>-5.9316458000000696E-2</v>
      </c>
      <c r="S390" s="1">
        <f t="shared" si="13"/>
        <v>-0.6266301839999997</v>
      </c>
      <c r="T390" s="1">
        <f t="shared" si="14"/>
        <v>1.8621654179999994</v>
      </c>
      <c r="U390" s="1">
        <f t="shared" si="15"/>
        <v>41</v>
      </c>
      <c r="V390" s="3">
        <f t="shared" si="16"/>
        <v>37</v>
      </c>
      <c r="W390" s="3">
        <f t="shared" si="17"/>
        <v>61</v>
      </c>
      <c r="X390" s="3" t="str">
        <f t="shared" si="18"/>
        <v/>
      </c>
      <c r="Y390" s="3" t="str">
        <f t="shared" si="19"/>
        <v/>
      </c>
      <c r="Z390" s="1" t="str">
        <f t="shared" si="20"/>
        <v/>
      </c>
      <c r="AA390" s="3">
        <f t="shared" si="21"/>
        <v>-2.4887956019999988</v>
      </c>
      <c r="AB390" s="3" t="str">
        <f>LOOKUP($A390,Sheet2!$A$1:$B$233)</f>
        <v>Sub-Saharan Africa</v>
      </c>
    </row>
    <row r="391" spans="1:28">
      <c r="A391" s="1" t="s">
        <v>234</v>
      </c>
      <c r="B391" s="1">
        <v>2020</v>
      </c>
      <c r="C391" s="1">
        <v>11193.728520000001</v>
      </c>
      <c r="D391" s="1">
        <v>20.198999400000002</v>
      </c>
      <c r="E391" s="1">
        <v>40.95092717</v>
      </c>
      <c r="F391" s="1">
        <v>37.426962869999997</v>
      </c>
      <c r="G391" s="1">
        <v>13.537555190000001</v>
      </c>
      <c r="H391" s="1">
        <v>8.0845547619999998</v>
      </c>
      <c r="I391" s="1">
        <v>33.593628809999998</v>
      </c>
      <c r="J391" s="1">
        <v>42.164380680000001</v>
      </c>
      <c r="K391" s="1">
        <v>14.111096160000001</v>
      </c>
      <c r="L391" s="1">
        <v>10.13089435</v>
      </c>
      <c r="M391" s="1">
        <v>70.017704449999997</v>
      </c>
      <c r="N391" s="1">
        <v>18.710660919999999</v>
      </c>
      <c r="O391" s="1">
        <v>11.27163464</v>
      </c>
      <c r="P391" s="1">
        <v>0</v>
      </c>
      <c r="Q391" s="2" t="str">
        <f t="shared" si="11"/>
        <v/>
      </c>
      <c r="R391" s="1" t="str">
        <f t="shared" si="12"/>
        <v/>
      </c>
      <c r="S391" s="1" t="str">
        <f t="shared" si="13"/>
        <v/>
      </c>
      <c r="T391" s="1" t="str">
        <f t="shared" si="14"/>
        <v/>
      </c>
      <c r="U391" s="1">
        <f t="shared" si="15"/>
        <v>41</v>
      </c>
      <c r="V391" s="3">
        <f t="shared" si="16"/>
        <v>34</v>
      </c>
      <c r="W391" s="3">
        <f t="shared" si="17"/>
        <v>70</v>
      </c>
      <c r="X391" s="3" t="str">
        <f t="shared" si="18"/>
        <v/>
      </c>
      <c r="Y391" s="3" t="str">
        <f t="shared" si="19"/>
        <v/>
      </c>
      <c r="Z391" s="1" t="str">
        <f t="shared" si="20"/>
        <v/>
      </c>
      <c r="AA391" s="3" t="str">
        <f t="shared" si="21"/>
        <v/>
      </c>
      <c r="AB391" s="3" t="str">
        <f>LOOKUP($A391,Sheet2!$A$1:$B$233)</f>
        <v>Sub-Saharan Africa</v>
      </c>
    </row>
    <row r="392" spans="1:28">
      <c r="A392" s="1" t="s">
        <v>235</v>
      </c>
      <c r="B392" s="1">
        <v>2015</v>
      </c>
      <c r="C392" s="1">
        <v>46671.917970000002</v>
      </c>
      <c r="D392" s="1">
        <v>79.60199738</v>
      </c>
      <c r="E392" s="1">
        <v>99.926720459999999</v>
      </c>
      <c r="F392" s="1">
        <v>0</v>
      </c>
      <c r="G392" s="1">
        <v>7.3279544409999994E-2</v>
      </c>
      <c r="H392" s="1">
        <v>0</v>
      </c>
      <c r="I392" s="1">
        <v>100</v>
      </c>
      <c r="J392" s="1">
        <v>0</v>
      </c>
      <c r="K392" s="1">
        <v>0</v>
      </c>
      <c r="L392" s="1">
        <v>0</v>
      </c>
      <c r="M392" s="1">
        <v>99.907945209999994</v>
      </c>
      <c r="N392" s="1">
        <v>0</v>
      </c>
      <c r="O392" s="1">
        <v>9.2054794519999997E-2</v>
      </c>
      <c r="P392" s="1">
        <v>0</v>
      </c>
      <c r="Q392" s="2">
        <f t="shared" si="11"/>
        <v>5</v>
      </c>
      <c r="R392" s="1">
        <f t="shared" si="12"/>
        <v>-2.2156999999936033E-4</v>
      </c>
      <c r="S392" s="1">
        <f t="shared" si="13"/>
        <v>0</v>
      </c>
      <c r="T392" s="1">
        <f t="shared" si="14"/>
        <v>0</v>
      </c>
      <c r="U392" s="1">
        <f t="shared" si="15"/>
        <v>100</v>
      </c>
      <c r="V392" s="3">
        <f t="shared" si="16"/>
        <v>100</v>
      </c>
      <c r="W392" s="3">
        <f t="shared" si="17"/>
        <v>100</v>
      </c>
      <c r="X392" s="3" t="str">
        <f t="shared" si="18"/>
        <v>fullaccesss</v>
      </c>
      <c r="Y392" s="3" t="str">
        <f t="shared" si="19"/>
        <v>fullaccesss</v>
      </c>
      <c r="Z392" s="1" t="str">
        <f t="shared" si="20"/>
        <v>fullaccesss</v>
      </c>
      <c r="AA392" s="3">
        <f t="shared" si="21"/>
        <v>0</v>
      </c>
      <c r="AB392" s="3" t="str">
        <f>LOOKUP($A392,Sheet2!$A$1:$B$233)</f>
        <v>Europe &amp; Central Asia</v>
      </c>
    </row>
    <row r="393" spans="1:28">
      <c r="A393" s="1" t="s">
        <v>235</v>
      </c>
      <c r="B393" s="1">
        <v>2020</v>
      </c>
      <c r="C393" s="1">
        <v>46754.78125</v>
      </c>
      <c r="D393" s="1">
        <v>80.809997559999999</v>
      </c>
      <c r="E393" s="1">
        <v>99.925612610000002</v>
      </c>
      <c r="F393" s="1">
        <v>0</v>
      </c>
      <c r="G393" s="1">
        <v>7.4387391420000004E-2</v>
      </c>
      <c r="H393" s="1">
        <v>0</v>
      </c>
      <c r="I393" s="1">
        <v>100</v>
      </c>
      <c r="J393" s="1">
        <v>0</v>
      </c>
      <c r="K393" s="1">
        <v>0</v>
      </c>
      <c r="L393" s="1">
        <v>0</v>
      </c>
      <c r="M393" s="1">
        <v>99.907945209999994</v>
      </c>
      <c r="N393" s="1">
        <v>0</v>
      </c>
      <c r="O393" s="1">
        <v>9.2054794519999997E-2</v>
      </c>
      <c r="P393" s="1">
        <v>0</v>
      </c>
      <c r="Q393" s="2" t="str">
        <f t="shared" si="11"/>
        <v/>
      </c>
      <c r="R393" s="1" t="str">
        <f t="shared" si="12"/>
        <v/>
      </c>
      <c r="S393" s="1" t="str">
        <f t="shared" si="13"/>
        <v/>
      </c>
      <c r="T393" s="1" t="str">
        <f t="shared" si="14"/>
        <v/>
      </c>
      <c r="U393" s="1">
        <f t="shared" si="15"/>
        <v>100</v>
      </c>
      <c r="V393" s="3">
        <f t="shared" si="16"/>
        <v>100</v>
      </c>
      <c r="W393" s="3">
        <f t="shared" si="17"/>
        <v>100</v>
      </c>
      <c r="X393" s="3" t="str">
        <f t="shared" si="18"/>
        <v/>
      </c>
      <c r="Y393" s="3" t="str">
        <f t="shared" si="19"/>
        <v/>
      </c>
      <c r="Z393" s="1" t="str">
        <f t="shared" si="20"/>
        <v/>
      </c>
      <c r="AA393" s="3" t="str">
        <f t="shared" si="21"/>
        <v/>
      </c>
      <c r="AB393" s="3" t="str">
        <f>LOOKUP($A393,Sheet2!$A$1:$B$233)</f>
        <v>Europe &amp; Central Asia</v>
      </c>
    </row>
    <row r="394" spans="1:28">
      <c r="A394" s="1" t="s">
        <v>236</v>
      </c>
      <c r="B394" s="1">
        <v>2015</v>
      </c>
      <c r="C394" s="1">
        <v>20908.023440000001</v>
      </c>
      <c r="D394" s="1">
        <v>18.256000520000001</v>
      </c>
      <c r="E394" s="1">
        <v>90.111028570000002</v>
      </c>
      <c r="F394" s="1">
        <v>0.91280129350000005</v>
      </c>
      <c r="G394" s="1">
        <v>6.7615228930000004</v>
      </c>
      <c r="H394" s="1">
        <v>2.2146472469999998</v>
      </c>
      <c r="I394" s="1">
        <v>88.257106140000005</v>
      </c>
      <c r="J394" s="1">
        <v>1.0162902579999999</v>
      </c>
      <c r="K394" s="1">
        <v>8.017356135</v>
      </c>
      <c r="L394" s="1">
        <v>2.7092474630000001</v>
      </c>
      <c r="M394" s="1">
        <v>98.412246519999997</v>
      </c>
      <c r="N394" s="1">
        <v>0.44941380939999998</v>
      </c>
      <c r="O394" s="1">
        <v>1.1383396720000001</v>
      </c>
      <c r="P394" s="1">
        <v>0</v>
      </c>
      <c r="Q394" s="2">
        <f t="shared" si="11"/>
        <v>5</v>
      </c>
      <c r="R394" s="1">
        <f t="shared" si="12"/>
        <v>0.42331015999999977</v>
      </c>
      <c r="S394" s="1">
        <f t="shared" si="13"/>
        <v>0.45606591199999968</v>
      </c>
      <c r="T394" s="1">
        <f t="shared" si="14"/>
        <v>0.23142673400000149</v>
      </c>
      <c r="U394" s="1">
        <f t="shared" si="15"/>
        <v>90</v>
      </c>
      <c r="V394" s="3">
        <f t="shared" si="16"/>
        <v>88</v>
      </c>
      <c r="W394" s="3">
        <f t="shared" si="17"/>
        <v>98</v>
      </c>
      <c r="X394" s="3" t="str">
        <f t="shared" si="18"/>
        <v/>
      </c>
      <c r="Y394" s="3" t="str">
        <f t="shared" si="19"/>
        <v/>
      </c>
      <c r="Z394" s="1" t="str">
        <f t="shared" si="20"/>
        <v/>
      </c>
      <c r="AA394" s="3">
        <f t="shared" si="21"/>
        <v>0.22463917799999819</v>
      </c>
      <c r="AB394" s="3" t="str">
        <f>LOOKUP($A394,Sheet2!$A$1:$B$233)</f>
        <v>South Asia</v>
      </c>
    </row>
    <row r="395" spans="1:28">
      <c r="A395" s="1" t="s">
        <v>236</v>
      </c>
      <c r="B395" s="1">
        <v>2020</v>
      </c>
      <c r="C395" s="1">
        <v>21413.25</v>
      </c>
      <c r="D395" s="1">
        <v>18.71299934</v>
      </c>
      <c r="E395" s="1">
        <v>92.227579370000001</v>
      </c>
      <c r="F395" s="1">
        <v>0.59545814949999998</v>
      </c>
      <c r="G395" s="1">
        <v>5.3489270639999997</v>
      </c>
      <c r="H395" s="1">
        <v>1.82803542</v>
      </c>
      <c r="I395" s="1">
        <v>90.537435700000003</v>
      </c>
      <c r="J395" s="1">
        <v>0.70320990380000004</v>
      </c>
      <c r="K395" s="1">
        <v>6.5104886119999996</v>
      </c>
      <c r="L395" s="1">
        <v>2.2488657820000002</v>
      </c>
      <c r="M395" s="1">
        <v>99.569380190000004</v>
      </c>
      <c r="N395" s="1">
        <v>0.12739779009999999</v>
      </c>
      <c r="O395" s="1">
        <v>0.3032220202</v>
      </c>
      <c r="P395" s="1">
        <v>0</v>
      </c>
      <c r="Q395" s="2" t="str">
        <f t="shared" si="11"/>
        <v/>
      </c>
      <c r="R395" s="1" t="str">
        <f t="shared" si="12"/>
        <v/>
      </c>
      <c r="S395" s="1" t="str">
        <f t="shared" si="13"/>
        <v/>
      </c>
      <c r="T395" s="1" t="str">
        <f t="shared" si="14"/>
        <v/>
      </c>
      <c r="U395" s="1">
        <f t="shared" si="15"/>
        <v>92</v>
      </c>
      <c r="V395" s="3">
        <f t="shared" si="16"/>
        <v>91</v>
      </c>
      <c r="W395" s="3">
        <f t="shared" si="17"/>
        <v>100</v>
      </c>
      <c r="X395" s="3" t="str">
        <f t="shared" si="18"/>
        <v/>
      </c>
      <c r="Y395" s="3" t="str">
        <f t="shared" si="19"/>
        <v/>
      </c>
      <c r="Z395" s="1" t="str">
        <f t="shared" si="20"/>
        <v/>
      </c>
      <c r="AA395" s="3" t="str">
        <f t="shared" si="21"/>
        <v/>
      </c>
      <c r="AB395" s="3" t="str">
        <f>LOOKUP($A395,Sheet2!$A$1:$B$233)</f>
        <v>South Asia</v>
      </c>
    </row>
    <row r="396" spans="1:28">
      <c r="A396" s="1" t="s">
        <v>237</v>
      </c>
      <c r="B396" s="1">
        <v>2015</v>
      </c>
      <c r="C396" s="1">
        <v>38902.949220000002</v>
      </c>
      <c r="D396" s="1">
        <v>33.894001009999997</v>
      </c>
      <c r="E396" s="1">
        <v>58.950253320000002</v>
      </c>
      <c r="F396" s="1">
        <v>26.111815979999999</v>
      </c>
      <c r="G396" s="1">
        <v>5.635847128</v>
      </c>
      <c r="H396" s="1">
        <v>9.3020835690000006</v>
      </c>
      <c r="I396" s="1">
        <v>51.707437730000002</v>
      </c>
      <c r="J396" s="1">
        <v>26.687789639999998</v>
      </c>
      <c r="K396" s="1">
        <v>8.1225675119999998</v>
      </c>
      <c r="L396" s="1">
        <v>13.482205130000001</v>
      </c>
      <c r="M396" s="1">
        <v>73.076457570000002</v>
      </c>
      <c r="N396" s="1">
        <v>24.98845154</v>
      </c>
      <c r="O396" s="1">
        <v>0.78581062170000004</v>
      </c>
      <c r="P396" s="1">
        <v>1.14928027</v>
      </c>
      <c r="Q396" s="2">
        <f t="shared" si="11"/>
        <v>5</v>
      </c>
      <c r="R396" s="1">
        <f t="shared" si="12"/>
        <v>0.29968445599999993</v>
      </c>
      <c r="S396" s="1">
        <f t="shared" si="13"/>
        <v>0.29831786799999949</v>
      </c>
      <c r="T396" s="1">
        <f t="shared" si="14"/>
        <v>0.13744039799999824</v>
      </c>
      <c r="U396" s="1">
        <f t="shared" si="15"/>
        <v>59</v>
      </c>
      <c r="V396" s="3">
        <f t="shared" si="16"/>
        <v>52</v>
      </c>
      <c r="W396" s="3">
        <f t="shared" si="17"/>
        <v>73</v>
      </c>
      <c r="X396" s="3" t="str">
        <f t="shared" si="18"/>
        <v/>
      </c>
      <c r="Y396" s="3" t="str">
        <f t="shared" si="19"/>
        <v/>
      </c>
      <c r="Z396" s="1" t="str">
        <f t="shared" si="20"/>
        <v/>
      </c>
      <c r="AA396" s="3">
        <f t="shared" si="21"/>
        <v>0.16087747000000124</v>
      </c>
      <c r="AB396" s="3" t="str">
        <f>LOOKUP($A396,Sheet2!$A$1:$B$233)</f>
        <v>Middle East &amp; North Africa</v>
      </c>
    </row>
    <row r="397" spans="1:28">
      <c r="A397" s="1" t="s">
        <v>237</v>
      </c>
      <c r="B397" s="1">
        <v>2020</v>
      </c>
      <c r="C397" s="1">
        <v>43849.269529999998</v>
      </c>
      <c r="D397" s="1">
        <v>35.252998349999999</v>
      </c>
      <c r="E397" s="1">
        <v>60.448675600000001</v>
      </c>
      <c r="F397" s="1">
        <v>26.670019750000002</v>
      </c>
      <c r="G397" s="1">
        <v>3.6502178750000001</v>
      </c>
      <c r="H397" s="1">
        <v>9.2310867739999996</v>
      </c>
      <c r="I397" s="1">
        <v>53.19902707</v>
      </c>
      <c r="J397" s="1">
        <v>27.457644510000002</v>
      </c>
      <c r="K397" s="1">
        <v>5.6376600080000001</v>
      </c>
      <c r="L397" s="1">
        <v>13.70566842</v>
      </c>
      <c r="M397" s="1">
        <v>73.763659559999994</v>
      </c>
      <c r="N397" s="1">
        <v>25.223439859999999</v>
      </c>
      <c r="O397" s="1">
        <v>0</v>
      </c>
      <c r="P397" s="1">
        <v>1.012900581</v>
      </c>
      <c r="Q397" s="2" t="str">
        <f t="shared" si="11"/>
        <v/>
      </c>
      <c r="R397" s="1" t="str">
        <f t="shared" si="12"/>
        <v/>
      </c>
      <c r="S397" s="1" t="str">
        <f t="shared" si="13"/>
        <v/>
      </c>
      <c r="T397" s="1" t="str">
        <f t="shared" si="14"/>
        <v/>
      </c>
      <c r="U397" s="1">
        <f t="shared" si="15"/>
        <v>60</v>
      </c>
      <c r="V397" s="3">
        <f t="shared" si="16"/>
        <v>53</v>
      </c>
      <c r="W397" s="3">
        <f t="shared" si="17"/>
        <v>74</v>
      </c>
      <c r="X397" s="3" t="str">
        <f t="shared" si="18"/>
        <v/>
      </c>
      <c r="Y397" s="3" t="str">
        <f t="shared" si="19"/>
        <v/>
      </c>
      <c r="Z397" s="1" t="str">
        <f t="shared" si="20"/>
        <v/>
      </c>
      <c r="AA397" s="3" t="str">
        <f t="shared" si="21"/>
        <v/>
      </c>
      <c r="AB397" s="3" t="str">
        <f>LOOKUP($A397,Sheet2!$A$1:$B$233)</f>
        <v>Middle East &amp; North Africa</v>
      </c>
    </row>
    <row r="398" spans="1:28">
      <c r="A398" s="1" t="s">
        <v>238</v>
      </c>
      <c r="B398" s="1">
        <v>2015</v>
      </c>
      <c r="C398" s="1">
        <v>559.13598630000001</v>
      </c>
      <c r="D398" s="1">
        <v>66.055999760000006</v>
      </c>
      <c r="E398" s="1">
        <v>95.747692169999993</v>
      </c>
      <c r="F398" s="1">
        <v>0.88280139830000004</v>
      </c>
      <c r="G398" s="1">
        <v>1.0138349760000001</v>
      </c>
      <c r="H398" s="1">
        <v>2.3556714599999999</v>
      </c>
      <c r="I398" s="1">
        <v>90.57961632</v>
      </c>
      <c r="J398" s="1">
        <v>1.2850321419999999</v>
      </c>
      <c r="K398" s="1">
        <v>1.200506574</v>
      </c>
      <c r="L398" s="1">
        <v>6.9348449649999999</v>
      </c>
      <c r="M398" s="1">
        <v>98.403399699999994</v>
      </c>
      <c r="N398" s="1">
        <v>0.67610833329999998</v>
      </c>
      <c r="O398" s="1">
        <v>0.91790651420000002</v>
      </c>
      <c r="P398" s="1">
        <v>2.585454545E-3</v>
      </c>
      <c r="Q398" s="2">
        <f t="shared" si="11"/>
        <v>5</v>
      </c>
      <c r="R398" s="1">
        <f t="shared" si="12"/>
        <v>0.44838790000000017</v>
      </c>
      <c r="S398" s="1">
        <f t="shared" si="13"/>
        <v>1.1989592619999996</v>
      </c>
      <c r="T398" s="1">
        <f t="shared" si="14"/>
        <v>6.209083399999997E-2</v>
      </c>
      <c r="U398" s="1">
        <f t="shared" si="15"/>
        <v>96</v>
      </c>
      <c r="V398" s="3">
        <f t="shared" si="16"/>
        <v>91</v>
      </c>
      <c r="W398" s="3">
        <f t="shared" si="17"/>
        <v>98</v>
      </c>
      <c r="X398" s="3" t="str">
        <f t="shared" si="18"/>
        <v/>
      </c>
      <c r="Y398" s="3" t="str">
        <f t="shared" si="19"/>
        <v/>
      </c>
      <c r="Z398" s="1" t="str">
        <f t="shared" si="20"/>
        <v/>
      </c>
      <c r="AA398" s="3">
        <f t="shared" si="21"/>
        <v>1.1368684279999997</v>
      </c>
      <c r="AB398" s="3" t="str">
        <f>LOOKUP($A398,Sheet2!$A$1:$B$233)</f>
        <v>Latin America &amp; Caribbean</v>
      </c>
    </row>
    <row r="399" spans="1:28">
      <c r="A399" s="1" t="s">
        <v>238</v>
      </c>
      <c r="B399" s="1">
        <v>2020</v>
      </c>
      <c r="C399" s="1">
        <v>586.63397220000002</v>
      </c>
      <c r="D399" s="1">
        <v>66.149002080000002</v>
      </c>
      <c r="E399" s="1">
        <v>97.989631669999994</v>
      </c>
      <c r="F399" s="1">
        <v>1.0672469410000001</v>
      </c>
      <c r="G399" s="1">
        <v>0.37933650730000001</v>
      </c>
      <c r="H399" s="1">
        <v>0.56378488400000004</v>
      </c>
      <c r="I399" s="1">
        <v>96.574412629999998</v>
      </c>
      <c r="J399" s="1">
        <v>1.6002958599999999</v>
      </c>
      <c r="K399" s="1">
        <v>0.1598017947</v>
      </c>
      <c r="L399" s="1">
        <v>1.6654897200000001</v>
      </c>
      <c r="M399" s="1">
        <v>98.713853869999994</v>
      </c>
      <c r="N399" s="1">
        <v>0.79446523710000005</v>
      </c>
      <c r="O399" s="1">
        <v>0.49168089250000002</v>
      </c>
      <c r="P399" s="1">
        <v>0</v>
      </c>
      <c r="Q399" s="2" t="str">
        <f t="shared" si="11"/>
        <v/>
      </c>
      <c r="R399" s="1" t="str">
        <f t="shared" si="12"/>
        <v/>
      </c>
      <c r="S399" s="1" t="str">
        <f t="shared" si="13"/>
        <v/>
      </c>
      <c r="T399" s="1" t="str">
        <f t="shared" si="14"/>
        <v/>
      </c>
      <c r="U399" s="1">
        <f t="shared" si="15"/>
        <v>98</v>
      </c>
      <c r="V399" s="3">
        <f t="shared" si="16"/>
        <v>97</v>
      </c>
      <c r="W399" s="3">
        <f t="shared" si="17"/>
        <v>99</v>
      </c>
      <c r="X399" s="3" t="str">
        <f t="shared" si="18"/>
        <v/>
      </c>
      <c r="Y399" s="3" t="str">
        <f t="shared" si="19"/>
        <v/>
      </c>
      <c r="Z399" s="1" t="str">
        <f t="shared" si="20"/>
        <v/>
      </c>
      <c r="AA399" s="3" t="str">
        <f t="shared" si="21"/>
        <v/>
      </c>
      <c r="AB399" s="3" t="str">
        <f>LOOKUP($A399,Sheet2!$A$1:$B$233)</f>
        <v>Latin America &amp; Caribbean</v>
      </c>
    </row>
    <row r="400" spans="1:28">
      <c r="A400" s="1" t="s">
        <v>239</v>
      </c>
      <c r="B400" s="1">
        <v>2015</v>
      </c>
      <c r="C400" s="1">
        <v>9764.9492190000001</v>
      </c>
      <c r="D400" s="1">
        <v>86.553001399999999</v>
      </c>
      <c r="E400" s="1">
        <v>99.781231030000001</v>
      </c>
      <c r="F400" s="1">
        <v>0</v>
      </c>
      <c r="G400" s="1">
        <v>0.2187689729</v>
      </c>
      <c r="H400" s="1">
        <v>0</v>
      </c>
      <c r="I400" s="1">
        <v>99.549986529999998</v>
      </c>
      <c r="J400" s="1">
        <v>0</v>
      </c>
      <c r="K400" s="1">
        <v>0.4500134657</v>
      </c>
      <c r="L400" s="1">
        <v>0</v>
      </c>
      <c r="M400" s="1">
        <v>99.817160389999998</v>
      </c>
      <c r="N400" s="1">
        <v>0</v>
      </c>
      <c r="O400" s="1">
        <v>0.18283961479999999</v>
      </c>
      <c r="P400" s="1">
        <v>0</v>
      </c>
      <c r="Q400" s="2">
        <f t="shared" si="11"/>
        <v>5</v>
      </c>
      <c r="R400" s="1">
        <f t="shared" si="12"/>
        <v>9.1273199999989171E-3</v>
      </c>
      <c r="S400" s="1">
        <f t="shared" si="13"/>
        <v>3.387764200000163E-2</v>
      </c>
      <c r="T400" s="1">
        <f t="shared" si="14"/>
        <v>4.8794579999992035E-3</v>
      </c>
      <c r="U400" s="1">
        <f t="shared" si="15"/>
        <v>100</v>
      </c>
      <c r="V400" s="3">
        <f t="shared" si="16"/>
        <v>100</v>
      </c>
      <c r="W400" s="3">
        <f t="shared" si="17"/>
        <v>100</v>
      </c>
      <c r="X400" s="3" t="str">
        <f t="shared" si="18"/>
        <v>fullaccesss</v>
      </c>
      <c r="Y400" s="3" t="str">
        <f t="shared" si="19"/>
        <v>fullaccesss</v>
      </c>
      <c r="Z400" s="1" t="str">
        <f t="shared" si="20"/>
        <v>fullaccesss</v>
      </c>
      <c r="AA400" s="3">
        <f t="shared" si="21"/>
        <v>2.8998184000002425E-2</v>
      </c>
      <c r="AB400" s="3" t="str">
        <f>LOOKUP($A400,Sheet2!$A$1:$B$233)</f>
        <v>Europe &amp; Central Asia</v>
      </c>
    </row>
    <row r="401" spans="1:28">
      <c r="A401" s="1" t="s">
        <v>239</v>
      </c>
      <c r="B401" s="1">
        <v>2020</v>
      </c>
      <c r="C401" s="1">
        <v>10099.26953</v>
      </c>
      <c r="D401" s="1">
        <v>87.97699738</v>
      </c>
      <c r="E401" s="1">
        <v>99.826867629999995</v>
      </c>
      <c r="F401" s="1">
        <v>0</v>
      </c>
      <c r="G401" s="1">
        <v>0.17313237349999999</v>
      </c>
      <c r="H401" s="1">
        <v>0</v>
      </c>
      <c r="I401" s="1">
        <v>99.719374740000006</v>
      </c>
      <c r="J401" s="1">
        <v>0</v>
      </c>
      <c r="K401" s="1">
        <v>0.28062526259999998</v>
      </c>
      <c r="L401" s="1">
        <v>0</v>
      </c>
      <c r="M401" s="1">
        <v>99.841557679999994</v>
      </c>
      <c r="N401" s="1">
        <v>0</v>
      </c>
      <c r="O401" s="1">
        <v>0.1584423157</v>
      </c>
      <c r="P401" s="1">
        <v>0</v>
      </c>
      <c r="Q401" s="2" t="str">
        <f t="shared" si="11"/>
        <v/>
      </c>
      <c r="R401" s="1" t="str">
        <f t="shared" si="12"/>
        <v/>
      </c>
      <c r="S401" s="1" t="str">
        <f t="shared" si="13"/>
        <v/>
      </c>
      <c r="T401" s="1" t="str">
        <f t="shared" si="14"/>
        <v/>
      </c>
      <c r="U401" s="1">
        <f t="shared" si="15"/>
        <v>100</v>
      </c>
      <c r="V401" s="3">
        <f t="shared" si="16"/>
        <v>100</v>
      </c>
      <c r="W401" s="3">
        <f t="shared" si="17"/>
        <v>100</v>
      </c>
      <c r="X401" s="3" t="str">
        <f t="shared" si="18"/>
        <v/>
      </c>
      <c r="Y401" s="3" t="str">
        <f t="shared" si="19"/>
        <v/>
      </c>
      <c r="Z401" s="1" t="str">
        <f t="shared" si="20"/>
        <v/>
      </c>
      <c r="AA401" s="3" t="str">
        <f t="shared" si="21"/>
        <v/>
      </c>
      <c r="AB401" s="3" t="str">
        <f>LOOKUP($A401,Sheet2!$A$1:$B$233)</f>
        <v>Europe &amp; Central Asia</v>
      </c>
    </row>
    <row r="402" spans="1:28">
      <c r="A402" s="1" t="s">
        <v>240</v>
      </c>
      <c r="B402" s="1">
        <v>2015</v>
      </c>
      <c r="C402" s="1">
        <v>8296.7753909999992</v>
      </c>
      <c r="D402" s="1">
        <v>73.718002319999997</v>
      </c>
      <c r="E402" s="1">
        <v>100</v>
      </c>
      <c r="F402" s="1">
        <v>0</v>
      </c>
      <c r="G402" s="1">
        <v>0</v>
      </c>
      <c r="H402" s="1">
        <v>0</v>
      </c>
      <c r="I402" s="1">
        <v>100</v>
      </c>
      <c r="J402" s="1">
        <v>0</v>
      </c>
      <c r="K402" s="1">
        <v>0</v>
      </c>
      <c r="L402" s="1">
        <v>0</v>
      </c>
      <c r="M402" s="1">
        <v>100</v>
      </c>
      <c r="N402" s="1">
        <v>0</v>
      </c>
      <c r="O402" s="1">
        <v>0</v>
      </c>
      <c r="P402" s="1">
        <v>0</v>
      </c>
      <c r="Q402" s="2">
        <f t="shared" si="11"/>
        <v>5</v>
      </c>
      <c r="R402" s="1">
        <f t="shared" si="12"/>
        <v>5.6000000085987263E-7</v>
      </c>
      <c r="S402" s="1">
        <f t="shared" si="13"/>
        <v>0</v>
      </c>
      <c r="T402" s="1">
        <f t="shared" si="14"/>
        <v>0</v>
      </c>
      <c r="U402" s="1">
        <f t="shared" si="15"/>
        <v>100</v>
      </c>
      <c r="V402" s="3">
        <f t="shared" si="16"/>
        <v>100</v>
      </c>
      <c r="W402" s="3">
        <f t="shared" si="17"/>
        <v>100</v>
      </c>
      <c r="X402" s="3" t="str">
        <f t="shared" si="18"/>
        <v>fullaccesss</v>
      </c>
      <c r="Y402" s="3" t="str">
        <f t="shared" si="19"/>
        <v>fullaccesss</v>
      </c>
      <c r="Z402" s="1" t="str">
        <f t="shared" si="20"/>
        <v>fullaccesss</v>
      </c>
      <c r="AA402" s="3">
        <f t="shared" si="21"/>
        <v>0</v>
      </c>
      <c r="AB402" s="3" t="str">
        <f>LOOKUP($A402,Sheet2!$A$1:$B$233)</f>
        <v>Europe &amp; Central Asia</v>
      </c>
    </row>
    <row r="403" spans="1:28">
      <c r="A403" s="1" t="s">
        <v>240</v>
      </c>
      <c r="B403" s="1">
        <v>2020</v>
      </c>
      <c r="C403" s="1">
        <v>8654.6181639999995</v>
      </c>
      <c r="D403" s="1">
        <v>73.915000919999997</v>
      </c>
      <c r="E403" s="1">
        <v>100.0000028</v>
      </c>
      <c r="F403" s="1">
        <v>0</v>
      </c>
      <c r="G403" s="1">
        <v>0</v>
      </c>
      <c r="H403" s="1">
        <v>0</v>
      </c>
      <c r="I403" s="1">
        <v>100</v>
      </c>
      <c r="J403" s="1">
        <v>0</v>
      </c>
      <c r="K403" s="1">
        <v>0</v>
      </c>
      <c r="L403" s="1">
        <v>0</v>
      </c>
      <c r="M403" s="1">
        <v>100</v>
      </c>
      <c r="N403" s="1">
        <v>0</v>
      </c>
      <c r="O403" s="1">
        <v>0</v>
      </c>
      <c r="P403" s="1">
        <v>0</v>
      </c>
      <c r="Q403" s="2" t="str">
        <f t="shared" si="11"/>
        <v/>
      </c>
      <c r="R403" s="1" t="str">
        <f t="shared" si="12"/>
        <v/>
      </c>
      <c r="S403" s="1" t="str">
        <f t="shared" si="13"/>
        <v/>
      </c>
      <c r="T403" s="1" t="str">
        <f t="shared" si="14"/>
        <v/>
      </c>
      <c r="U403" s="1">
        <f t="shared" si="15"/>
        <v>100</v>
      </c>
      <c r="V403" s="3">
        <f t="shared" si="16"/>
        <v>100</v>
      </c>
      <c r="W403" s="3">
        <f t="shared" si="17"/>
        <v>100</v>
      </c>
      <c r="X403" s="3" t="str">
        <f t="shared" si="18"/>
        <v/>
      </c>
      <c r="Y403" s="3" t="str">
        <f t="shared" si="19"/>
        <v/>
      </c>
      <c r="Z403" s="1" t="str">
        <f t="shared" si="20"/>
        <v/>
      </c>
      <c r="AA403" s="3" t="str">
        <f t="shared" si="21"/>
        <v/>
      </c>
      <c r="AB403" s="3" t="str">
        <f>LOOKUP($A403,Sheet2!$A$1:$B$233)</f>
        <v>Europe &amp; Central Asia</v>
      </c>
    </row>
    <row r="404" spans="1:28">
      <c r="A404" s="1" t="s">
        <v>241</v>
      </c>
      <c r="B404" s="1">
        <v>2015</v>
      </c>
      <c r="C404" s="1">
        <v>17997.410159999999</v>
      </c>
      <c r="D404" s="1">
        <v>52.167999270000003</v>
      </c>
      <c r="E404" s="1">
        <v>93.509611480000004</v>
      </c>
      <c r="F404" s="1">
        <v>5.9680836279999996</v>
      </c>
      <c r="G404" s="1">
        <v>0.52230488829999999</v>
      </c>
      <c r="H404" s="1">
        <v>0</v>
      </c>
      <c r="I404" s="1">
        <v>91.385705099999996</v>
      </c>
      <c r="J404" s="1">
        <v>7.8573236560000002</v>
      </c>
      <c r="K404" s="1">
        <v>0.75697124390000003</v>
      </c>
      <c r="L404" s="1">
        <v>0</v>
      </c>
      <c r="M404" s="1">
        <v>95.456987190000007</v>
      </c>
      <c r="N404" s="1">
        <v>4.2358697369999998</v>
      </c>
      <c r="O404" s="1">
        <v>0.30714306949999998</v>
      </c>
      <c r="P404" s="1">
        <v>0</v>
      </c>
      <c r="Q404" s="2">
        <f t="shared" si="11"/>
        <v>5</v>
      </c>
      <c r="R404" s="1">
        <f t="shared" si="12"/>
        <v>8.3249139999998084E-2</v>
      </c>
      <c r="S404" s="1">
        <f t="shared" si="13"/>
        <v>0.13940798000000143</v>
      </c>
      <c r="T404" s="1">
        <f t="shared" si="14"/>
        <v>-1.0364566000001218E-2</v>
      </c>
      <c r="U404" s="1">
        <f t="shared" si="15"/>
        <v>94</v>
      </c>
      <c r="V404" s="3">
        <f t="shared" si="16"/>
        <v>91</v>
      </c>
      <c r="W404" s="3">
        <f t="shared" si="17"/>
        <v>95</v>
      </c>
      <c r="X404" s="3" t="str">
        <f t="shared" si="18"/>
        <v/>
      </c>
      <c r="Y404" s="3" t="str">
        <f t="shared" si="19"/>
        <v/>
      </c>
      <c r="Z404" s="1" t="str">
        <f t="shared" si="20"/>
        <v/>
      </c>
      <c r="AA404" s="3">
        <f t="shared" si="21"/>
        <v>0.14977254600000264</v>
      </c>
      <c r="AB404" s="3" t="str">
        <f>LOOKUP($A404,Sheet2!$A$1:$B$233)</f>
        <v>Middle East &amp; North Africa</v>
      </c>
    </row>
    <row r="405" spans="1:28">
      <c r="A405" s="1" t="s">
        <v>241</v>
      </c>
      <c r="B405" s="1">
        <v>2020</v>
      </c>
      <c r="C405" s="1">
        <v>17500.65625</v>
      </c>
      <c r="D405" s="1">
        <v>55.475002289999999</v>
      </c>
      <c r="E405" s="1">
        <v>93.925857179999994</v>
      </c>
      <c r="F405" s="1">
        <v>5.8737307679999997</v>
      </c>
      <c r="G405" s="1">
        <v>0.20041205419999999</v>
      </c>
      <c r="H405" s="1">
        <v>0</v>
      </c>
      <c r="I405" s="1">
        <v>92.082745000000003</v>
      </c>
      <c r="J405" s="1">
        <v>7.9172549999999999</v>
      </c>
      <c r="K405" s="1">
        <v>0</v>
      </c>
      <c r="L405" s="1">
        <v>0</v>
      </c>
      <c r="M405" s="1">
        <v>95.405164360000001</v>
      </c>
      <c r="N405" s="1">
        <v>4.2335701170000002</v>
      </c>
      <c r="O405" s="1">
        <v>0.36126552499999998</v>
      </c>
      <c r="P405" s="1">
        <v>0</v>
      </c>
      <c r="Q405" s="2" t="str">
        <f t="shared" si="11"/>
        <v/>
      </c>
      <c r="R405" s="1" t="str">
        <f t="shared" si="12"/>
        <v/>
      </c>
      <c r="S405" s="1" t="str">
        <f t="shared" si="13"/>
        <v/>
      </c>
      <c r="T405" s="1" t="str">
        <f t="shared" si="14"/>
        <v/>
      </c>
      <c r="U405" s="1">
        <f t="shared" si="15"/>
        <v>94</v>
      </c>
      <c r="V405" s="3">
        <f t="shared" si="16"/>
        <v>92</v>
      </c>
      <c r="W405" s="3">
        <f t="shared" si="17"/>
        <v>95</v>
      </c>
      <c r="X405" s="3" t="str">
        <f t="shared" si="18"/>
        <v/>
      </c>
      <c r="Y405" s="3" t="str">
        <f t="shared" si="19"/>
        <v/>
      </c>
      <c r="Z405" s="1" t="str">
        <f t="shared" si="20"/>
        <v/>
      </c>
      <c r="AA405" s="3" t="str">
        <f t="shared" si="21"/>
        <v/>
      </c>
      <c r="AB405" s="3" t="str">
        <f>LOOKUP($A405,Sheet2!$A$1:$B$233)</f>
        <v>Middle East &amp; North Africa</v>
      </c>
    </row>
    <row r="406" spans="1:28">
      <c r="A406" s="1" t="s">
        <v>242</v>
      </c>
      <c r="B406" s="1">
        <v>2015</v>
      </c>
      <c r="C406" s="1">
        <v>8454.0185550000006</v>
      </c>
      <c r="D406" s="1">
        <v>26.742000579999999</v>
      </c>
      <c r="E406" s="1">
        <v>76.239495509999998</v>
      </c>
      <c r="F406" s="1">
        <v>3.050011091</v>
      </c>
      <c r="G406" s="1">
        <v>3.944733748</v>
      </c>
      <c r="H406" s="1">
        <v>16.76575965</v>
      </c>
      <c r="I406" s="1">
        <v>69.552182060000007</v>
      </c>
      <c r="J406" s="1">
        <v>3.681021887</v>
      </c>
      <c r="K406" s="1">
        <v>4.8574855120000002</v>
      </c>
      <c r="L406" s="1">
        <v>21.90931054</v>
      </c>
      <c r="M406" s="1">
        <v>94.558955389999994</v>
      </c>
      <c r="N406" s="1">
        <v>1.321396987</v>
      </c>
      <c r="O406" s="1">
        <v>1.444318955</v>
      </c>
      <c r="P406" s="1">
        <v>2.6753286630000002</v>
      </c>
      <c r="Q406" s="2">
        <f t="shared" si="11"/>
        <v>5</v>
      </c>
      <c r="R406" s="1">
        <f t="shared" si="12"/>
        <v>1.1225839019999995</v>
      </c>
      <c r="S406" s="1">
        <f t="shared" si="13"/>
        <v>1.4182834279999981</v>
      </c>
      <c r="T406" s="1">
        <f t="shared" si="14"/>
        <v>0.20433369400000173</v>
      </c>
      <c r="U406" s="1">
        <f t="shared" si="15"/>
        <v>76</v>
      </c>
      <c r="V406" s="3">
        <f t="shared" si="16"/>
        <v>70</v>
      </c>
      <c r="W406" s="3">
        <f t="shared" si="17"/>
        <v>95</v>
      </c>
      <c r="X406" s="3" t="str">
        <f t="shared" si="18"/>
        <v/>
      </c>
      <c r="Y406" s="3" t="str">
        <f t="shared" si="19"/>
        <v/>
      </c>
      <c r="Z406" s="1" t="str">
        <f t="shared" si="20"/>
        <v/>
      </c>
      <c r="AA406" s="3">
        <f t="shared" si="21"/>
        <v>1.2139497339999963</v>
      </c>
      <c r="AB406" s="3" t="str">
        <f>LOOKUP($A406,Sheet2!$A$1:$B$233)</f>
        <v>Europe &amp; Central Asia</v>
      </c>
    </row>
    <row r="407" spans="1:28">
      <c r="A407" s="1" t="s">
        <v>242</v>
      </c>
      <c r="B407" s="1">
        <v>2020</v>
      </c>
      <c r="C407" s="1">
        <v>9537.6416019999997</v>
      </c>
      <c r="D407" s="1">
        <v>27.505998609999999</v>
      </c>
      <c r="E407" s="1">
        <v>81.852415019999995</v>
      </c>
      <c r="F407" s="1">
        <v>2.5683639349999998</v>
      </c>
      <c r="G407" s="1">
        <v>3.4218570050000001</v>
      </c>
      <c r="H407" s="1">
        <v>12.157364039999999</v>
      </c>
      <c r="I407" s="1">
        <v>76.643599199999997</v>
      </c>
      <c r="J407" s="1">
        <v>3.2071439279999998</v>
      </c>
      <c r="K407" s="1">
        <v>4.1407069480000001</v>
      </c>
      <c r="L407" s="1">
        <v>16.00854992</v>
      </c>
      <c r="M407" s="1">
        <v>95.580623860000003</v>
      </c>
      <c r="N407" s="1">
        <v>0.88481447629999999</v>
      </c>
      <c r="O407" s="1">
        <v>1.5272683229999999</v>
      </c>
      <c r="P407" s="1">
        <v>2.0072933389999998</v>
      </c>
      <c r="Q407" s="2" t="str">
        <f t="shared" si="11"/>
        <v/>
      </c>
      <c r="R407" s="1" t="str">
        <f t="shared" si="12"/>
        <v/>
      </c>
      <c r="S407" s="1" t="str">
        <f t="shared" si="13"/>
        <v/>
      </c>
      <c r="T407" s="1" t="str">
        <f t="shared" si="14"/>
        <v/>
      </c>
      <c r="U407" s="1">
        <f t="shared" si="15"/>
        <v>82</v>
      </c>
      <c r="V407" s="3">
        <f t="shared" si="16"/>
        <v>77</v>
      </c>
      <c r="W407" s="3">
        <f t="shared" si="17"/>
        <v>96</v>
      </c>
      <c r="X407" s="3" t="str">
        <f t="shared" si="18"/>
        <v/>
      </c>
      <c r="Y407" s="3" t="str">
        <f t="shared" si="19"/>
        <v/>
      </c>
      <c r="Z407" s="1" t="str">
        <f t="shared" si="20"/>
        <v/>
      </c>
      <c r="AA407" s="3" t="str">
        <f t="shared" si="21"/>
        <v/>
      </c>
      <c r="AB407" s="3" t="str">
        <f>LOOKUP($A407,Sheet2!$A$1:$B$233)</f>
        <v>Europe &amp; Central Asia</v>
      </c>
    </row>
    <row r="408" spans="1:28">
      <c r="A408" s="1" t="s">
        <v>243</v>
      </c>
      <c r="B408" s="1">
        <v>2015</v>
      </c>
      <c r="C408" s="1">
        <v>68714.515629999994</v>
      </c>
      <c r="D408" s="1">
        <v>47.694004059999997</v>
      </c>
      <c r="E408" s="1">
        <v>99.259170580000003</v>
      </c>
      <c r="F408" s="1">
        <v>0.2176525852</v>
      </c>
      <c r="G408" s="1">
        <v>0.1822513237</v>
      </c>
      <c r="H408" s="1">
        <v>0.34092551430000001</v>
      </c>
      <c r="I408" s="1">
        <v>98.879516710000004</v>
      </c>
      <c r="J408" s="1">
        <v>0.2456716052</v>
      </c>
      <c r="K408" s="1">
        <v>0.22302119049999999</v>
      </c>
      <c r="L408" s="1">
        <v>0.65179049</v>
      </c>
      <c r="M408" s="1">
        <v>99.675536840000007</v>
      </c>
      <c r="N408" s="1">
        <v>0.1869241354</v>
      </c>
      <c r="O408" s="1">
        <v>0.1375390245</v>
      </c>
      <c r="P408" s="1">
        <v>0</v>
      </c>
      <c r="Q408" s="2">
        <f t="shared" si="11"/>
        <v>5</v>
      </c>
      <c r="R408" s="1">
        <f t="shared" si="12"/>
        <v>0.14816588399999944</v>
      </c>
      <c r="S408" s="1">
        <f t="shared" si="13"/>
        <v>0.22409665799999914</v>
      </c>
      <c r="T408" s="1">
        <f t="shared" si="14"/>
        <v>6.4892631999998687E-2</v>
      </c>
      <c r="U408" s="1">
        <f t="shared" si="15"/>
        <v>99</v>
      </c>
      <c r="V408" s="3">
        <f t="shared" si="16"/>
        <v>99</v>
      </c>
      <c r="W408" s="3">
        <f t="shared" si="17"/>
        <v>100</v>
      </c>
      <c r="X408" s="3" t="str">
        <f t="shared" si="18"/>
        <v/>
      </c>
      <c r="Y408" s="3" t="str">
        <f t="shared" si="19"/>
        <v/>
      </c>
      <c r="Z408" s="1" t="str">
        <f t="shared" si="20"/>
        <v>fullaccesss</v>
      </c>
      <c r="AA408" s="3">
        <f t="shared" si="21"/>
        <v>0.15920402600000044</v>
      </c>
      <c r="AB408" s="3" t="str">
        <f>LOOKUP($A408,Sheet2!$A$1:$B$233)</f>
        <v>East Asia &amp; Pacific</v>
      </c>
    </row>
    <row r="409" spans="1:28">
      <c r="A409" s="1" t="s">
        <v>243</v>
      </c>
      <c r="B409" s="1">
        <v>2020</v>
      </c>
      <c r="C409" s="1">
        <v>69799.976559999996</v>
      </c>
      <c r="D409" s="1">
        <v>51.430000309999997</v>
      </c>
      <c r="E409" s="1">
        <v>100</v>
      </c>
      <c r="F409" s="1">
        <v>0</v>
      </c>
      <c r="G409" s="1">
        <v>0</v>
      </c>
      <c r="H409" s="1">
        <v>0</v>
      </c>
      <c r="I409" s="1">
        <v>100</v>
      </c>
      <c r="J409" s="1">
        <v>0</v>
      </c>
      <c r="K409" s="1">
        <v>0</v>
      </c>
      <c r="L409" s="1">
        <v>0</v>
      </c>
      <c r="M409" s="1">
        <v>100</v>
      </c>
      <c r="N409" s="1">
        <v>0</v>
      </c>
      <c r="O409" s="1">
        <v>0</v>
      </c>
      <c r="P409" s="1">
        <v>0</v>
      </c>
      <c r="Q409" s="2" t="str">
        <f t="shared" si="11"/>
        <v/>
      </c>
      <c r="R409" s="1" t="str">
        <f t="shared" si="12"/>
        <v/>
      </c>
      <c r="S409" s="1" t="str">
        <f t="shared" si="13"/>
        <v/>
      </c>
      <c r="T409" s="1" t="str">
        <f t="shared" si="14"/>
        <v/>
      </c>
      <c r="U409" s="1">
        <f t="shared" si="15"/>
        <v>100</v>
      </c>
      <c r="V409" s="3">
        <f t="shared" si="16"/>
        <v>100</v>
      </c>
      <c r="W409" s="3">
        <f t="shared" si="17"/>
        <v>100</v>
      </c>
      <c r="X409" s="3" t="str">
        <f t="shared" si="18"/>
        <v/>
      </c>
      <c r="Y409" s="3" t="str">
        <f t="shared" si="19"/>
        <v/>
      </c>
      <c r="Z409" s="1" t="str">
        <f t="shared" si="20"/>
        <v/>
      </c>
      <c r="AA409" s="3" t="str">
        <f t="shared" si="21"/>
        <v/>
      </c>
      <c r="AB409" s="3" t="str">
        <f>LOOKUP($A409,Sheet2!$A$1:$B$233)</f>
        <v>East Asia &amp; Pacific</v>
      </c>
    </row>
    <row r="410" spans="1:28">
      <c r="A410" s="1" t="s">
        <v>244</v>
      </c>
      <c r="B410" s="1">
        <v>2015</v>
      </c>
      <c r="C410" s="1">
        <v>1196.2939449999999</v>
      </c>
      <c r="D410" s="1">
        <v>29.489999770000001</v>
      </c>
      <c r="E410" s="1">
        <v>75.250103710000005</v>
      </c>
      <c r="F410" s="1">
        <v>3.486316247</v>
      </c>
      <c r="G410" s="1">
        <v>16.460746719999999</v>
      </c>
      <c r="H410" s="1">
        <v>4.8028333229999998</v>
      </c>
      <c r="I410" s="1">
        <v>68.95938975</v>
      </c>
      <c r="J410" s="1">
        <v>4.2085077100000001</v>
      </c>
      <c r="K410" s="1">
        <v>20.19524109</v>
      </c>
      <c r="L410" s="1">
        <v>6.6368614499999996</v>
      </c>
      <c r="M410" s="1">
        <v>90.291081230000003</v>
      </c>
      <c r="N410" s="1">
        <v>1.759571234</v>
      </c>
      <c r="O410" s="1">
        <v>7.5316383</v>
      </c>
      <c r="P410" s="1">
        <v>0.41770924009999999</v>
      </c>
      <c r="Q410" s="2">
        <f t="shared" si="11"/>
        <v>5</v>
      </c>
      <c r="R410" s="1">
        <f t="shared" si="12"/>
        <v>2.0490994979999981</v>
      </c>
      <c r="S410" s="1">
        <f t="shared" si="13"/>
        <v>2.3056811740000001</v>
      </c>
      <c r="T410" s="1">
        <f t="shared" si="14"/>
        <v>1.2371753380000001</v>
      </c>
      <c r="U410" s="1">
        <f t="shared" si="15"/>
        <v>75</v>
      </c>
      <c r="V410" s="3">
        <f t="shared" si="16"/>
        <v>69</v>
      </c>
      <c r="W410" s="3">
        <f t="shared" si="17"/>
        <v>90</v>
      </c>
      <c r="X410" s="3" t="str">
        <f t="shared" si="18"/>
        <v/>
      </c>
      <c r="Y410" s="3" t="str">
        <f t="shared" si="19"/>
        <v/>
      </c>
      <c r="Z410" s="1" t="str">
        <f t="shared" si="20"/>
        <v/>
      </c>
      <c r="AA410" s="3">
        <f t="shared" si="21"/>
        <v>1.0685058359999999</v>
      </c>
      <c r="AB410" s="3" t="str">
        <f>LOOKUP($A410,Sheet2!$A$1:$B$233)</f>
        <v>East Asia &amp; Pacific</v>
      </c>
    </row>
    <row r="411" spans="1:28">
      <c r="A411" s="1" t="s">
        <v>244</v>
      </c>
      <c r="B411" s="1">
        <v>2020</v>
      </c>
      <c r="C411" s="1">
        <v>1318.4420170000001</v>
      </c>
      <c r="D411" s="1">
        <v>31.31999969</v>
      </c>
      <c r="E411" s="1">
        <v>85.495601199999996</v>
      </c>
      <c r="F411" s="1">
        <v>1.88586597</v>
      </c>
      <c r="G411" s="1">
        <v>8.3600293969999999</v>
      </c>
      <c r="H411" s="1">
        <v>4.2585034329999996</v>
      </c>
      <c r="I411" s="1">
        <v>80.48779562</v>
      </c>
      <c r="J411" s="1">
        <v>2.0493646750000001</v>
      </c>
      <c r="K411" s="1">
        <v>11.26233968</v>
      </c>
      <c r="L411" s="1">
        <v>6.2005000179999996</v>
      </c>
      <c r="M411" s="1">
        <v>96.476957920000004</v>
      </c>
      <c r="N411" s="1">
        <v>1.527338152</v>
      </c>
      <c r="O411" s="1">
        <v>1.995703929</v>
      </c>
      <c r="P411" s="1">
        <v>0</v>
      </c>
      <c r="Q411" s="2" t="str">
        <f t="shared" si="11"/>
        <v/>
      </c>
      <c r="R411" s="1" t="str">
        <f t="shared" si="12"/>
        <v/>
      </c>
      <c r="S411" s="1" t="str">
        <f t="shared" si="13"/>
        <v/>
      </c>
      <c r="T411" s="1" t="str">
        <f t="shared" si="14"/>
        <v/>
      </c>
      <c r="U411" s="1">
        <f t="shared" si="15"/>
        <v>85</v>
      </c>
      <c r="V411" s="3">
        <f t="shared" si="16"/>
        <v>80</v>
      </c>
      <c r="W411" s="3">
        <f t="shared" si="17"/>
        <v>96</v>
      </c>
      <c r="X411" s="3" t="str">
        <f t="shared" si="18"/>
        <v/>
      </c>
      <c r="Y411" s="3" t="str">
        <f t="shared" si="19"/>
        <v/>
      </c>
      <c r="Z411" s="1" t="str">
        <f t="shared" si="20"/>
        <v/>
      </c>
      <c r="AA411" s="3" t="str">
        <f t="shared" si="21"/>
        <v/>
      </c>
      <c r="AB411" s="3" t="str">
        <f>LOOKUP($A411,Sheet2!$A$1:$B$233)</f>
        <v>East Asia &amp; Pacific</v>
      </c>
    </row>
    <row r="412" spans="1:28">
      <c r="A412" s="1" t="s">
        <v>245</v>
      </c>
      <c r="B412" s="1">
        <v>2015</v>
      </c>
      <c r="C412" s="1">
        <v>7323.1621089999999</v>
      </c>
      <c r="D412" s="1">
        <v>40.099998470000003</v>
      </c>
      <c r="E412" s="1">
        <v>63.637126350000003</v>
      </c>
      <c r="F412" s="1">
        <v>5.6657679649999997</v>
      </c>
      <c r="G412" s="1">
        <v>17.17891539</v>
      </c>
      <c r="H412" s="1">
        <v>13.51819029</v>
      </c>
      <c r="I412" s="1">
        <v>47.242183279999999</v>
      </c>
      <c r="J412" s="1">
        <v>7.3346522839999997</v>
      </c>
      <c r="K412" s="1">
        <v>23.470036180000001</v>
      </c>
      <c r="L412" s="1">
        <v>21.953128249999999</v>
      </c>
      <c r="M412" s="1">
        <v>88.127329700000004</v>
      </c>
      <c r="N412" s="1">
        <v>3.1728458380000002</v>
      </c>
      <c r="O412" s="1">
        <v>7.7814550410000001</v>
      </c>
      <c r="P412" s="1">
        <v>0.91836941770000002</v>
      </c>
      <c r="Q412" s="2">
        <f t="shared" si="11"/>
        <v>5</v>
      </c>
      <c r="R412" s="1">
        <f t="shared" si="12"/>
        <v>0.98931874799999941</v>
      </c>
      <c r="S412" s="1">
        <f t="shared" si="13"/>
        <v>0.97507389400000055</v>
      </c>
      <c r="T412" s="1">
        <f t="shared" si="14"/>
        <v>0.49251606199999853</v>
      </c>
      <c r="U412" s="1">
        <f t="shared" si="15"/>
        <v>64</v>
      </c>
      <c r="V412" s="3">
        <f t="shared" si="16"/>
        <v>47</v>
      </c>
      <c r="W412" s="3">
        <f t="shared" si="17"/>
        <v>88</v>
      </c>
      <c r="X412" s="3" t="str">
        <f t="shared" si="18"/>
        <v/>
      </c>
      <c r="Y412" s="3" t="str">
        <f t="shared" si="19"/>
        <v/>
      </c>
      <c r="Z412" s="1" t="str">
        <f t="shared" si="20"/>
        <v/>
      </c>
      <c r="AA412" s="3">
        <f t="shared" si="21"/>
        <v>0.48255783200000202</v>
      </c>
      <c r="AB412" s="3" t="str">
        <f>LOOKUP($A412,Sheet2!$A$1:$B$233)</f>
        <v>Sub-Saharan Africa</v>
      </c>
    </row>
    <row r="413" spans="1:28">
      <c r="A413" s="1" t="s">
        <v>245</v>
      </c>
      <c r="B413" s="1">
        <v>2020</v>
      </c>
      <c r="C413" s="1">
        <v>8278.7373050000006</v>
      </c>
      <c r="D413" s="1">
        <v>42.799999239999998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52.117552750000002</v>
      </c>
      <c r="J413" s="1">
        <v>8.1875420190000003</v>
      </c>
      <c r="K413" s="1">
        <v>20.7910842</v>
      </c>
      <c r="L413" s="1">
        <v>18.90382103</v>
      </c>
      <c r="M413" s="1">
        <v>90.589910009999997</v>
      </c>
      <c r="N413" s="1">
        <v>3.2293480560000001</v>
      </c>
      <c r="O413" s="1">
        <v>5.3079905280000004</v>
      </c>
      <c r="P413" s="1">
        <v>0.87275140490000003</v>
      </c>
      <c r="Q413" s="2" t="str">
        <f t="shared" si="11"/>
        <v/>
      </c>
      <c r="R413" s="1" t="str">
        <f t="shared" si="12"/>
        <v/>
      </c>
      <c r="S413" s="1" t="str">
        <f t="shared" si="13"/>
        <v/>
      </c>
      <c r="T413" s="1" t="str">
        <f t="shared" si="14"/>
        <v/>
      </c>
      <c r="U413" s="1">
        <f t="shared" si="15"/>
        <v>69</v>
      </c>
      <c r="V413" s="3">
        <f t="shared" si="16"/>
        <v>52</v>
      </c>
      <c r="W413" s="3">
        <f t="shared" si="17"/>
        <v>91</v>
      </c>
      <c r="X413" s="3" t="str">
        <f t="shared" si="18"/>
        <v/>
      </c>
      <c r="Y413" s="3" t="str">
        <f t="shared" si="19"/>
        <v/>
      </c>
      <c r="Z413" s="1" t="str">
        <f t="shared" si="20"/>
        <v/>
      </c>
      <c r="AA413" s="3" t="str">
        <f t="shared" si="21"/>
        <v/>
      </c>
      <c r="AB413" s="3" t="str">
        <f>LOOKUP($A413,Sheet2!$A$1:$B$233)</f>
        <v>Sub-Saharan Africa</v>
      </c>
    </row>
    <row r="414" spans="1:28">
      <c r="A414" s="1" t="s">
        <v>246</v>
      </c>
      <c r="B414" s="1">
        <v>2015</v>
      </c>
      <c r="C414" s="1">
        <v>1.2469999789999999</v>
      </c>
      <c r="D414" s="1">
        <v>0</v>
      </c>
      <c r="E414" s="1">
        <v>99.457396000000003</v>
      </c>
      <c r="F414" s="1">
        <v>0</v>
      </c>
      <c r="G414" s="1">
        <v>0.54260399999999998</v>
      </c>
      <c r="H414" s="1">
        <v>0</v>
      </c>
      <c r="I414" s="1">
        <v>99.457396000000003</v>
      </c>
      <c r="J414" s="1">
        <v>0</v>
      </c>
      <c r="K414" s="1">
        <v>0.54260399999999998</v>
      </c>
      <c r="L414" s="1">
        <v>0</v>
      </c>
      <c r="M414" s="1" t="s">
        <v>272</v>
      </c>
      <c r="N414" s="1" t="s">
        <v>272</v>
      </c>
      <c r="O414" s="1" t="s">
        <v>272</v>
      </c>
      <c r="P414" s="1" t="s">
        <v>272</v>
      </c>
      <c r="Q414" s="2">
        <f t="shared" si="11"/>
        <v>5</v>
      </c>
      <c r="R414" s="1">
        <f t="shared" si="12"/>
        <v>5.0056129999998686E-2</v>
      </c>
      <c r="S414" s="1">
        <f t="shared" si="13"/>
        <v>5.0056129999998686E-2</v>
      </c>
      <c r="T414" s="1" t="str">
        <f t="shared" si="14"/>
        <v>null</v>
      </c>
      <c r="U414" s="1">
        <f t="shared" si="15"/>
        <v>99</v>
      </c>
      <c r="V414" s="3">
        <f t="shared" si="16"/>
        <v>99</v>
      </c>
      <c r="W414" s="3" t="str">
        <f t="shared" si="17"/>
        <v>null</v>
      </c>
      <c r="X414" s="3" t="str">
        <f t="shared" si="18"/>
        <v/>
      </c>
      <c r="Y414" s="3" t="str">
        <f t="shared" si="19"/>
        <v/>
      </c>
      <c r="Z414" s="1" t="str">
        <f t="shared" si="20"/>
        <v/>
      </c>
      <c r="AA414" s="3" t="str">
        <f t="shared" si="21"/>
        <v>null</v>
      </c>
      <c r="AB414" s="3" t="str">
        <f>LOOKUP($A414,Sheet2!$A$1:$B$233)</f>
        <v>East Asia &amp; Pacific</v>
      </c>
    </row>
    <row r="415" spans="1:28">
      <c r="A415" s="1" t="s">
        <v>246</v>
      </c>
      <c r="B415" s="1">
        <v>2020</v>
      </c>
      <c r="C415" s="1">
        <v>1.3500000240000001</v>
      </c>
      <c r="D415" s="1">
        <v>0</v>
      </c>
      <c r="E415" s="1">
        <v>99.707676649999996</v>
      </c>
      <c r="F415" s="1">
        <v>0</v>
      </c>
      <c r="G415" s="1">
        <v>0.29232334589999998</v>
      </c>
      <c r="H415" s="1">
        <v>0</v>
      </c>
      <c r="I415" s="1">
        <v>99.707676649999996</v>
      </c>
      <c r="J415" s="1">
        <v>0</v>
      </c>
      <c r="K415" s="1">
        <v>0.29232334589999998</v>
      </c>
      <c r="L415" s="1">
        <v>0</v>
      </c>
      <c r="M415" s="1" t="s">
        <v>272</v>
      </c>
      <c r="N415" s="1" t="s">
        <v>272</v>
      </c>
      <c r="O415" s="1" t="s">
        <v>272</v>
      </c>
      <c r="P415" s="1" t="s">
        <v>272</v>
      </c>
      <c r="Q415" s="2" t="str">
        <f t="shared" si="11"/>
        <v/>
      </c>
      <c r="R415" s="1" t="str">
        <f t="shared" si="12"/>
        <v/>
      </c>
      <c r="S415" s="1" t="str">
        <f t="shared" si="13"/>
        <v/>
      </c>
      <c r="T415" s="1" t="str">
        <f t="shared" si="14"/>
        <v/>
      </c>
      <c r="U415" s="1">
        <f t="shared" si="15"/>
        <v>100</v>
      </c>
      <c r="V415" s="3">
        <f t="shared" si="16"/>
        <v>100</v>
      </c>
      <c r="W415" s="3" t="str">
        <f t="shared" si="17"/>
        <v>null</v>
      </c>
      <c r="X415" s="3" t="str">
        <f t="shared" si="18"/>
        <v/>
      </c>
      <c r="Y415" s="3" t="str">
        <f t="shared" si="19"/>
        <v/>
      </c>
      <c r="Z415" s="1" t="str">
        <f t="shared" si="20"/>
        <v/>
      </c>
      <c r="AA415" s="3" t="str">
        <f t="shared" si="21"/>
        <v/>
      </c>
      <c r="AB415" s="3" t="str">
        <f>LOOKUP($A415,Sheet2!$A$1:$B$233)</f>
        <v>East Asia &amp; Pacific</v>
      </c>
    </row>
    <row r="416" spans="1:28">
      <c r="A416" s="1" t="s">
        <v>247</v>
      </c>
      <c r="B416" s="1">
        <v>2015</v>
      </c>
      <c r="C416" s="1">
        <v>100.7799988</v>
      </c>
      <c r="D416" s="1">
        <v>23.274999619999999</v>
      </c>
      <c r="E416" s="1">
        <v>98.549705349999996</v>
      </c>
      <c r="F416" s="1">
        <v>0.87898212229999995</v>
      </c>
      <c r="G416" s="1">
        <v>0.57131252860000004</v>
      </c>
      <c r="H416" s="1">
        <v>0</v>
      </c>
      <c r="I416" s="1">
        <v>98.393048230000005</v>
      </c>
      <c r="J416" s="1">
        <v>1.1023191240000001</v>
      </c>
      <c r="K416" s="1">
        <v>0.50463264750000003</v>
      </c>
      <c r="L416" s="1">
        <v>0</v>
      </c>
      <c r="M416" s="1">
        <v>99.066110559999998</v>
      </c>
      <c r="N416" s="1">
        <v>0.14276156700000001</v>
      </c>
      <c r="O416" s="1">
        <v>0.79112787279999996</v>
      </c>
      <c r="P416" s="1">
        <v>0</v>
      </c>
      <c r="Q416" s="2">
        <f t="shared" si="11"/>
        <v>5</v>
      </c>
      <c r="R416" s="1">
        <f t="shared" si="12"/>
        <v>3.6275095999999965E-2</v>
      </c>
      <c r="S416" s="1">
        <f t="shared" si="13"/>
        <v>1.5006061999997655E-2</v>
      </c>
      <c r="T416" s="1">
        <f t="shared" si="14"/>
        <v>0.1081095260000012</v>
      </c>
      <c r="U416" s="1">
        <f t="shared" si="15"/>
        <v>99</v>
      </c>
      <c r="V416" s="3">
        <f t="shared" si="16"/>
        <v>98</v>
      </c>
      <c r="W416" s="3">
        <f t="shared" si="17"/>
        <v>99</v>
      </c>
      <c r="X416" s="3" t="str">
        <f t="shared" si="18"/>
        <v/>
      </c>
      <c r="Y416" s="3" t="str">
        <f t="shared" si="19"/>
        <v/>
      </c>
      <c r="Z416" s="1" t="str">
        <f t="shared" si="20"/>
        <v/>
      </c>
      <c r="AA416" s="3">
        <f t="shared" si="21"/>
        <v>-9.310346400000355E-2</v>
      </c>
      <c r="AB416" s="3" t="str">
        <f>LOOKUP($A416,Sheet2!$A$1:$B$233)</f>
        <v>East Asia &amp; Pacific</v>
      </c>
    </row>
    <row r="417" spans="1:28">
      <c r="A417" s="1" t="s">
        <v>247</v>
      </c>
      <c r="B417" s="1">
        <v>2020</v>
      </c>
      <c r="C417" s="1">
        <v>105.6969986</v>
      </c>
      <c r="D417" s="1">
        <v>23.098999020000001</v>
      </c>
      <c r="E417" s="1">
        <v>98.731080829999996</v>
      </c>
      <c r="F417" s="1">
        <v>0.88149729619999995</v>
      </c>
      <c r="G417" s="1">
        <v>0.38742187769999997</v>
      </c>
      <c r="H417" s="1">
        <v>0</v>
      </c>
      <c r="I417" s="1">
        <v>98.468078539999993</v>
      </c>
      <c r="J417" s="1">
        <v>1.103159706</v>
      </c>
      <c r="K417" s="1">
        <v>0.42876175509999997</v>
      </c>
      <c r="L417" s="1">
        <v>0</v>
      </c>
      <c r="M417" s="1">
        <v>99.606658190000005</v>
      </c>
      <c r="N417" s="1">
        <v>0.143540536</v>
      </c>
      <c r="O417" s="1">
        <v>0.2498012758</v>
      </c>
      <c r="P417" s="1">
        <v>0</v>
      </c>
      <c r="Q417" s="2" t="str">
        <f t="shared" si="11"/>
        <v/>
      </c>
      <c r="R417" s="1" t="str">
        <f t="shared" si="12"/>
        <v/>
      </c>
      <c r="S417" s="1" t="str">
        <f t="shared" si="13"/>
        <v/>
      </c>
      <c r="T417" s="1" t="str">
        <f t="shared" si="14"/>
        <v/>
      </c>
      <c r="U417" s="1">
        <f t="shared" si="15"/>
        <v>99</v>
      </c>
      <c r="V417" s="3">
        <f t="shared" si="16"/>
        <v>98</v>
      </c>
      <c r="W417" s="3">
        <f t="shared" si="17"/>
        <v>100</v>
      </c>
      <c r="X417" s="3" t="str">
        <f t="shared" si="18"/>
        <v/>
      </c>
      <c r="Y417" s="3" t="str">
        <f t="shared" si="19"/>
        <v/>
      </c>
      <c r="Z417" s="1" t="str">
        <f t="shared" si="20"/>
        <v/>
      </c>
      <c r="AA417" s="3" t="str">
        <f t="shared" si="21"/>
        <v/>
      </c>
      <c r="AB417" s="3" t="str">
        <f>LOOKUP($A417,Sheet2!$A$1:$B$233)</f>
        <v>East Asia &amp; Pacific</v>
      </c>
    </row>
    <row r="418" spans="1:28">
      <c r="A418" s="1" t="s">
        <v>248</v>
      </c>
      <c r="B418" s="1">
        <v>2015</v>
      </c>
      <c r="C418" s="1">
        <v>1370.3320309999999</v>
      </c>
      <c r="D418" s="1">
        <v>53.319000240000001</v>
      </c>
      <c r="E418" s="1">
        <v>98.136177649999993</v>
      </c>
      <c r="F418" s="1">
        <v>1.1164222559999999</v>
      </c>
      <c r="G418" s="1">
        <v>0.56928192339999995</v>
      </c>
      <c r="H418" s="1">
        <v>0.17811817260000001</v>
      </c>
      <c r="I418" s="1" t="s">
        <v>272</v>
      </c>
      <c r="J418" s="1" t="s">
        <v>272</v>
      </c>
      <c r="K418" s="1" t="s">
        <v>272</v>
      </c>
      <c r="L418" s="1" t="s">
        <v>272</v>
      </c>
      <c r="M418" s="1" t="s">
        <v>272</v>
      </c>
      <c r="N418" s="1" t="s">
        <v>272</v>
      </c>
      <c r="O418" s="1" t="s">
        <v>272</v>
      </c>
      <c r="P418" s="1" t="s">
        <v>272</v>
      </c>
      <c r="Q418" s="2">
        <f t="shared" si="11"/>
        <v>5</v>
      </c>
      <c r="R418" s="1">
        <f t="shared" si="12"/>
        <v>0.14779862400000071</v>
      </c>
      <c r="S418" s="1" t="str">
        <f t="shared" si="13"/>
        <v>null</v>
      </c>
      <c r="T418" s="1" t="str">
        <f t="shared" si="14"/>
        <v>null</v>
      </c>
      <c r="U418" s="1">
        <f t="shared" si="15"/>
        <v>98</v>
      </c>
      <c r="V418" s="3" t="str">
        <f t="shared" si="16"/>
        <v>null</v>
      </c>
      <c r="W418" s="3" t="str">
        <f t="shared" si="17"/>
        <v>null</v>
      </c>
      <c r="X418" s="3" t="str">
        <f t="shared" si="18"/>
        <v/>
      </c>
      <c r="Y418" s="3" t="str">
        <f t="shared" si="19"/>
        <v/>
      </c>
      <c r="Z418" s="1" t="str">
        <f t="shared" si="20"/>
        <v/>
      </c>
      <c r="AA418" s="3" t="str">
        <f t="shared" si="21"/>
        <v>null</v>
      </c>
      <c r="AB418" s="3" t="str">
        <f>LOOKUP($A418,Sheet2!$A$1:$B$233)</f>
        <v>Latin America &amp; Caribbean</v>
      </c>
    </row>
    <row r="419" spans="1:28">
      <c r="A419" s="1" t="s">
        <v>248</v>
      </c>
      <c r="B419" s="1">
        <v>2020</v>
      </c>
      <c r="C419" s="1">
        <v>1399.490967</v>
      </c>
      <c r="D419" s="1">
        <v>53.2140007</v>
      </c>
      <c r="E419" s="1">
        <v>98.875170769999997</v>
      </c>
      <c r="F419" s="1">
        <v>1.1248292310000001</v>
      </c>
      <c r="G419" s="1">
        <v>0</v>
      </c>
      <c r="H419" s="1">
        <v>0</v>
      </c>
      <c r="I419" s="1" t="s">
        <v>272</v>
      </c>
      <c r="J419" s="1" t="s">
        <v>272</v>
      </c>
      <c r="K419" s="1" t="s">
        <v>272</v>
      </c>
      <c r="L419" s="1" t="s">
        <v>272</v>
      </c>
      <c r="M419" s="1" t="s">
        <v>272</v>
      </c>
      <c r="N419" s="1" t="s">
        <v>272</v>
      </c>
      <c r="O419" s="1" t="s">
        <v>272</v>
      </c>
      <c r="P419" s="1" t="s">
        <v>272</v>
      </c>
      <c r="Q419" s="2" t="str">
        <f t="shared" si="11"/>
        <v/>
      </c>
      <c r="R419" s="1" t="str">
        <f t="shared" si="12"/>
        <v/>
      </c>
      <c r="S419" s="1" t="str">
        <f t="shared" si="13"/>
        <v/>
      </c>
      <c r="T419" s="1" t="str">
        <f t="shared" si="14"/>
        <v/>
      </c>
      <c r="U419" s="1">
        <f t="shared" si="15"/>
        <v>99</v>
      </c>
      <c r="V419" s="3" t="str">
        <f t="shared" si="16"/>
        <v>null</v>
      </c>
      <c r="W419" s="3" t="str">
        <f t="shared" si="17"/>
        <v>null</v>
      </c>
      <c r="X419" s="3" t="str">
        <f t="shared" si="18"/>
        <v/>
      </c>
      <c r="Y419" s="3" t="str">
        <f t="shared" si="19"/>
        <v/>
      </c>
      <c r="Z419" s="1" t="str">
        <f t="shared" si="20"/>
        <v/>
      </c>
      <c r="AA419" s="3" t="str">
        <f t="shared" si="21"/>
        <v/>
      </c>
      <c r="AB419" s="3" t="str">
        <f>LOOKUP($A419,Sheet2!$A$1:$B$233)</f>
        <v>Latin America &amp; Caribbean</v>
      </c>
    </row>
    <row r="420" spans="1:28">
      <c r="A420" s="1" t="s">
        <v>249</v>
      </c>
      <c r="B420" s="1">
        <v>2015</v>
      </c>
      <c r="C420" s="1">
        <v>11179.95117</v>
      </c>
      <c r="D420" s="1">
        <v>68.055999760000006</v>
      </c>
      <c r="E420" s="1">
        <v>94.845455099999995</v>
      </c>
      <c r="F420" s="1">
        <v>2.9001003930000002</v>
      </c>
      <c r="G420" s="1">
        <v>2.1791030770000002</v>
      </c>
      <c r="H420" s="1">
        <v>7.5341425109999999E-2</v>
      </c>
      <c r="I420" s="1">
        <v>85.59067297</v>
      </c>
      <c r="J420" s="1">
        <v>7.6364837000000003</v>
      </c>
      <c r="K420" s="1">
        <v>6.5369886399999997</v>
      </c>
      <c r="L420" s="1">
        <v>0.23585469070000001</v>
      </c>
      <c r="M420" s="1">
        <v>99.189447939999994</v>
      </c>
      <c r="N420" s="1">
        <v>0.67694539840000001</v>
      </c>
      <c r="O420" s="1">
        <v>0.13360666639999999</v>
      </c>
      <c r="P420" s="1">
        <v>0</v>
      </c>
      <c r="Q420" s="2">
        <f t="shared" si="11"/>
        <v>5</v>
      </c>
      <c r="R420" s="1">
        <f t="shared" si="12"/>
        <v>0.53957077800000097</v>
      </c>
      <c r="S420" s="1">
        <f t="shared" si="13"/>
        <v>1.6691117920000011</v>
      </c>
      <c r="T420" s="1">
        <f t="shared" si="14"/>
        <v>-1.3650061999999252E-2</v>
      </c>
      <c r="U420" s="1">
        <f t="shared" si="15"/>
        <v>95</v>
      </c>
      <c r="V420" s="3">
        <f t="shared" si="16"/>
        <v>86</v>
      </c>
      <c r="W420" s="3">
        <f t="shared" si="17"/>
        <v>99</v>
      </c>
      <c r="X420" s="3" t="str">
        <f t="shared" si="18"/>
        <v/>
      </c>
      <c r="Y420" s="3" t="str">
        <f t="shared" si="19"/>
        <v/>
      </c>
      <c r="Z420" s="1" t="str">
        <f t="shared" si="20"/>
        <v/>
      </c>
      <c r="AA420" s="3">
        <f t="shared" si="21"/>
        <v>1.6827618540000004</v>
      </c>
      <c r="AB420" s="3" t="str">
        <f>LOOKUP($A420,Sheet2!$A$1:$B$233)</f>
        <v>Sub-Saharan Africa</v>
      </c>
    </row>
    <row r="421" spans="1:28">
      <c r="A421" s="1" t="s">
        <v>249</v>
      </c>
      <c r="B421" s="1">
        <v>2020</v>
      </c>
      <c r="C421" s="1">
        <v>11818.61816</v>
      </c>
      <c r="D421" s="1">
        <v>69.568000789999999</v>
      </c>
      <c r="E421" s="1">
        <v>97.54330899</v>
      </c>
      <c r="F421" s="1">
        <v>1.63135067</v>
      </c>
      <c r="G421" s="1">
        <v>0.82534033780000005</v>
      </c>
      <c r="H421" s="1">
        <v>0</v>
      </c>
      <c r="I421" s="1">
        <v>93.936231930000005</v>
      </c>
      <c r="J421" s="1">
        <v>3.3516873569999999</v>
      </c>
      <c r="K421" s="1">
        <v>2.71208071</v>
      </c>
      <c r="L421" s="1">
        <v>0</v>
      </c>
      <c r="M421" s="1">
        <v>99.121197629999998</v>
      </c>
      <c r="N421" s="1">
        <v>0.87880236840000003</v>
      </c>
      <c r="O421" s="1">
        <v>0</v>
      </c>
      <c r="P421" s="1">
        <v>0</v>
      </c>
      <c r="Q421" s="2" t="str">
        <f t="shared" si="11"/>
        <v/>
      </c>
      <c r="R421" s="1" t="str">
        <f t="shared" si="12"/>
        <v/>
      </c>
      <c r="S421" s="1" t="str">
        <f t="shared" si="13"/>
        <v/>
      </c>
      <c r="T421" s="1" t="str">
        <f t="shared" si="14"/>
        <v/>
      </c>
      <c r="U421" s="1">
        <f t="shared" si="15"/>
        <v>98</v>
      </c>
      <c r="V421" s="3">
        <f t="shared" si="16"/>
        <v>94</v>
      </c>
      <c r="W421" s="3">
        <f t="shared" si="17"/>
        <v>99</v>
      </c>
      <c r="X421" s="3" t="str">
        <f t="shared" si="18"/>
        <v/>
      </c>
      <c r="Y421" s="3" t="str">
        <f t="shared" si="19"/>
        <v/>
      </c>
      <c r="Z421" s="1" t="str">
        <f t="shared" si="20"/>
        <v/>
      </c>
      <c r="AA421" s="3" t="str">
        <f t="shared" si="21"/>
        <v/>
      </c>
      <c r="AB421" s="3" t="str">
        <f>LOOKUP($A421,Sheet2!$A$1:$B$233)</f>
        <v>Sub-Saharan Africa</v>
      </c>
    </row>
    <row r="422" spans="1:28">
      <c r="A422" s="1" t="s">
        <v>250</v>
      </c>
      <c r="B422" s="1">
        <v>2015</v>
      </c>
      <c r="C422" s="1">
        <v>78529.414059999996</v>
      </c>
      <c r="D422" s="1">
        <v>73.611000059999995</v>
      </c>
      <c r="E422" s="1">
        <v>96.256159120000007</v>
      </c>
      <c r="F422" s="1">
        <v>2.0267476019999999</v>
      </c>
      <c r="G422" s="1">
        <v>1.5188707130000001</v>
      </c>
      <c r="H422" s="1">
        <v>0.1982225671</v>
      </c>
      <c r="I422" s="1">
        <v>94.203882989999997</v>
      </c>
      <c r="J422" s="1">
        <v>2.6336569440000002</v>
      </c>
      <c r="K422" s="1">
        <v>2.7404600640000001</v>
      </c>
      <c r="L422" s="1">
        <v>0.42199999999999999</v>
      </c>
      <c r="M422" s="1">
        <v>96.99188504</v>
      </c>
      <c r="N422" s="1">
        <v>1.8091750579999999</v>
      </c>
      <c r="O422" s="1">
        <v>1.080939898</v>
      </c>
      <c r="P422" s="1">
        <v>0.11799999999999999</v>
      </c>
      <c r="Q422" s="2">
        <f t="shared" si="11"/>
        <v>5</v>
      </c>
      <c r="R422" s="1">
        <f t="shared" si="12"/>
        <v>0.15162200799999823</v>
      </c>
      <c r="S422" s="1">
        <f t="shared" si="13"/>
        <v>0.36425735600000164</v>
      </c>
      <c r="T422" s="1">
        <f t="shared" si="14"/>
        <v>6.6586558000000198E-2</v>
      </c>
      <c r="U422" s="1">
        <f t="shared" si="15"/>
        <v>96</v>
      </c>
      <c r="V422" s="3">
        <f t="shared" si="16"/>
        <v>94</v>
      </c>
      <c r="W422" s="3">
        <f t="shared" si="17"/>
        <v>97</v>
      </c>
      <c r="X422" s="3" t="str">
        <f t="shared" si="18"/>
        <v/>
      </c>
      <c r="Y422" s="3" t="str">
        <f t="shared" si="19"/>
        <v/>
      </c>
      <c r="Z422" s="1" t="str">
        <f t="shared" si="20"/>
        <v/>
      </c>
      <c r="AA422" s="3">
        <f t="shared" si="21"/>
        <v>0.29767079800000146</v>
      </c>
      <c r="AB422" s="3" t="str">
        <f>LOOKUP($A422,Sheet2!$A$1:$B$233)</f>
        <v>Europe &amp; Central Asia</v>
      </c>
    </row>
    <row r="423" spans="1:28">
      <c r="A423" s="1" t="s">
        <v>250</v>
      </c>
      <c r="B423" s="1">
        <v>2020</v>
      </c>
      <c r="C423" s="1">
        <v>84339.070309999996</v>
      </c>
      <c r="D423" s="1">
        <v>76.105003359999998</v>
      </c>
      <c r="E423" s="1">
        <v>97.014269159999998</v>
      </c>
      <c r="F423" s="1">
        <v>2.0230780749999999</v>
      </c>
      <c r="G423" s="1">
        <v>0.73767495449999998</v>
      </c>
      <c r="H423" s="1">
        <v>0.2249778093</v>
      </c>
      <c r="I423" s="1">
        <v>96.025169770000005</v>
      </c>
      <c r="J423" s="1">
        <v>2.684574639</v>
      </c>
      <c r="K423" s="1">
        <v>0.78825559109999999</v>
      </c>
      <c r="L423" s="1">
        <v>0.502</v>
      </c>
      <c r="M423" s="1">
        <v>97.324817830000001</v>
      </c>
      <c r="N423" s="1">
        <v>1.8153852029999999</v>
      </c>
      <c r="O423" s="1">
        <v>0.72179696339999999</v>
      </c>
      <c r="P423" s="1">
        <v>0.13800000000000001</v>
      </c>
      <c r="Q423" s="2" t="str">
        <f t="shared" si="11"/>
        <v/>
      </c>
      <c r="R423" s="1" t="str">
        <f t="shared" si="12"/>
        <v/>
      </c>
      <c r="S423" s="1" t="str">
        <f t="shared" si="13"/>
        <v/>
      </c>
      <c r="T423" s="1" t="str">
        <f t="shared" si="14"/>
        <v/>
      </c>
      <c r="U423" s="1">
        <f t="shared" si="15"/>
        <v>97</v>
      </c>
      <c r="V423" s="3">
        <f t="shared" si="16"/>
        <v>96</v>
      </c>
      <c r="W423" s="3">
        <f t="shared" si="17"/>
        <v>97</v>
      </c>
      <c r="X423" s="3" t="str">
        <f t="shared" si="18"/>
        <v/>
      </c>
      <c r="Y423" s="3" t="str">
        <f t="shared" si="19"/>
        <v/>
      </c>
      <c r="Z423" s="1" t="str">
        <f t="shared" si="20"/>
        <v/>
      </c>
      <c r="AA423" s="3" t="str">
        <f t="shared" si="21"/>
        <v/>
      </c>
      <c r="AB423" s="3" t="str">
        <f>LOOKUP($A423,Sheet2!$A$1:$B$233)</f>
        <v>Europe &amp; Central Asia</v>
      </c>
    </row>
    <row r="424" spans="1:28">
      <c r="A424" s="1" t="s">
        <v>251</v>
      </c>
      <c r="B424" s="1">
        <v>2015</v>
      </c>
      <c r="C424" s="1">
        <v>5565.283203</v>
      </c>
      <c r="D424" s="1">
        <v>50.317001339999997</v>
      </c>
      <c r="E424" s="1">
        <v>97.658944309999995</v>
      </c>
      <c r="F424" s="1">
        <v>0.94791505470000004</v>
      </c>
      <c r="G424" s="1">
        <v>0.24775003200000001</v>
      </c>
      <c r="H424" s="1">
        <v>1.1453906060000001</v>
      </c>
      <c r="I424" s="1">
        <v>96.219783160000006</v>
      </c>
      <c r="J424" s="1">
        <v>1.0009544290000001</v>
      </c>
      <c r="K424" s="1">
        <v>0.47386486500000002</v>
      </c>
      <c r="L424" s="1">
        <v>2.305397551</v>
      </c>
      <c r="M424" s="1">
        <v>99.079971720000003</v>
      </c>
      <c r="N424" s="1">
        <v>0.89554398800000001</v>
      </c>
      <c r="O424" s="1">
        <v>2.4484294899999998E-2</v>
      </c>
      <c r="P424" s="1">
        <v>0</v>
      </c>
      <c r="Q424" s="2">
        <f t="shared" si="11"/>
        <v>5</v>
      </c>
      <c r="R424" s="1">
        <f t="shared" si="12"/>
        <v>0.46821113800000091</v>
      </c>
      <c r="S424" s="1">
        <f t="shared" si="13"/>
        <v>0.75604336799999883</v>
      </c>
      <c r="T424" s="1">
        <f t="shared" si="14"/>
        <v>0.18400565599999935</v>
      </c>
      <c r="U424" s="1">
        <f t="shared" si="15"/>
        <v>98</v>
      </c>
      <c r="V424" s="3">
        <f t="shared" si="16"/>
        <v>96</v>
      </c>
      <c r="W424" s="3">
        <f t="shared" si="17"/>
        <v>99</v>
      </c>
      <c r="X424" s="3" t="str">
        <f t="shared" si="18"/>
        <v/>
      </c>
      <c r="Y424" s="3" t="str">
        <f t="shared" si="19"/>
        <v/>
      </c>
      <c r="Z424" s="1" t="str">
        <f t="shared" si="20"/>
        <v/>
      </c>
      <c r="AA424" s="3">
        <f t="shared" si="21"/>
        <v>0.57203771199999953</v>
      </c>
      <c r="AB424" s="3" t="str">
        <f>LOOKUP($A424,Sheet2!$A$1:$B$233)</f>
        <v>Europe &amp; Central Asia</v>
      </c>
    </row>
    <row r="425" spans="1:28">
      <c r="A425" s="1" t="s">
        <v>251</v>
      </c>
      <c r="B425" s="1">
        <v>2020</v>
      </c>
      <c r="C425" s="1">
        <v>6031.1870120000003</v>
      </c>
      <c r="D425" s="1">
        <v>52.516002659999998</v>
      </c>
      <c r="E425" s="1">
        <v>100</v>
      </c>
      <c r="F425" s="1">
        <v>0</v>
      </c>
      <c r="G425" s="1">
        <v>0</v>
      </c>
      <c r="H425" s="1">
        <v>0</v>
      </c>
      <c r="I425" s="1">
        <v>100</v>
      </c>
      <c r="J425" s="1">
        <v>0</v>
      </c>
      <c r="K425" s="1">
        <v>0</v>
      </c>
      <c r="L425" s="1">
        <v>0</v>
      </c>
      <c r="M425" s="1">
        <v>100</v>
      </c>
      <c r="N425" s="1">
        <v>0</v>
      </c>
      <c r="O425" s="1">
        <v>0</v>
      </c>
      <c r="P425" s="1">
        <v>0</v>
      </c>
      <c r="Q425" s="2" t="str">
        <f t="shared" si="11"/>
        <v/>
      </c>
      <c r="R425" s="1" t="str">
        <f t="shared" si="12"/>
        <v/>
      </c>
      <c r="S425" s="1" t="str">
        <f t="shared" si="13"/>
        <v/>
      </c>
      <c r="T425" s="1" t="str">
        <f t="shared" si="14"/>
        <v/>
      </c>
      <c r="U425" s="1">
        <f t="shared" si="15"/>
        <v>100</v>
      </c>
      <c r="V425" s="3">
        <f t="shared" si="16"/>
        <v>100</v>
      </c>
      <c r="W425" s="3">
        <f t="shared" si="17"/>
        <v>100</v>
      </c>
      <c r="X425" s="3" t="str">
        <f t="shared" si="18"/>
        <v/>
      </c>
      <c r="Y425" s="3" t="str">
        <f t="shared" si="19"/>
        <v/>
      </c>
      <c r="Z425" s="1" t="str">
        <f t="shared" si="20"/>
        <v/>
      </c>
      <c r="AA425" s="3" t="str">
        <f t="shared" si="21"/>
        <v/>
      </c>
      <c r="AB425" s="3" t="str">
        <f>LOOKUP($A425,Sheet2!$A$1:$B$233)</f>
        <v>Europe &amp; Central Asia</v>
      </c>
    </row>
    <row r="426" spans="1:28">
      <c r="A426" s="1" t="s">
        <v>252</v>
      </c>
      <c r="B426" s="1">
        <v>2015</v>
      </c>
      <c r="C426" s="1">
        <v>35.97900009</v>
      </c>
      <c r="D426" s="1">
        <v>92.194992069999998</v>
      </c>
      <c r="E426" s="1">
        <v>94.318181820000007</v>
      </c>
      <c r="F426" s="1">
        <v>0</v>
      </c>
      <c r="G426" s="1">
        <v>5.6818181819999998</v>
      </c>
      <c r="H426" s="1">
        <v>0</v>
      </c>
      <c r="I426" s="1" t="s">
        <v>272</v>
      </c>
      <c r="J426" s="1" t="s">
        <v>272</v>
      </c>
      <c r="K426" s="1" t="s">
        <v>272</v>
      </c>
      <c r="L426" s="1" t="s">
        <v>272</v>
      </c>
      <c r="M426" s="1" t="s">
        <v>272</v>
      </c>
      <c r="N426" s="1" t="s">
        <v>272</v>
      </c>
      <c r="O426" s="1" t="s">
        <v>272</v>
      </c>
      <c r="P426" s="1" t="s">
        <v>272</v>
      </c>
      <c r="Q426" s="2">
        <f t="shared" si="11"/>
        <v>3</v>
      </c>
      <c r="R426" s="1">
        <f t="shared" si="12"/>
        <v>0</v>
      </c>
      <c r="S426" s="1" t="str">
        <f t="shared" si="13"/>
        <v>null</v>
      </c>
      <c r="T426" s="1" t="str">
        <f t="shared" si="14"/>
        <v>null</v>
      </c>
      <c r="U426" s="1">
        <f t="shared" si="15"/>
        <v>94</v>
      </c>
      <c r="V426" s="3" t="str">
        <f t="shared" si="16"/>
        <v>null</v>
      </c>
      <c r="W426" s="3" t="str">
        <f t="shared" si="17"/>
        <v>null</v>
      </c>
      <c r="X426" s="3" t="str">
        <f t="shared" si="18"/>
        <v/>
      </c>
      <c r="Y426" s="3" t="str">
        <f t="shared" si="19"/>
        <v/>
      </c>
      <c r="Z426" s="1" t="str">
        <f t="shared" si="20"/>
        <v/>
      </c>
      <c r="AA426" s="3" t="str">
        <f t="shared" si="21"/>
        <v>null</v>
      </c>
      <c r="AB426" s="3" t="str">
        <f>LOOKUP($A426,Sheet2!$A$1:$B$233)</f>
        <v>Latin America &amp; Caribbean</v>
      </c>
    </row>
    <row r="427" spans="1:28">
      <c r="A427" s="1" t="s">
        <v>252</v>
      </c>
      <c r="B427" s="1">
        <v>2018</v>
      </c>
      <c r="C427" s="1">
        <v>37.666999820000001</v>
      </c>
      <c r="D427" s="1">
        <v>93.097999569999999</v>
      </c>
      <c r="E427" s="1">
        <v>94.318181820000007</v>
      </c>
      <c r="F427" s="1">
        <v>0</v>
      </c>
      <c r="G427" s="1">
        <v>5.6818181819999998</v>
      </c>
      <c r="H427" s="1">
        <v>0</v>
      </c>
      <c r="I427" s="1" t="s">
        <v>272</v>
      </c>
      <c r="J427" s="1" t="s">
        <v>272</v>
      </c>
      <c r="K427" s="1" t="s">
        <v>272</v>
      </c>
      <c r="L427" s="1" t="s">
        <v>272</v>
      </c>
      <c r="M427" s="1" t="s">
        <v>272</v>
      </c>
      <c r="N427" s="1" t="s">
        <v>272</v>
      </c>
      <c r="O427" s="1" t="s">
        <v>272</v>
      </c>
      <c r="P427" s="1" t="s">
        <v>272</v>
      </c>
      <c r="Q427" s="2" t="str">
        <f t="shared" si="11"/>
        <v/>
      </c>
      <c r="R427" s="1" t="str">
        <f t="shared" si="12"/>
        <v/>
      </c>
      <c r="S427" s="1" t="str">
        <f t="shared" si="13"/>
        <v/>
      </c>
      <c r="T427" s="1" t="str">
        <f t="shared" si="14"/>
        <v/>
      </c>
      <c r="U427" s="1">
        <f t="shared" si="15"/>
        <v>94</v>
      </c>
      <c r="V427" s="3" t="str">
        <f t="shared" si="16"/>
        <v>null</v>
      </c>
      <c r="W427" s="3" t="str">
        <f t="shared" si="17"/>
        <v>null</v>
      </c>
      <c r="X427" s="3" t="str">
        <f t="shared" si="18"/>
        <v/>
      </c>
      <c r="Y427" s="3" t="str">
        <f t="shared" si="19"/>
        <v/>
      </c>
      <c r="Z427" s="1" t="str">
        <f t="shared" si="20"/>
        <v/>
      </c>
      <c r="AA427" s="3" t="str">
        <f t="shared" si="21"/>
        <v/>
      </c>
      <c r="AB427" s="3" t="str">
        <f>LOOKUP($A427,Sheet2!$A$1:$B$233)</f>
        <v>Latin America &amp; Caribbean</v>
      </c>
    </row>
    <row r="428" spans="1:28">
      <c r="A428" s="1" t="s">
        <v>253</v>
      </c>
      <c r="B428" s="1">
        <v>2015</v>
      </c>
      <c r="C428" s="1">
        <v>11.09899998</v>
      </c>
      <c r="D428" s="1">
        <v>59.729999540000001</v>
      </c>
      <c r="E428" s="1">
        <v>100</v>
      </c>
      <c r="F428" s="1">
        <v>0</v>
      </c>
      <c r="G428" s="1">
        <v>0</v>
      </c>
      <c r="H428" s="1">
        <v>0</v>
      </c>
      <c r="I428" s="1">
        <v>100</v>
      </c>
      <c r="J428" s="1">
        <v>0</v>
      </c>
      <c r="K428" s="1">
        <v>0</v>
      </c>
      <c r="L428" s="1">
        <v>0</v>
      </c>
      <c r="M428" s="1">
        <v>100</v>
      </c>
      <c r="N428" s="1">
        <v>0</v>
      </c>
      <c r="O428" s="1">
        <v>0</v>
      </c>
      <c r="P428" s="1">
        <v>0</v>
      </c>
      <c r="Q428" s="2">
        <f t="shared" si="11"/>
        <v>5</v>
      </c>
      <c r="R428" s="1">
        <f t="shared" si="12"/>
        <v>0</v>
      </c>
      <c r="S428" s="1">
        <f t="shared" si="13"/>
        <v>0</v>
      </c>
      <c r="T428" s="1">
        <f t="shared" si="14"/>
        <v>0</v>
      </c>
      <c r="U428" s="1">
        <f t="shared" si="15"/>
        <v>100</v>
      </c>
      <c r="V428" s="3">
        <f t="shared" si="16"/>
        <v>100</v>
      </c>
      <c r="W428" s="3">
        <f t="shared" si="17"/>
        <v>100</v>
      </c>
      <c r="X428" s="3" t="str">
        <f t="shared" si="18"/>
        <v>fullaccesss</v>
      </c>
      <c r="Y428" s="3" t="str">
        <f t="shared" si="19"/>
        <v>fullaccesss</v>
      </c>
      <c r="Z428" s="1" t="str">
        <f t="shared" si="20"/>
        <v>fullaccesss</v>
      </c>
      <c r="AA428" s="3">
        <f t="shared" si="21"/>
        <v>0</v>
      </c>
      <c r="AB428" s="3" t="str">
        <f>LOOKUP($A428,Sheet2!$A$1:$B$233)</f>
        <v>East Asia &amp; Pacific</v>
      </c>
    </row>
    <row r="429" spans="1:28">
      <c r="A429" s="1" t="s">
        <v>253</v>
      </c>
      <c r="B429" s="1">
        <v>2020</v>
      </c>
      <c r="C429" s="1">
        <v>11.791999819999999</v>
      </c>
      <c r="D429" s="1">
        <v>64.013999940000005</v>
      </c>
      <c r="E429" s="1">
        <v>100</v>
      </c>
      <c r="F429" s="1">
        <v>0</v>
      </c>
      <c r="G429" s="1">
        <v>0</v>
      </c>
      <c r="H429" s="1">
        <v>0</v>
      </c>
      <c r="I429" s="1">
        <v>100</v>
      </c>
      <c r="J429" s="1">
        <v>0</v>
      </c>
      <c r="K429" s="1">
        <v>0</v>
      </c>
      <c r="L429" s="1">
        <v>0</v>
      </c>
      <c r="M429" s="1">
        <v>100</v>
      </c>
      <c r="N429" s="1">
        <v>0</v>
      </c>
      <c r="O429" s="1">
        <v>0</v>
      </c>
      <c r="P429" s="1">
        <v>0</v>
      </c>
      <c r="Q429" s="2" t="str">
        <f t="shared" si="11"/>
        <v/>
      </c>
      <c r="R429" s="1" t="str">
        <f t="shared" si="12"/>
        <v/>
      </c>
      <c r="S429" s="1" t="str">
        <f t="shared" si="13"/>
        <v/>
      </c>
      <c r="T429" s="1" t="str">
        <f t="shared" si="14"/>
        <v/>
      </c>
      <c r="U429" s="1">
        <f t="shared" si="15"/>
        <v>100</v>
      </c>
      <c r="V429" s="3">
        <f t="shared" si="16"/>
        <v>100</v>
      </c>
      <c r="W429" s="3">
        <f t="shared" si="17"/>
        <v>100</v>
      </c>
      <c r="X429" s="3" t="str">
        <f t="shared" si="18"/>
        <v/>
      </c>
      <c r="Y429" s="3" t="str">
        <f t="shared" si="19"/>
        <v/>
      </c>
      <c r="Z429" s="1" t="str">
        <f t="shared" si="20"/>
        <v/>
      </c>
      <c r="AA429" s="3" t="str">
        <f t="shared" si="21"/>
        <v/>
      </c>
      <c r="AB429" s="3" t="str">
        <f>LOOKUP($A429,Sheet2!$A$1:$B$233)</f>
        <v>East Asia &amp; Pacific</v>
      </c>
    </row>
    <row r="430" spans="1:28">
      <c r="A430" s="1" t="s">
        <v>254</v>
      </c>
      <c r="B430" s="1">
        <v>2015</v>
      </c>
      <c r="C430" s="1">
        <v>38225.445310000003</v>
      </c>
      <c r="D430" s="1">
        <v>22.059999470000001</v>
      </c>
      <c r="E430" s="1">
        <v>47.841558360000001</v>
      </c>
      <c r="F430" s="1">
        <v>30.095403770000001</v>
      </c>
      <c r="G430" s="1">
        <v>15.106768450000001</v>
      </c>
      <c r="H430" s="1">
        <v>6.9562694199999999</v>
      </c>
      <c r="I430" s="1">
        <v>39.717003130000002</v>
      </c>
      <c r="J430" s="1">
        <v>34.176563299999998</v>
      </c>
      <c r="K430" s="1">
        <v>17.519117219999998</v>
      </c>
      <c r="L430" s="1">
        <v>8.5873163479999999</v>
      </c>
      <c r="M430" s="1">
        <v>76.546356090000003</v>
      </c>
      <c r="N430" s="1">
        <v>15.67629339</v>
      </c>
      <c r="O430" s="1">
        <v>6.5837192800000004</v>
      </c>
      <c r="P430" s="1">
        <v>1.1936312419999999</v>
      </c>
      <c r="Q430" s="2">
        <f t="shared" si="11"/>
        <v>5</v>
      </c>
      <c r="R430" s="1">
        <f t="shared" si="12"/>
        <v>1.6026981699999994</v>
      </c>
      <c r="S430" s="1">
        <f t="shared" si="13"/>
        <v>1.7028372899999993</v>
      </c>
      <c r="T430" s="1">
        <f t="shared" si="14"/>
        <v>0.44729914199999998</v>
      </c>
      <c r="U430" s="1">
        <f t="shared" si="15"/>
        <v>48</v>
      </c>
      <c r="V430" s="3">
        <f t="shared" si="16"/>
        <v>40</v>
      </c>
      <c r="W430" s="3">
        <f t="shared" si="17"/>
        <v>77</v>
      </c>
      <c r="X430" s="3" t="str">
        <f t="shared" si="18"/>
        <v/>
      </c>
      <c r="Y430" s="3" t="str">
        <f t="shared" si="19"/>
        <v/>
      </c>
      <c r="Z430" s="1" t="str">
        <f t="shared" si="20"/>
        <v/>
      </c>
      <c r="AA430" s="3">
        <f t="shared" si="21"/>
        <v>1.2555381479999994</v>
      </c>
      <c r="AB430" s="3" t="str">
        <f>LOOKUP($A430,Sheet2!$A$1:$B$233)</f>
        <v>Sub-Saharan Africa</v>
      </c>
    </row>
    <row r="431" spans="1:28">
      <c r="A431" s="1" t="s">
        <v>254</v>
      </c>
      <c r="B431" s="1">
        <v>2020</v>
      </c>
      <c r="C431" s="1">
        <v>45741</v>
      </c>
      <c r="D431" s="1">
        <v>24.95400047</v>
      </c>
      <c r="E431" s="1">
        <v>55.855049209999997</v>
      </c>
      <c r="F431" s="1">
        <v>27.282859999999999</v>
      </c>
      <c r="G431" s="1">
        <v>12.16590654</v>
      </c>
      <c r="H431" s="1">
        <v>4.6961842520000001</v>
      </c>
      <c r="I431" s="1">
        <v>48.231189579999999</v>
      </c>
      <c r="J431" s="1">
        <v>31.784694259999998</v>
      </c>
      <c r="K431" s="1">
        <v>14.076160610000001</v>
      </c>
      <c r="L431" s="1">
        <v>5.9079555460000002</v>
      </c>
      <c r="M431" s="1">
        <v>78.782851800000003</v>
      </c>
      <c r="N431" s="1">
        <v>13.74416783</v>
      </c>
      <c r="O431" s="1">
        <v>6.4210441329999997</v>
      </c>
      <c r="P431" s="1">
        <v>1.0519362379999999</v>
      </c>
      <c r="Q431" s="2" t="str">
        <f t="shared" si="11"/>
        <v/>
      </c>
      <c r="R431" s="1" t="str">
        <f t="shared" si="12"/>
        <v/>
      </c>
      <c r="S431" s="1" t="str">
        <f t="shared" si="13"/>
        <v/>
      </c>
      <c r="T431" s="1" t="str">
        <f t="shared" si="14"/>
        <v/>
      </c>
      <c r="U431" s="1">
        <f t="shared" si="15"/>
        <v>56</v>
      </c>
      <c r="V431" s="3">
        <f t="shared" si="16"/>
        <v>48</v>
      </c>
      <c r="W431" s="3">
        <f t="shared" si="17"/>
        <v>79</v>
      </c>
      <c r="X431" s="3" t="str">
        <f t="shared" si="18"/>
        <v/>
      </c>
      <c r="Y431" s="3" t="str">
        <f t="shared" si="19"/>
        <v/>
      </c>
      <c r="Z431" s="1" t="str">
        <f t="shared" si="20"/>
        <v/>
      </c>
      <c r="AA431" s="3" t="str">
        <f t="shared" si="21"/>
        <v/>
      </c>
      <c r="AB431" s="3" t="str">
        <f>LOOKUP($A431,Sheet2!$A$1:$B$233)</f>
        <v>Sub-Saharan Africa</v>
      </c>
    </row>
    <row r="432" spans="1:28">
      <c r="A432" s="1" t="s">
        <v>255</v>
      </c>
      <c r="B432" s="1">
        <v>2015</v>
      </c>
      <c r="C432" s="1">
        <v>44921.636720000002</v>
      </c>
      <c r="D432" s="1">
        <v>69.061004639999993</v>
      </c>
      <c r="E432" s="1">
        <v>93.65690669</v>
      </c>
      <c r="F432" s="1">
        <v>5.6308737229999997</v>
      </c>
      <c r="G432" s="1">
        <v>0.4364563488</v>
      </c>
      <c r="H432" s="1">
        <v>0.27576323949999998</v>
      </c>
      <c r="I432" s="1">
        <v>98.843111609999994</v>
      </c>
      <c r="J432" s="1">
        <v>0</v>
      </c>
      <c r="K432" s="1">
        <v>0.944405312</v>
      </c>
      <c r="L432" s="1">
        <v>0.21248308169999999</v>
      </c>
      <c r="M432" s="1">
        <v>91.333508530000003</v>
      </c>
      <c r="N432" s="1">
        <v>8.1534782769999996</v>
      </c>
      <c r="O432" s="1">
        <v>0.20890075559999999</v>
      </c>
      <c r="P432" s="1">
        <v>0.30411244139999999</v>
      </c>
      <c r="Q432" s="2">
        <f t="shared" si="11"/>
        <v>5</v>
      </c>
      <c r="R432" s="1">
        <f t="shared" si="12"/>
        <v>5.4275051999999845E-2</v>
      </c>
      <c r="S432" s="1">
        <f t="shared" si="13"/>
        <v>0.2313776780000012</v>
      </c>
      <c r="T432" s="1">
        <f t="shared" si="14"/>
        <v>-1.1247683999999935E-2</v>
      </c>
      <c r="U432" s="1">
        <f t="shared" si="15"/>
        <v>94</v>
      </c>
      <c r="V432" s="3">
        <f t="shared" si="16"/>
        <v>99</v>
      </c>
      <c r="W432" s="3">
        <f t="shared" si="17"/>
        <v>91</v>
      </c>
      <c r="X432" s="3" t="str">
        <f t="shared" si="18"/>
        <v/>
      </c>
      <c r="Y432" s="3" t="str">
        <f t="shared" si="19"/>
        <v/>
      </c>
      <c r="Z432" s="1" t="str">
        <f t="shared" si="20"/>
        <v/>
      </c>
      <c r="AA432" s="3">
        <f t="shared" si="21"/>
        <v>0.24262536200000112</v>
      </c>
      <c r="AB432" s="3" t="str">
        <f>LOOKUP($A432,Sheet2!$A$1:$B$233)</f>
        <v>Europe &amp; Central Asia</v>
      </c>
    </row>
    <row r="433" spans="1:28">
      <c r="A433" s="1" t="s">
        <v>255</v>
      </c>
      <c r="B433" s="1">
        <v>2020</v>
      </c>
      <c r="C433" s="1">
        <v>43733.757810000003</v>
      </c>
      <c r="D433" s="1">
        <v>69.608001709999996</v>
      </c>
      <c r="E433" s="1">
        <v>93.928281949999999</v>
      </c>
      <c r="F433" s="1">
        <v>5.671978717</v>
      </c>
      <c r="G433" s="1">
        <v>7.5904501289999995E-2</v>
      </c>
      <c r="H433" s="1">
        <v>0.32383483600000001</v>
      </c>
      <c r="I433" s="1">
        <v>100</v>
      </c>
      <c r="J433" s="1">
        <v>0</v>
      </c>
      <c r="K433" s="1">
        <v>0</v>
      </c>
      <c r="L433" s="1">
        <v>0</v>
      </c>
      <c r="M433" s="1">
        <v>91.277270110000003</v>
      </c>
      <c r="N433" s="1">
        <v>8.1484577900000001</v>
      </c>
      <c r="O433" s="1">
        <v>0.1090456533</v>
      </c>
      <c r="P433" s="1">
        <v>0.46522644460000001</v>
      </c>
      <c r="Q433" s="2" t="str">
        <f t="shared" si="11"/>
        <v/>
      </c>
      <c r="R433" s="1" t="str">
        <f t="shared" si="12"/>
        <v/>
      </c>
      <c r="S433" s="1" t="str">
        <f t="shared" si="13"/>
        <v/>
      </c>
      <c r="T433" s="1" t="str">
        <f t="shared" si="14"/>
        <v/>
      </c>
      <c r="U433" s="1">
        <f t="shared" si="15"/>
        <v>94</v>
      </c>
      <c r="V433" s="3">
        <f t="shared" si="16"/>
        <v>100</v>
      </c>
      <c r="W433" s="3">
        <f t="shared" si="17"/>
        <v>91</v>
      </c>
      <c r="X433" s="3" t="str">
        <f t="shared" si="18"/>
        <v/>
      </c>
      <c r="Y433" s="3" t="str">
        <f t="shared" si="19"/>
        <v/>
      </c>
      <c r="Z433" s="1" t="str">
        <f t="shared" si="20"/>
        <v/>
      </c>
      <c r="AA433" s="3" t="str">
        <f t="shared" si="21"/>
        <v/>
      </c>
      <c r="AB433" s="3" t="str">
        <f>LOOKUP($A433,Sheet2!$A$1:$B$233)</f>
        <v>Europe &amp; Central Asia</v>
      </c>
    </row>
    <row r="434" spans="1:28">
      <c r="A434" s="1" t="s">
        <v>256</v>
      </c>
      <c r="B434" s="1">
        <v>2015</v>
      </c>
      <c r="C434" s="1">
        <v>9262.8964840000008</v>
      </c>
      <c r="D434" s="1">
        <v>85.674003600000006</v>
      </c>
      <c r="E434" s="1">
        <v>99.971332469999993</v>
      </c>
      <c r="F434" s="1">
        <v>0</v>
      </c>
      <c r="G434" s="1">
        <v>2.8667534309999999E-2</v>
      </c>
      <c r="H434" s="1">
        <v>0</v>
      </c>
      <c r="I434" s="1" t="s">
        <v>272</v>
      </c>
      <c r="J434" s="1" t="s">
        <v>272</v>
      </c>
      <c r="K434" s="1" t="s">
        <v>272</v>
      </c>
      <c r="L434" s="1" t="s">
        <v>272</v>
      </c>
      <c r="M434" s="1" t="s">
        <v>272</v>
      </c>
      <c r="N434" s="1" t="s">
        <v>272</v>
      </c>
      <c r="O434" s="1" t="s">
        <v>272</v>
      </c>
      <c r="P434" s="1" t="s">
        <v>272</v>
      </c>
      <c r="Q434" s="2">
        <f t="shared" si="11"/>
        <v>5</v>
      </c>
      <c r="R434" s="1">
        <f t="shared" si="12"/>
        <v>-1.1472939999976005E-3</v>
      </c>
      <c r="S434" s="1" t="str">
        <f t="shared" si="13"/>
        <v>null</v>
      </c>
      <c r="T434" s="1" t="str">
        <f t="shared" si="14"/>
        <v>null</v>
      </c>
      <c r="U434" s="1">
        <f t="shared" si="15"/>
        <v>100</v>
      </c>
      <c r="V434" s="3" t="str">
        <f t="shared" si="16"/>
        <v>null</v>
      </c>
      <c r="W434" s="3" t="str">
        <f t="shared" si="17"/>
        <v>null</v>
      </c>
      <c r="X434" s="3" t="str">
        <f t="shared" si="18"/>
        <v>fullaccesss</v>
      </c>
      <c r="Y434" s="3" t="str">
        <f t="shared" si="19"/>
        <v/>
      </c>
      <c r="Z434" s="1" t="str">
        <f t="shared" si="20"/>
        <v/>
      </c>
      <c r="AA434" s="3" t="str">
        <f t="shared" si="21"/>
        <v>null</v>
      </c>
      <c r="AB434" s="3" t="str">
        <f>LOOKUP($A434,Sheet2!$A$1:$B$233)</f>
        <v>Europe &amp; Central Asia</v>
      </c>
    </row>
    <row r="435" spans="1:28">
      <c r="A435" s="1" t="s">
        <v>256</v>
      </c>
      <c r="B435" s="1">
        <v>2020</v>
      </c>
      <c r="C435" s="1">
        <v>9890.4003909999992</v>
      </c>
      <c r="D435" s="1">
        <v>87.047996519999998</v>
      </c>
      <c r="E435" s="1">
        <v>99.965596000000005</v>
      </c>
      <c r="F435" s="1">
        <v>0</v>
      </c>
      <c r="G435" s="1">
        <v>3.4403999999999997E-2</v>
      </c>
      <c r="H435" s="1">
        <v>0</v>
      </c>
      <c r="I435" s="1" t="s">
        <v>272</v>
      </c>
      <c r="J435" s="1" t="s">
        <v>272</v>
      </c>
      <c r="K435" s="1" t="s">
        <v>272</v>
      </c>
      <c r="L435" s="1" t="s">
        <v>272</v>
      </c>
      <c r="M435" s="1" t="s">
        <v>272</v>
      </c>
      <c r="N435" s="1" t="s">
        <v>272</v>
      </c>
      <c r="O435" s="1" t="s">
        <v>272</v>
      </c>
      <c r="P435" s="1" t="s">
        <v>272</v>
      </c>
      <c r="Q435" s="2" t="str">
        <f t="shared" si="11"/>
        <v/>
      </c>
      <c r="R435" s="1" t="str">
        <f t="shared" si="12"/>
        <v/>
      </c>
      <c r="S435" s="1" t="str">
        <f t="shared" si="13"/>
        <v/>
      </c>
      <c r="T435" s="1" t="str">
        <f t="shared" si="14"/>
        <v/>
      </c>
      <c r="U435" s="1">
        <f t="shared" si="15"/>
        <v>100</v>
      </c>
      <c r="V435" s="3" t="str">
        <f t="shared" si="16"/>
        <v>null</v>
      </c>
      <c r="W435" s="3" t="str">
        <f t="shared" si="17"/>
        <v>null</v>
      </c>
      <c r="X435" s="3" t="str">
        <f t="shared" si="18"/>
        <v/>
      </c>
      <c r="Y435" s="3" t="str">
        <f t="shared" si="19"/>
        <v/>
      </c>
      <c r="Z435" s="1" t="str">
        <f t="shared" si="20"/>
        <v/>
      </c>
      <c r="AA435" s="3" t="str">
        <f t="shared" si="21"/>
        <v/>
      </c>
      <c r="AB435" s="3" t="str">
        <f>LOOKUP($A435,Sheet2!$A$1:$B$233)</f>
        <v>Europe &amp; Central Asia</v>
      </c>
    </row>
    <row r="436" spans="1:28">
      <c r="A436" s="1" t="s">
        <v>257</v>
      </c>
      <c r="B436" s="1">
        <v>2015</v>
      </c>
      <c r="C436" s="1">
        <v>65860.148440000004</v>
      </c>
      <c r="D436" s="1">
        <v>82.625999449999995</v>
      </c>
      <c r="E436" s="1">
        <v>100.0000015</v>
      </c>
      <c r="F436" s="1">
        <v>0</v>
      </c>
      <c r="G436" s="1">
        <v>0</v>
      </c>
      <c r="H436" s="1">
        <v>0</v>
      </c>
      <c r="I436" s="1">
        <v>100</v>
      </c>
      <c r="J436" s="1">
        <v>0</v>
      </c>
      <c r="K436" s="1">
        <v>0</v>
      </c>
      <c r="L436" s="1">
        <v>0</v>
      </c>
      <c r="M436" s="1">
        <v>100</v>
      </c>
      <c r="N436" s="1">
        <v>0</v>
      </c>
      <c r="O436" s="1">
        <v>0</v>
      </c>
      <c r="P436" s="1">
        <v>0</v>
      </c>
      <c r="Q436" s="2">
        <f t="shared" si="11"/>
        <v>5</v>
      </c>
      <c r="R436" s="1">
        <f t="shared" si="12"/>
        <v>-5.8800000033443214E-7</v>
      </c>
      <c r="S436" s="1">
        <f t="shared" si="13"/>
        <v>0</v>
      </c>
      <c r="T436" s="1">
        <f t="shared" si="14"/>
        <v>0</v>
      </c>
      <c r="U436" s="1">
        <f t="shared" si="15"/>
        <v>100</v>
      </c>
      <c r="V436" s="3">
        <f t="shared" si="16"/>
        <v>100</v>
      </c>
      <c r="W436" s="3">
        <f t="shared" si="17"/>
        <v>100</v>
      </c>
      <c r="X436" s="3" t="str">
        <f t="shared" si="18"/>
        <v>fullaccesss</v>
      </c>
      <c r="Y436" s="3" t="str">
        <f t="shared" si="19"/>
        <v>fullaccesss</v>
      </c>
      <c r="Z436" s="1" t="str">
        <f t="shared" si="20"/>
        <v>fullaccesss</v>
      </c>
      <c r="AA436" s="3">
        <f t="shared" si="21"/>
        <v>0</v>
      </c>
      <c r="AB436" s="3" t="str">
        <f>LOOKUP($A436,Sheet2!$A$1:$B$233)</f>
        <v>Europe &amp; Central Asia</v>
      </c>
    </row>
    <row r="437" spans="1:28">
      <c r="A437" s="1" t="s">
        <v>257</v>
      </c>
      <c r="B437" s="1">
        <v>2020</v>
      </c>
      <c r="C437" s="1">
        <v>67886.007809999996</v>
      </c>
      <c r="D437" s="1">
        <v>83.902999879999996</v>
      </c>
      <c r="E437" s="1">
        <v>99.999998559999995</v>
      </c>
      <c r="F437" s="1">
        <v>0</v>
      </c>
      <c r="G437" s="1">
        <v>1.4385328199999999E-6</v>
      </c>
      <c r="H437" s="1">
        <v>0</v>
      </c>
      <c r="I437" s="1">
        <v>100</v>
      </c>
      <c r="J437" s="1">
        <v>0</v>
      </c>
      <c r="K437" s="1">
        <v>0</v>
      </c>
      <c r="L437" s="1">
        <v>0</v>
      </c>
      <c r="M437" s="1">
        <v>100</v>
      </c>
      <c r="N437" s="1">
        <v>0</v>
      </c>
      <c r="O437" s="1">
        <v>0</v>
      </c>
      <c r="P437" s="1">
        <v>0</v>
      </c>
      <c r="Q437" s="2" t="str">
        <f t="shared" si="11"/>
        <v/>
      </c>
      <c r="R437" s="1" t="str">
        <f t="shared" si="12"/>
        <v/>
      </c>
      <c r="S437" s="1" t="str">
        <f t="shared" si="13"/>
        <v/>
      </c>
      <c r="T437" s="1" t="str">
        <f t="shared" si="14"/>
        <v/>
      </c>
      <c r="U437" s="1">
        <f t="shared" si="15"/>
        <v>100</v>
      </c>
      <c r="V437" s="3">
        <f t="shared" si="16"/>
        <v>100</v>
      </c>
      <c r="W437" s="3">
        <f t="shared" si="17"/>
        <v>100</v>
      </c>
      <c r="X437" s="3" t="str">
        <f t="shared" si="18"/>
        <v/>
      </c>
      <c r="Y437" s="3" t="str">
        <f t="shared" si="19"/>
        <v/>
      </c>
      <c r="Z437" s="1" t="str">
        <f t="shared" si="20"/>
        <v/>
      </c>
      <c r="AA437" s="3" t="str">
        <f t="shared" si="21"/>
        <v/>
      </c>
      <c r="AB437" s="3" t="str">
        <f>LOOKUP($A437,Sheet2!$A$1:$B$233)</f>
        <v>Europe &amp; Central Asia</v>
      </c>
    </row>
    <row r="438" spans="1:28">
      <c r="A438" s="1" t="s">
        <v>258</v>
      </c>
      <c r="B438" s="1">
        <v>2015</v>
      </c>
      <c r="C438" s="1">
        <v>51482.636720000002</v>
      </c>
      <c r="D438" s="1">
        <v>31.617000579999999</v>
      </c>
      <c r="E438" s="1">
        <v>52.963794589999999</v>
      </c>
      <c r="F438" s="1">
        <v>11.30893693</v>
      </c>
      <c r="G438" s="1">
        <v>21.385247880000001</v>
      </c>
      <c r="H438" s="1">
        <v>14.3420206</v>
      </c>
      <c r="I438" s="1">
        <v>38.863424559999999</v>
      </c>
      <c r="J438" s="1">
        <v>13.19289824</v>
      </c>
      <c r="K438" s="1">
        <v>28.1932841</v>
      </c>
      <c r="L438" s="1">
        <v>19.750393110000001</v>
      </c>
      <c r="M438" s="1">
        <v>83.4608554</v>
      </c>
      <c r="N438" s="1">
        <v>7.2342011279999996</v>
      </c>
      <c r="O438" s="1">
        <v>6.6604502999999999</v>
      </c>
      <c r="P438" s="1">
        <v>2.6444931710000001</v>
      </c>
      <c r="Q438" s="2">
        <f t="shared" si="11"/>
        <v>5</v>
      </c>
      <c r="R438" s="1">
        <f t="shared" si="12"/>
        <v>1.5506005999999999</v>
      </c>
      <c r="S438" s="1">
        <f t="shared" si="13"/>
        <v>1.316708156</v>
      </c>
      <c r="T438" s="1">
        <f t="shared" si="14"/>
        <v>1.0666138999999988</v>
      </c>
      <c r="U438" s="1">
        <f t="shared" si="15"/>
        <v>53</v>
      </c>
      <c r="V438" s="3">
        <f t="shared" si="16"/>
        <v>39</v>
      </c>
      <c r="W438" s="3">
        <f t="shared" si="17"/>
        <v>83</v>
      </c>
      <c r="X438" s="3" t="str">
        <f t="shared" si="18"/>
        <v/>
      </c>
      <c r="Y438" s="3" t="str">
        <f t="shared" si="19"/>
        <v/>
      </c>
      <c r="Z438" s="1" t="str">
        <f t="shared" si="20"/>
        <v/>
      </c>
      <c r="AA438" s="3">
        <f t="shared" si="21"/>
        <v>0.25009425600000124</v>
      </c>
      <c r="AB438" s="3" t="str">
        <f>LOOKUP($A438,Sheet2!$A$1:$B$233)</f>
        <v>Sub-Saharan Africa</v>
      </c>
    </row>
    <row r="439" spans="1:28">
      <c r="A439" s="1" t="s">
        <v>258</v>
      </c>
      <c r="B439" s="1">
        <v>2020</v>
      </c>
      <c r="C439" s="1">
        <v>59734.214840000001</v>
      </c>
      <c r="D439" s="1">
        <v>35.227001190000003</v>
      </c>
      <c r="E439" s="1">
        <v>60.716797589999999</v>
      </c>
      <c r="F439" s="1">
        <v>11.29007067</v>
      </c>
      <c r="G439" s="1">
        <v>14.51775136</v>
      </c>
      <c r="H439" s="1">
        <v>13.475380380000001</v>
      </c>
      <c r="I439" s="1">
        <v>45.446965339999998</v>
      </c>
      <c r="J439" s="1">
        <v>13.98368881</v>
      </c>
      <c r="K439" s="1">
        <v>21.21996133</v>
      </c>
      <c r="L439" s="1">
        <v>19.349384520000001</v>
      </c>
      <c r="M439" s="1">
        <v>88.793924899999993</v>
      </c>
      <c r="N439" s="1">
        <v>6.3372311659999996</v>
      </c>
      <c r="O439" s="1">
        <v>2.1941787860000002</v>
      </c>
      <c r="P439" s="1">
        <v>2.6746651520000002</v>
      </c>
      <c r="Q439" s="2" t="str">
        <f t="shared" si="11"/>
        <v/>
      </c>
      <c r="R439" s="1" t="str">
        <f t="shared" si="12"/>
        <v/>
      </c>
      <c r="S439" s="1" t="str">
        <f t="shared" si="13"/>
        <v/>
      </c>
      <c r="T439" s="1" t="str">
        <f t="shared" si="14"/>
        <v/>
      </c>
      <c r="U439" s="1">
        <f t="shared" si="15"/>
        <v>61</v>
      </c>
      <c r="V439" s="3">
        <f t="shared" si="16"/>
        <v>45</v>
      </c>
      <c r="W439" s="3">
        <f t="shared" si="17"/>
        <v>89</v>
      </c>
      <c r="X439" s="3" t="str">
        <f t="shared" si="18"/>
        <v/>
      </c>
      <c r="Y439" s="3" t="str">
        <f t="shared" si="19"/>
        <v/>
      </c>
      <c r="Z439" s="1" t="str">
        <f t="shared" si="20"/>
        <v/>
      </c>
      <c r="AA439" s="3" t="str">
        <f t="shared" si="21"/>
        <v/>
      </c>
      <c r="AB439" s="3" t="str">
        <f>LOOKUP($A439,Sheet2!$A$1:$B$233)</f>
        <v>Sub-Saharan Africa</v>
      </c>
    </row>
    <row r="440" spans="1:28">
      <c r="A440" s="1" t="s">
        <v>260</v>
      </c>
      <c r="B440" s="1">
        <v>2015</v>
      </c>
      <c r="C440" s="1">
        <v>320878.3125</v>
      </c>
      <c r="D440" s="1">
        <v>81.671005249999993</v>
      </c>
      <c r="E440" s="1">
        <v>99.447157759999996</v>
      </c>
      <c r="F440" s="1">
        <v>0</v>
      </c>
      <c r="G440" s="1">
        <v>0.55284223720000003</v>
      </c>
      <c r="H440" s="1">
        <v>0</v>
      </c>
      <c r="I440" s="1">
        <v>97.780118509999994</v>
      </c>
      <c r="J440" s="1">
        <v>0</v>
      </c>
      <c r="K440" s="1">
        <v>2.2198814850000002</v>
      </c>
      <c r="L440" s="1">
        <v>0</v>
      </c>
      <c r="M440" s="1">
        <v>99.821279809999993</v>
      </c>
      <c r="N440" s="1">
        <v>0</v>
      </c>
      <c r="O440" s="1">
        <v>0.1787201944</v>
      </c>
      <c r="P440" s="1">
        <v>0</v>
      </c>
      <c r="Q440" s="2">
        <f t="shared" si="11"/>
        <v>5</v>
      </c>
      <c r="R440" s="1">
        <f t="shared" si="12"/>
        <v>8.7273784000001339E-2</v>
      </c>
      <c r="S440" s="1">
        <f t="shared" si="13"/>
        <v>0.37813376600000198</v>
      </c>
      <c r="T440" s="1">
        <f t="shared" si="14"/>
        <v>2.1372932000002721E-2</v>
      </c>
      <c r="U440" s="1">
        <f t="shared" si="15"/>
        <v>99</v>
      </c>
      <c r="V440" s="3">
        <f t="shared" si="16"/>
        <v>98</v>
      </c>
      <c r="W440" s="3">
        <f t="shared" si="17"/>
        <v>100</v>
      </c>
      <c r="X440" s="3" t="str">
        <f t="shared" si="18"/>
        <v/>
      </c>
      <c r="Y440" s="3" t="str">
        <f t="shared" si="19"/>
        <v/>
      </c>
      <c r="Z440" s="1" t="str">
        <f t="shared" si="20"/>
        <v>fullaccesss</v>
      </c>
      <c r="AA440" s="3">
        <f t="shared" si="21"/>
        <v>0.35676083399999925</v>
      </c>
      <c r="AB440" s="3" t="str">
        <f>LOOKUP($A440,Sheet2!$A$1:$B$233)</f>
        <v>North America</v>
      </c>
    </row>
    <row r="441" spans="1:28">
      <c r="A441" s="1" t="s">
        <v>260</v>
      </c>
      <c r="B441" s="1">
        <v>2020</v>
      </c>
      <c r="C441" s="1">
        <v>331002.65629999997</v>
      </c>
      <c r="D441" s="1">
        <v>82.664001459999994</v>
      </c>
      <c r="E441" s="1">
        <v>99.883526680000003</v>
      </c>
      <c r="F441" s="1">
        <v>0</v>
      </c>
      <c r="G441" s="1">
        <v>0.1164733182</v>
      </c>
      <c r="H441" s="1">
        <v>0</v>
      </c>
      <c r="I441" s="1">
        <v>99.670787340000004</v>
      </c>
      <c r="J441" s="1">
        <v>0</v>
      </c>
      <c r="K441" s="1">
        <v>0.3292126628</v>
      </c>
      <c r="L441" s="1">
        <v>0</v>
      </c>
      <c r="M441" s="1">
        <v>99.928144470000007</v>
      </c>
      <c r="N441" s="1">
        <v>0</v>
      </c>
      <c r="O441" s="1">
        <v>7.1855529599999995E-2</v>
      </c>
      <c r="P441" s="1">
        <v>0</v>
      </c>
      <c r="Q441" s="2" t="str">
        <f t="shared" si="11"/>
        <v/>
      </c>
      <c r="R441" s="1" t="str">
        <f t="shared" si="12"/>
        <v/>
      </c>
      <c r="S441" s="1" t="str">
        <f t="shared" si="13"/>
        <v/>
      </c>
      <c r="T441" s="1" t="str">
        <f t="shared" si="14"/>
        <v/>
      </c>
      <c r="U441" s="1">
        <f t="shared" si="15"/>
        <v>100</v>
      </c>
      <c r="V441" s="3">
        <f t="shared" si="16"/>
        <v>100</v>
      </c>
      <c r="W441" s="3">
        <f t="shared" si="17"/>
        <v>100</v>
      </c>
      <c r="X441" s="3" t="str">
        <f t="shared" si="18"/>
        <v/>
      </c>
      <c r="Y441" s="3" t="str">
        <f t="shared" si="19"/>
        <v/>
      </c>
      <c r="Z441" s="1" t="str">
        <f t="shared" si="20"/>
        <v/>
      </c>
      <c r="AA441" s="3" t="str">
        <f t="shared" si="21"/>
        <v/>
      </c>
      <c r="AB441" s="3" t="str">
        <f>LOOKUP($A441,Sheet2!$A$1:$B$233)</f>
        <v>North America</v>
      </c>
    </row>
    <row r="442" spans="1:28">
      <c r="A442" s="1" t="s">
        <v>261</v>
      </c>
      <c r="B442" s="1">
        <v>2015</v>
      </c>
      <c r="C442" s="1">
        <v>104.9499969</v>
      </c>
      <c r="D442" s="1">
        <v>95.349998470000003</v>
      </c>
      <c r="E442" s="1">
        <v>98.718272810000002</v>
      </c>
      <c r="F442" s="1">
        <v>0</v>
      </c>
      <c r="G442" s="1">
        <v>1.2817271859999999</v>
      </c>
      <c r="H442" s="1">
        <v>0</v>
      </c>
      <c r="I442" s="1" t="s">
        <v>272</v>
      </c>
      <c r="J442" s="1" t="s">
        <v>272</v>
      </c>
      <c r="K442" s="1" t="s">
        <v>272</v>
      </c>
      <c r="L442" s="1" t="s">
        <v>272</v>
      </c>
      <c r="M442" s="1" t="s">
        <v>272</v>
      </c>
      <c r="N442" s="1" t="s">
        <v>272</v>
      </c>
      <c r="O442" s="1" t="s">
        <v>272</v>
      </c>
      <c r="P442" s="1" t="s">
        <v>272</v>
      </c>
      <c r="Q442" s="2">
        <f t="shared" si="11"/>
        <v>5</v>
      </c>
      <c r="R442" s="1">
        <f t="shared" si="12"/>
        <v>-1.0860000003276582E-6</v>
      </c>
      <c r="S442" s="1" t="str">
        <f t="shared" si="13"/>
        <v>null</v>
      </c>
      <c r="T442" s="1" t="str">
        <f t="shared" si="14"/>
        <v>null</v>
      </c>
      <c r="U442" s="1">
        <f t="shared" si="15"/>
        <v>99</v>
      </c>
      <c r="V442" s="3" t="str">
        <f t="shared" si="16"/>
        <v>null</v>
      </c>
      <c r="W442" s="3" t="str">
        <f t="shared" si="17"/>
        <v>null</v>
      </c>
      <c r="X442" s="3" t="str">
        <f t="shared" si="18"/>
        <v/>
      </c>
      <c r="Y442" s="3" t="str">
        <f t="shared" si="19"/>
        <v/>
      </c>
      <c r="Z442" s="1" t="str">
        <f t="shared" si="20"/>
        <v/>
      </c>
      <c r="AA442" s="3" t="str">
        <f t="shared" si="21"/>
        <v>null</v>
      </c>
      <c r="AB442" s="3" t="str">
        <f>LOOKUP($A442,Sheet2!$A$1:$B$233)</f>
        <v>Latin America &amp; Caribbean</v>
      </c>
    </row>
    <row r="443" spans="1:28">
      <c r="A443" s="1" t="s">
        <v>261</v>
      </c>
      <c r="B443" s="1">
        <v>2020</v>
      </c>
      <c r="C443" s="1">
        <v>104.4229965</v>
      </c>
      <c r="D443" s="1">
        <v>95.939002990000006</v>
      </c>
      <c r="E443" s="1">
        <v>98.71826738</v>
      </c>
      <c r="F443" s="1">
        <v>0</v>
      </c>
      <c r="G443" s="1">
        <v>1.281732624</v>
      </c>
      <c r="H443" s="1">
        <v>0</v>
      </c>
      <c r="I443" s="1" t="s">
        <v>272</v>
      </c>
      <c r="J443" s="1" t="s">
        <v>272</v>
      </c>
      <c r="K443" s="1" t="s">
        <v>272</v>
      </c>
      <c r="L443" s="1" t="s">
        <v>272</v>
      </c>
      <c r="M443" s="1" t="s">
        <v>272</v>
      </c>
      <c r="N443" s="1" t="s">
        <v>272</v>
      </c>
      <c r="O443" s="1" t="s">
        <v>272</v>
      </c>
      <c r="P443" s="1" t="s">
        <v>272</v>
      </c>
      <c r="Q443" s="2" t="str">
        <f t="shared" si="11"/>
        <v/>
      </c>
      <c r="R443" s="1" t="str">
        <f t="shared" si="12"/>
        <v/>
      </c>
      <c r="S443" s="1" t="str">
        <f t="shared" si="13"/>
        <v/>
      </c>
      <c r="T443" s="1" t="str">
        <f t="shared" si="14"/>
        <v/>
      </c>
      <c r="U443" s="1">
        <f t="shared" si="15"/>
        <v>99</v>
      </c>
      <c r="V443" s="3" t="str">
        <f t="shared" si="16"/>
        <v>null</v>
      </c>
      <c r="W443" s="3" t="str">
        <f t="shared" si="17"/>
        <v>null</v>
      </c>
      <c r="X443" s="3" t="str">
        <f t="shared" si="18"/>
        <v/>
      </c>
      <c r="Y443" s="3" t="str">
        <f t="shared" si="19"/>
        <v/>
      </c>
      <c r="Z443" s="1" t="str">
        <f t="shared" si="20"/>
        <v/>
      </c>
      <c r="AA443" s="3" t="str">
        <f t="shared" si="21"/>
        <v/>
      </c>
      <c r="AB443" s="3" t="str">
        <f>LOOKUP($A443,Sheet2!$A$1:$B$233)</f>
        <v>Latin America &amp; Caribbean</v>
      </c>
    </row>
    <row r="444" spans="1:28">
      <c r="A444" s="1" t="s">
        <v>262</v>
      </c>
      <c r="B444" s="1">
        <v>2015</v>
      </c>
      <c r="C444" s="1">
        <v>3412.0129390000002</v>
      </c>
      <c r="D444" s="1">
        <v>95.04499817</v>
      </c>
      <c r="E444" s="1">
        <v>99.131397559999996</v>
      </c>
      <c r="F444" s="1">
        <v>0.53810473530000003</v>
      </c>
      <c r="G444" s="1">
        <v>0.30749747300000002</v>
      </c>
      <c r="H444" s="1">
        <v>2.3000230189999998E-2</v>
      </c>
      <c r="I444" s="1">
        <v>91.495843840000006</v>
      </c>
      <c r="J444" s="1">
        <v>4.5115506810000001</v>
      </c>
      <c r="K444" s="1">
        <v>3.5284232109999998</v>
      </c>
      <c r="L444" s="1">
        <v>0.46418227099999998</v>
      </c>
      <c r="M444" s="1">
        <v>99.529461979999994</v>
      </c>
      <c r="N444" s="1">
        <v>0.3309562908</v>
      </c>
      <c r="O444" s="1">
        <v>0.13958172699999999</v>
      </c>
      <c r="P444" s="1">
        <v>0</v>
      </c>
      <c r="Q444" s="2">
        <f t="shared" si="11"/>
        <v>5</v>
      </c>
      <c r="R444" s="1">
        <f t="shared" si="12"/>
        <v>7.2872000000000978E-2</v>
      </c>
      <c r="S444" s="1">
        <f t="shared" si="13"/>
        <v>0.76099723199999969</v>
      </c>
      <c r="T444" s="1">
        <f t="shared" si="14"/>
        <v>3.2654492000000347E-2</v>
      </c>
      <c r="U444" s="1">
        <f t="shared" si="15"/>
        <v>99</v>
      </c>
      <c r="V444" s="3">
        <f t="shared" si="16"/>
        <v>91</v>
      </c>
      <c r="W444" s="3">
        <f t="shared" si="17"/>
        <v>100</v>
      </c>
      <c r="X444" s="3" t="str">
        <f t="shared" si="18"/>
        <v/>
      </c>
      <c r="Y444" s="3" t="str">
        <f t="shared" si="19"/>
        <v/>
      </c>
      <c r="Z444" s="1" t="str">
        <f t="shared" si="20"/>
        <v>fullaccesss</v>
      </c>
      <c r="AA444" s="3">
        <f t="shared" si="21"/>
        <v>0.72834273999999932</v>
      </c>
      <c r="AB444" s="3" t="str">
        <f>LOOKUP($A444,Sheet2!$A$1:$B$233)</f>
        <v>Latin America &amp; Caribbean</v>
      </c>
    </row>
    <row r="445" spans="1:28">
      <c r="A445" s="1" t="s">
        <v>262</v>
      </c>
      <c r="B445" s="1">
        <v>2020</v>
      </c>
      <c r="C445" s="1">
        <v>3473.7270509999998</v>
      </c>
      <c r="D445" s="1">
        <v>95.51499939</v>
      </c>
      <c r="E445" s="1">
        <v>99.495757560000001</v>
      </c>
      <c r="F445" s="1">
        <v>0.50424244119999995</v>
      </c>
      <c r="G445" s="1">
        <v>0</v>
      </c>
      <c r="H445" s="1">
        <v>0</v>
      </c>
      <c r="I445" s="1">
        <v>95.300830000000005</v>
      </c>
      <c r="J445" s="1">
        <v>4.6991699999999996</v>
      </c>
      <c r="K445" s="1">
        <v>0</v>
      </c>
      <c r="L445" s="1">
        <v>0</v>
      </c>
      <c r="M445" s="1">
        <v>99.692734439999995</v>
      </c>
      <c r="N445" s="1">
        <v>0.30726556170000002</v>
      </c>
      <c r="O445" s="1">
        <v>0</v>
      </c>
      <c r="P445" s="1">
        <v>0</v>
      </c>
      <c r="Q445" s="2" t="str">
        <f t="shared" si="11"/>
        <v/>
      </c>
      <c r="R445" s="1" t="str">
        <f t="shared" si="12"/>
        <v/>
      </c>
      <c r="S445" s="1" t="str">
        <f t="shared" si="13"/>
        <v/>
      </c>
      <c r="T445" s="1" t="str">
        <f t="shared" si="14"/>
        <v/>
      </c>
      <c r="U445" s="1">
        <f t="shared" si="15"/>
        <v>99</v>
      </c>
      <c r="V445" s="3">
        <f t="shared" si="16"/>
        <v>95</v>
      </c>
      <c r="W445" s="3">
        <f t="shared" si="17"/>
        <v>100</v>
      </c>
      <c r="X445" s="3" t="str">
        <f t="shared" si="18"/>
        <v/>
      </c>
      <c r="Y445" s="3" t="str">
        <f t="shared" si="19"/>
        <v/>
      </c>
      <c r="Z445" s="1" t="str">
        <f t="shared" si="20"/>
        <v/>
      </c>
      <c r="AA445" s="3" t="str">
        <f t="shared" si="21"/>
        <v/>
      </c>
      <c r="AB445" s="3" t="str">
        <f>LOOKUP($A445,Sheet2!$A$1:$B$233)</f>
        <v>Latin America &amp; Caribbean</v>
      </c>
    </row>
    <row r="446" spans="1:28">
      <c r="A446" s="1" t="s">
        <v>263</v>
      </c>
      <c r="B446" s="1">
        <v>2015</v>
      </c>
      <c r="C446" s="1">
        <v>30929.556639999999</v>
      </c>
      <c r="D446" s="1">
        <v>50.75</v>
      </c>
      <c r="E446" s="1">
        <v>97.528578260000003</v>
      </c>
      <c r="F446" s="1">
        <v>0</v>
      </c>
      <c r="G446" s="1">
        <v>0</v>
      </c>
      <c r="H446" s="1">
        <v>2.4714217359999999</v>
      </c>
      <c r="I446" s="1">
        <v>95.642391549999999</v>
      </c>
      <c r="J446" s="1">
        <v>0</v>
      </c>
      <c r="K446" s="1">
        <v>0</v>
      </c>
      <c r="L446" s="1">
        <v>4.3576084509999999</v>
      </c>
      <c r="M446" s="1">
        <v>99.359015619999994</v>
      </c>
      <c r="N446" s="1">
        <v>0</v>
      </c>
      <c r="O446" s="1">
        <v>0</v>
      </c>
      <c r="P446" s="1">
        <v>0.64098438430000004</v>
      </c>
      <c r="Q446" s="2">
        <f t="shared" si="11"/>
        <v>5</v>
      </c>
      <c r="R446" s="1">
        <f t="shared" si="12"/>
        <v>6.0041318000000385E-2</v>
      </c>
      <c r="S446" s="1">
        <f t="shared" si="13"/>
        <v>8.6038161999999835E-2</v>
      </c>
      <c r="T446" s="1">
        <f t="shared" si="14"/>
        <v>3.9397988000001757E-2</v>
      </c>
      <c r="U446" s="1">
        <f t="shared" si="15"/>
        <v>98</v>
      </c>
      <c r="V446" s="3">
        <f t="shared" si="16"/>
        <v>96</v>
      </c>
      <c r="W446" s="3">
        <f t="shared" si="17"/>
        <v>99</v>
      </c>
      <c r="X446" s="3" t="str">
        <f t="shared" si="18"/>
        <v/>
      </c>
      <c r="Y446" s="3" t="str">
        <f t="shared" si="19"/>
        <v/>
      </c>
      <c r="Z446" s="1" t="str">
        <f t="shared" si="20"/>
        <v/>
      </c>
      <c r="AA446" s="3">
        <f t="shared" si="21"/>
        <v>4.6640173999998077E-2</v>
      </c>
      <c r="AB446" s="3" t="str">
        <f>LOOKUP($A446,Sheet2!$A$1:$B$233)</f>
        <v>Europe &amp; Central Asia</v>
      </c>
    </row>
    <row r="447" spans="1:28">
      <c r="A447" s="1" t="s">
        <v>263</v>
      </c>
      <c r="B447" s="1">
        <v>2020</v>
      </c>
      <c r="C447" s="1">
        <v>33469.199220000002</v>
      </c>
      <c r="D447" s="1">
        <v>50.415996550000003</v>
      </c>
      <c r="E447" s="1">
        <v>97.828784850000005</v>
      </c>
      <c r="F447" s="1">
        <v>0</v>
      </c>
      <c r="G447" s="1">
        <v>0.22384422000000001</v>
      </c>
      <c r="H447" s="1">
        <v>1.947370925</v>
      </c>
      <c r="I447" s="1">
        <v>96.072582359999998</v>
      </c>
      <c r="J447" s="1">
        <v>0</v>
      </c>
      <c r="K447" s="1">
        <v>0</v>
      </c>
      <c r="L447" s="1">
        <v>3.927417637</v>
      </c>
      <c r="M447" s="1">
        <v>99.556005560000003</v>
      </c>
      <c r="N447" s="1">
        <v>0</v>
      </c>
      <c r="O447" s="1">
        <v>0.44399444339999999</v>
      </c>
      <c r="P447" s="1">
        <v>0</v>
      </c>
      <c r="Q447" s="2" t="str">
        <f t="shared" si="11"/>
        <v/>
      </c>
      <c r="R447" s="1" t="str">
        <f t="shared" si="12"/>
        <v/>
      </c>
      <c r="S447" s="1" t="str">
        <f t="shared" si="13"/>
        <v/>
      </c>
      <c r="T447" s="1" t="str">
        <f t="shared" si="14"/>
        <v/>
      </c>
      <c r="U447" s="1">
        <f t="shared" si="15"/>
        <v>98</v>
      </c>
      <c r="V447" s="3">
        <f t="shared" si="16"/>
        <v>96</v>
      </c>
      <c r="W447" s="3">
        <f t="shared" si="17"/>
        <v>100</v>
      </c>
      <c r="X447" s="3" t="str">
        <f t="shared" si="18"/>
        <v/>
      </c>
      <c r="Y447" s="3" t="str">
        <f t="shared" si="19"/>
        <v/>
      </c>
      <c r="Z447" s="1" t="str">
        <f t="shared" si="20"/>
        <v/>
      </c>
      <c r="AA447" s="3" t="str">
        <f t="shared" si="21"/>
        <v/>
      </c>
      <c r="AB447" s="3" t="str">
        <f>LOOKUP($A447,Sheet2!$A$1:$B$233)</f>
        <v>Europe &amp; Central Asia</v>
      </c>
    </row>
    <row r="448" spans="1:28">
      <c r="A448" s="1" t="s">
        <v>264</v>
      </c>
      <c r="B448" s="1">
        <v>2015</v>
      </c>
      <c r="C448" s="1">
        <v>271.1279907</v>
      </c>
      <c r="D448" s="1">
        <v>24.961002350000001</v>
      </c>
      <c r="E448" s="1">
        <v>89.988176490000001</v>
      </c>
      <c r="F448" s="1">
        <v>1.05094321</v>
      </c>
      <c r="G448" s="1">
        <v>1.545004807</v>
      </c>
      <c r="H448" s="1">
        <v>7.4158754880000002</v>
      </c>
      <c r="I448" s="1">
        <v>86.978050659999994</v>
      </c>
      <c r="J448" s="1">
        <v>1.234982464</v>
      </c>
      <c r="K448" s="1">
        <v>1.9042720630000001</v>
      </c>
      <c r="L448" s="1">
        <v>9.8826948130000005</v>
      </c>
      <c r="M448" s="1">
        <v>99.037355989999995</v>
      </c>
      <c r="N448" s="1">
        <v>0.49767515569999998</v>
      </c>
      <c r="O448" s="1">
        <v>0.46496885310000002</v>
      </c>
      <c r="P448" s="1">
        <v>0</v>
      </c>
      <c r="Q448" s="2">
        <f t="shared" si="11"/>
        <v>5</v>
      </c>
      <c r="R448" s="1">
        <f t="shared" si="12"/>
        <v>0.24860285199999907</v>
      </c>
      <c r="S448" s="1">
        <f t="shared" si="13"/>
        <v>0.28383011399999986</v>
      </c>
      <c r="T448" s="1">
        <f t="shared" si="14"/>
        <v>9.2528802000001062E-2</v>
      </c>
      <c r="U448" s="1">
        <f t="shared" si="15"/>
        <v>90</v>
      </c>
      <c r="V448" s="3">
        <f t="shared" si="16"/>
        <v>87</v>
      </c>
      <c r="W448" s="3">
        <f t="shared" si="17"/>
        <v>99</v>
      </c>
      <c r="X448" s="3" t="str">
        <f t="shared" si="18"/>
        <v/>
      </c>
      <c r="Y448" s="3" t="str">
        <f t="shared" si="19"/>
        <v/>
      </c>
      <c r="Z448" s="1" t="str">
        <f t="shared" si="20"/>
        <v/>
      </c>
      <c r="AA448" s="3">
        <f t="shared" si="21"/>
        <v>0.19130131199999878</v>
      </c>
      <c r="AB448" s="3" t="str">
        <f>LOOKUP($A448,Sheet2!$A$1:$B$233)</f>
        <v>East Asia &amp; Pacific</v>
      </c>
    </row>
    <row r="449" spans="1:28">
      <c r="A449" s="1" t="s">
        <v>264</v>
      </c>
      <c r="B449" s="1">
        <v>2020</v>
      </c>
      <c r="C449" s="1">
        <v>307.14999390000003</v>
      </c>
      <c r="D449" s="1">
        <v>25.525001530000001</v>
      </c>
      <c r="E449" s="1">
        <v>91.231190749999996</v>
      </c>
      <c r="F449" s="1">
        <v>1.0623850500000001</v>
      </c>
      <c r="G449" s="1">
        <v>0</v>
      </c>
      <c r="H449" s="1">
        <v>7.706424202</v>
      </c>
      <c r="I449" s="1">
        <v>88.397201229999993</v>
      </c>
      <c r="J449" s="1">
        <v>1.255132675</v>
      </c>
      <c r="K449" s="1">
        <v>0</v>
      </c>
      <c r="L449" s="1">
        <v>10.3476661</v>
      </c>
      <c r="M449" s="1">
        <v>99.5</v>
      </c>
      <c r="N449" s="1">
        <v>0.5</v>
      </c>
      <c r="O449" s="1">
        <v>0</v>
      </c>
      <c r="P449" s="1">
        <v>0</v>
      </c>
      <c r="Q449" s="2" t="str">
        <f t="shared" si="11"/>
        <v/>
      </c>
      <c r="R449" s="1" t="str">
        <f t="shared" si="12"/>
        <v/>
      </c>
      <c r="S449" s="1" t="str">
        <f t="shared" si="13"/>
        <v/>
      </c>
      <c r="T449" s="1" t="str">
        <f t="shared" si="14"/>
        <v/>
      </c>
      <c r="U449" s="1">
        <f t="shared" si="15"/>
        <v>91</v>
      </c>
      <c r="V449" s="3">
        <f t="shared" si="16"/>
        <v>88</v>
      </c>
      <c r="W449" s="3">
        <f t="shared" si="17"/>
        <v>100</v>
      </c>
      <c r="X449" s="3" t="str">
        <f t="shared" si="18"/>
        <v/>
      </c>
      <c r="Y449" s="3" t="str">
        <f t="shared" si="19"/>
        <v/>
      </c>
      <c r="Z449" s="1" t="str">
        <f t="shared" si="20"/>
        <v/>
      </c>
      <c r="AA449" s="3" t="str">
        <f t="shared" si="21"/>
        <v/>
      </c>
      <c r="AB449" s="3" t="str">
        <f>LOOKUP($A449,Sheet2!$A$1:$B$233)</f>
        <v>East Asia &amp; Pacific</v>
      </c>
    </row>
    <row r="450" spans="1:28">
      <c r="A450" s="1" t="s">
        <v>265</v>
      </c>
      <c r="B450" s="1">
        <v>2015</v>
      </c>
      <c r="C450" s="1">
        <v>30081.82617</v>
      </c>
      <c r="D450" s="1">
        <v>88.153999330000005</v>
      </c>
      <c r="E450" s="1">
        <v>94.571275009999994</v>
      </c>
      <c r="F450" s="1">
        <v>0.47523253770000001</v>
      </c>
      <c r="G450" s="1">
        <v>3.5752642610000001</v>
      </c>
      <c r="H450" s="1">
        <v>1.3782281919999999</v>
      </c>
      <c r="I450" s="1" t="s">
        <v>272</v>
      </c>
      <c r="J450" s="1" t="s">
        <v>272</v>
      </c>
      <c r="K450" s="1" t="s">
        <v>272</v>
      </c>
      <c r="L450" s="1" t="s">
        <v>272</v>
      </c>
      <c r="M450" s="1" t="s">
        <v>272</v>
      </c>
      <c r="N450" s="1" t="s">
        <v>272</v>
      </c>
      <c r="O450" s="1" t="s">
        <v>272</v>
      </c>
      <c r="P450" s="1" t="s">
        <v>272</v>
      </c>
      <c r="Q450" s="2">
        <f t="shared" si="11"/>
        <v>5</v>
      </c>
      <c r="R450" s="1">
        <f t="shared" si="12"/>
        <v>-0.17709485999999969</v>
      </c>
      <c r="S450" s="1" t="str">
        <f t="shared" si="13"/>
        <v>null</v>
      </c>
      <c r="T450" s="1" t="str">
        <f t="shared" si="14"/>
        <v>null</v>
      </c>
      <c r="U450" s="1">
        <f t="shared" si="15"/>
        <v>95</v>
      </c>
      <c r="V450" s="3" t="str">
        <f t="shared" si="16"/>
        <v>null</v>
      </c>
      <c r="W450" s="3" t="str">
        <f t="shared" si="17"/>
        <v>null</v>
      </c>
      <c r="X450" s="3" t="str">
        <f t="shared" si="18"/>
        <v/>
      </c>
      <c r="Y450" s="3" t="str">
        <f t="shared" si="19"/>
        <v/>
      </c>
      <c r="Z450" s="1" t="str">
        <f t="shared" si="20"/>
        <v/>
      </c>
      <c r="AA450" s="3" t="str">
        <f t="shared" si="21"/>
        <v>null</v>
      </c>
      <c r="AB450" s="3" t="str">
        <f>LOOKUP($A450,Sheet2!$A$1:$B$233)</f>
        <v>Latin America &amp; Caribbean</v>
      </c>
    </row>
    <row r="451" spans="1:28">
      <c r="A451" s="1" t="s">
        <v>265</v>
      </c>
      <c r="B451" s="1">
        <v>2020</v>
      </c>
      <c r="C451" s="1">
        <v>28435.943360000001</v>
      </c>
      <c r="D451" s="1">
        <v>88.278999330000005</v>
      </c>
      <c r="E451" s="1">
        <v>93.685800709999995</v>
      </c>
      <c r="F451" s="1">
        <v>0.4707829181</v>
      </c>
      <c r="G451" s="1">
        <v>5.8434163730000002</v>
      </c>
      <c r="H451" s="1" t="s">
        <v>272</v>
      </c>
      <c r="I451" s="1" t="s">
        <v>272</v>
      </c>
      <c r="J451" s="1" t="s">
        <v>272</v>
      </c>
      <c r="K451" s="1" t="s">
        <v>272</v>
      </c>
      <c r="L451" s="1" t="s">
        <v>272</v>
      </c>
      <c r="M451" s="1" t="s">
        <v>272</v>
      </c>
      <c r="N451" s="1" t="s">
        <v>272</v>
      </c>
      <c r="O451" s="1" t="s">
        <v>272</v>
      </c>
      <c r="P451" s="1" t="s">
        <v>272</v>
      </c>
      <c r="Q451" s="2" t="str">
        <f t="shared" si="11"/>
        <v/>
      </c>
      <c r="R451" s="1" t="str">
        <f t="shared" si="12"/>
        <v/>
      </c>
      <c r="S451" s="1" t="str">
        <f t="shared" si="13"/>
        <v/>
      </c>
      <c r="T451" s="1" t="str">
        <f t="shared" si="14"/>
        <v/>
      </c>
      <c r="U451" s="1">
        <f t="shared" si="15"/>
        <v>94</v>
      </c>
      <c r="V451" s="3" t="str">
        <f t="shared" si="16"/>
        <v>null</v>
      </c>
      <c r="W451" s="3" t="str">
        <f t="shared" si="17"/>
        <v>null</v>
      </c>
      <c r="X451" s="3" t="str">
        <f t="shared" si="18"/>
        <v/>
      </c>
      <c r="Y451" s="3" t="str">
        <f t="shared" si="19"/>
        <v/>
      </c>
      <c r="Z451" s="1" t="str">
        <f t="shared" si="20"/>
        <v/>
      </c>
      <c r="AA451" s="3" t="str">
        <f t="shared" si="21"/>
        <v/>
      </c>
      <c r="AB451" s="3" t="str">
        <f>LOOKUP($A451,Sheet2!$A$1:$B$233)</f>
        <v>Latin America &amp; Caribbean</v>
      </c>
    </row>
    <row r="452" spans="1:28">
      <c r="A452" s="1" t="s">
        <v>266</v>
      </c>
      <c r="B452" s="1">
        <v>2015</v>
      </c>
      <c r="C452" s="1">
        <v>92677.078129999994</v>
      </c>
      <c r="D452" s="1">
        <v>33.80900192</v>
      </c>
      <c r="E452" s="1">
        <v>93.328060579999999</v>
      </c>
      <c r="F452" s="1">
        <v>5.2071837849999997E-2</v>
      </c>
      <c r="G452" s="1">
        <v>6.1636180359999999</v>
      </c>
      <c r="H452" s="1">
        <v>0.45624954629999998</v>
      </c>
      <c r="I452" s="1">
        <v>90.833067990000004</v>
      </c>
      <c r="J452" s="1">
        <v>0</v>
      </c>
      <c r="K452" s="1">
        <v>8.4776395650000005</v>
      </c>
      <c r="L452" s="1">
        <v>0.68929244290000002</v>
      </c>
      <c r="M452" s="1">
        <v>98.212743520000004</v>
      </c>
      <c r="N452" s="1">
        <v>0.15401768120000001</v>
      </c>
      <c r="O452" s="1">
        <v>1.6332387960000001</v>
      </c>
      <c r="P452" s="1">
        <v>0</v>
      </c>
      <c r="Q452" s="2">
        <f t="shared" si="11"/>
        <v>5</v>
      </c>
      <c r="R452" s="1">
        <f t="shared" si="12"/>
        <v>0.71125925800000123</v>
      </c>
      <c r="S452" s="1">
        <f t="shared" si="13"/>
        <v>0.93629408999999841</v>
      </c>
      <c r="T452" s="1">
        <f t="shared" si="14"/>
        <v>0.1940592979999991</v>
      </c>
      <c r="U452" s="1">
        <f t="shared" si="15"/>
        <v>93</v>
      </c>
      <c r="V452" s="3">
        <f t="shared" si="16"/>
        <v>91</v>
      </c>
      <c r="W452" s="3">
        <f t="shared" si="17"/>
        <v>98</v>
      </c>
      <c r="X452" s="3" t="str">
        <f t="shared" si="18"/>
        <v/>
      </c>
      <c r="Y452" s="3" t="str">
        <f t="shared" si="19"/>
        <v/>
      </c>
      <c r="Z452" s="1" t="str">
        <f t="shared" si="20"/>
        <v/>
      </c>
      <c r="AA452" s="3">
        <f t="shared" si="21"/>
        <v>0.74223479199999931</v>
      </c>
      <c r="AB452" s="3" t="str">
        <f>LOOKUP($A452,Sheet2!$A$1:$B$233)</f>
        <v>East Asia &amp; Pacific</v>
      </c>
    </row>
    <row r="453" spans="1:28">
      <c r="A453" s="1" t="s">
        <v>266</v>
      </c>
      <c r="B453" s="1">
        <v>2020</v>
      </c>
      <c r="C453" s="1">
        <v>97338.585940000004</v>
      </c>
      <c r="D453" s="1">
        <v>37.340000150000002</v>
      </c>
      <c r="E453" s="1">
        <v>96.884356870000005</v>
      </c>
      <c r="F453" s="1">
        <v>0</v>
      </c>
      <c r="G453" s="1">
        <v>3.1156431260000002</v>
      </c>
      <c r="H453" s="1">
        <v>0</v>
      </c>
      <c r="I453" s="1">
        <v>95.514538439999995</v>
      </c>
      <c r="J453" s="1">
        <v>0</v>
      </c>
      <c r="K453" s="1">
        <v>4.4854615600000001</v>
      </c>
      <c r="L453" s="1">
        <v>0</v>
      </c>
      <c r="M453" s="1">
        <v>99.183040009999999</v>
      </c>
      <c r="N453" s="1">
        <v>0</v>
      </c>
      <c r="O453" s="1">
        <v>0.81695998700000005</v>
      </c>
      <c r="P453" s="1">
        <v>0</v>
      </c>
      <c r="Q453" s="2" t="str">
        <f t="shared" si="11"/>
        <v/>
      </c>
      <c r="R453" s="1" t="str">
        <f t="shared" si="12"/>
        <v/>
      </c>
      <c r="S453" s="1" t="str">
        <f t="shared" si="13"/>
        <v/>
      </c>
      <c r="T453" s="1" t="str">
        <f t="shared" si="14"/>
        <v/>
      </c>
      <c r="U453" s="1">
        <f t="shared" si="15"/>
        <v>97</v>
      </c>
      <c r="V453" s="3">
        <f t="shared" si="16"/>
        <v>96</v>
      </c>
      <c r="W453" s="3">
        <f t="shared" si="17"/>
        <v>99</v>
      </c>
      <c r="X453" s="3" t="str">
        <f t="shared" si="18"/>
        <v/>
      </c>
      <c r="Y453" s="3" t="str">
        <f t="shared" si="19"/>
        <v/>
      </c>
      <c r="Z453" s="1" t="str">
        <f t="shared" si="20"/>
        <v/>
      </c>
      <c r="AA453" s="3" t="str">
        <f t="shared" si="21"/>
        <v/>
      </c>
      <c r="AB453" s="3" t="str">
        <f>LOOKUP($A453,Sheet2!$A$1:$B$233)</f>
        <v>East Asia &amp; Pacific</v>
      </c>
    </row>
    <row r="454" spans="1:28">
      <c r="A454" s="1" t="s">
        <v>267</v>
      </c>
      <c r="B454" s="1">
        <v>2015</v>
      </c>
      <c r="C454" s="1">
        <v>12.26200008</v>
      </c>
      <c r="D454" s="1">
        <v>0</v>
      </c>
      <c r="E454" s="1">
        <v>99.321381529999996</v>
      </c>
      <c r="F454" s="1">
        <v>0</v>
      </c>
      <c r="G454" s="1">
        <v>0.67861847409999998</v>
      </c>
      <c r="H454" s="1">
        <v>0</v>
      </c>
      <c r="I454" s="1">
        <v>99.321381529999996</v>
      </c>
      <c r="J454" s="1">
        <v>0</v>
      </c>
      <c r="K454" s="1">
        <v>0.67861847409999998</v>
      </c>
      <c r="L454" s="1">
        <v>0</v>
      </c>
      <c r="M454" s="1" t="s">
        <v>272</v>
      </c>
      <c r="N454" s="1" t="s">
        <v>272</v>
      </c>
      <c r="O454" s="1" t="s">
        <v>272</v>
      </c>
      <c r="P454" s="1" t="s">
        <v>272</v>
      </c>
      <c r="Q454" s="2">
        <f t="shared" si="11"/>
        <v>5</v>
      </c>
      <c r="R454" s="1">
        <f t="shared" si="12"/>
        <v>-3.5618833999998857E-2</v>
      </c>
      <c r="S454" s="1">
        <f t="shared" si="13"/>
        <v>-3.5618833999998857E-2</v>
      </c>
      <c r="T454" s="1" t="str">
        <f t="shared" si="14"/>
        <v>null</v>
      </c>
      <c r="U454" s="1">
        <f t="shared" si="15"/>
        <v>99</v>
      </c>
      <c r="V454" s="3">
        <f t="shared" si="16"/>
        <v>99</v>
      </c>
      <c r="W454" s="3" t="str">
        <f t="shared" si="17"/>
        <v>null</v>
      </c>
      <c r="X454" s="3" t="str">
        <f t="shared" si="18"/>
        <v/>
      </c>
      <c r="Y454" s="3" t="str">
        <f t="shared" si="19"/>
        <v/>
      </c>
      <c r="Z454" s="1" t="str">
        <f t="shared" si="20"/>
        <v/>
      </c>
      <c r="AA454" s="3" t="str">
        <f t="shared" si="21"/>
        <v>null</v>
      </c>
      <c r="AB454" s="3" t="str">
        <f>LOOKUP($A454,Sheet2!$A$1:$B$233)</f>
        <v>East Asia &amp; Pacific</v>
      </c>
    </row>
    <row r="455" spans="1:28">
      <c r="A455" s="1" t="s">
        <v>267</v>
      </c>
      <c r="B455" s="1">
        <v>2020</v>
      </c>
      <c r="C455" s="1">
        <v>11.24600029</v>
      </c>
      <c r="D455" s="1">
        <v>0</v>
      </c>
      <c r="E455" s="1">
        <v>99.143287360000002</v>
      </c>
      <c r="F455" s="1">
        <v>0</v>
      </c>
      <c r="G455" s="1">
        <v>0.85671263900000005</v>
      </c>
      <c r="H455" s="1">
        <v>0</v>
      </c>
      <c r="I455" s="1">
        <v>99.143287360000002</v>
      </c>
      <c r="J455" s="1">
        <v>0</v>
      </c>
      <c r="K455" s="1">
        <v>0.85671263900000005</v>
      </c>
      <c r="L455" s="1">
        <v>0</v>
      </c>
      <c r="M455" s="1" t="s">
        <v>272</v>
      </c>
      <c r="N455" s="1" t="s">
        <v>272</v>
      </c>
      <c r="O455" s="1" t="s">
        <v>272</v>
      </c>
      <c r="P455" s="1" t="s">
        <v>272</v>
      </c>
      <c r="Q455" s="2" t="str">
        <f t="shared" si="11"/>
        <v/>
      </c>
      <c r="R455" s="1" t="str">
        <f t="shared" si="12"/>
        <v/>
      </c>
      <c r="S455" s="1" t="str">
        <f t="shared" si="13"/>
        <v/>
      </c>
      <c r="T455" s="1" t="str">
        <f t="shared" si="14"/>
        <v/>
      </c>
      <c r="U455" s="1">
        <f t="shared" si="15"/>
        <v>99</v>
      </c>
      <c r="V455" s="3">
        <f t="shared" si="16"/>
        <v>99</v>
      </c>
      <c r="W455" s="3" t="str">
        <f t="shared" si="17"/>
        <v>null</v>
      </c>
      <c r="X455" s="3" t="str">
        <f t="shared" si="18"/>
        <v/>
      </c>
      <c r="Y455" s="3" t="str">
        <f t="shared" si="19"/>
        <v/>
      </c>
      <c r="Z455" s="1" t="str">
        <f t="shared" si="20"/>
        <v/>
      </c>
      <c r="AA455" s="3" t="str">
        <f t="shared" si="21"/>
        <v/>
      </c>
      <c r="AB455" s="3" t="str">
        <f>LOOKUP($A455,Sheet2!$A$1:$B$233)</f>
        <v>East Asia &amp; Pacific</v>
      </c>
    </row>
    <row r="456" spans="1:28">
      <c r="A456" s="1" t="s">
        <v>268</v>
      </c>
      <c r="B456" s="1">
        <v>2015</v>
      </c>
      <c r="C456" s="1">
        <v>4529.1601559999999</v>
      </c>
      <c r="D456" s="1">
        <v>75.367996219999995</v>
      </c>
      <c r="E456" s="1">
        <v>96.379856709999999</v>
      </c>
      <c r="F456" s="1">
        <v>0.58753466440000002</v>
      </c>
      <c r="G456" s="1">
        <v>3.0326086220000001</v>
      </c>
      <c r="H456" s="1" t="s">
        <v>272</v>
      </c>
      <c r="I456" s="1">
        <v>95.381142350000005</v>
      </c>
      <c r="J456" s="1">
        <v>0.99273120920000002</v>
      </c>
      <c r="K456" s="1">
        <v>3.6261264409999998</v>
      </c>
      <c r="L456" s="1" t="s">
        <v>272</v>
      </c>
      <c r="M456" s="1">
        <v>96.706259619999997</v>
      </c>
      <c r="N456" s="1">
        <v>0.45510708030000002</v>
      </c>
      <c r="O456" s="1">
        <v>2.838633298</v>
      </c>
      <c r="P456" s="1" t="s">
        <v>272</v>
      </c>
      <c r="Q456" s="2">
        <f t="shared" si="11"/>
        <v>5</v>
      </c>
      <c r="R456" s="1">
        <f t="shared" si="12"/>
        <v>0.30010810200000149</v>
      </c>
      <c r="S456" s="1">
        <f t="shared" si="13"/>
        <v>0.66688281399999882</v>
      </c>
      <c r="T456" s="1">
        <f t="shared" si="14"/>
        <v>0.18414096200000074</v>
      </c>
      <c r="U456" s="1">
        <f t="shared" si="15"/>
        <v>96</v>
      </c>
      <c r="V456" s="3">
        <f t="shared" si="16"/>
        <v>95</v>
      </c>
      <c r="W456" s="3">
        <f t="shared" si="17"/>
        <v>97</v>
      </c>
      <c r="X456" s="3" t="str">
        <f t="shared" si="18"/>
        <v/>
      </c>
      <c r="Y456" s="3" t="str">
        <f t="shared" si="19"/>
        <v/>
      </c>
      <c r="Z456" s="1" t="str">
        <f t="shared" si="20"/>
        <v/>
      </c>
      <c r="AA456" s="3">
        <f t="shared" si="21"/>
        <v>0.48274185199999808</v>
      </c>
      <c r="AB456" s="3" t="str">
        <f>LOOKUP($A456,Sheet2!$A$1:$B$233)</f>
        <v>Europe &amp; Central Asia</v>
      </c>
    </row>
    <row r="457" spans="1:28">
      <c r="A457" s="1" t="s">
        <v>268</v>
      </c>
      <c r="B457" s="1">
        <v>2020</v>
      </c>
      <c r="C457" s="1">
        <v>5101.4160160000001</v>
      </c>
      <c r="D457" s="1">
        <v>76.718994140000007</v>
      </c>
      <c r="E457" s="1">
        <v>97.880397220000006</v>
      </c>
      <c r="F457" s="1">
        <v>1.029979486</v>
      </c>
      <c r="G457" s="1">
        <v>1.089623295</v>
      </c>
      <c r="H457" s="1" t="s">
        <v>272</v>
      </c>
      <c r="I457" s="1">
        <v>98.715556419999999</v>
      </c>
      <c r="J457" s="1">
        <v>0.31740062730000002</v>
      </c>
      <c r="K457" s="1">
        <v>0.96704295760000003</v>
      </c>
      <c r="L457" s="1" t="s">
        <v>272</v>
      </c>
      <c r="M457" s="1">
        <v>97.626964430000001</v>
      </c>
      <c r="N457" s="1">
        <v>1.246217358</v>
      </c>
      <c r="O457" s="1">
        <v>1.126818208</v>
      </c>
      <c r="P457" s="1" t="s">
        <v>272</v>
      </c>
      <c r="Q457" s="2" t="str">
        <f t="shared" si="11"/>
        <v/>
      </c>
      <c r="R457" s="1" t="str">
        <f t="shared" si="12"/>
        <v/>
      </c>
      <c r="S457" s="1" t="str">
        <f t="shared" si="13"/>
        <v/>
      </c>
      <c r="T457" s="1" t="str">
        <f t="shared" si="14"/>
        <v/>
      </c>
      <c r="U457" s="1">
        <f t="shared" si="15"/>
        <v>98</v>
      </c>
      <c r="V457" s="3">
        <f t="shared" si="16"/>
        <v>99</v>
      </c>
      <c r="W457" s="3">
        <f t="shared" si="17"/>
        <v>98</v>
      </c>
      <c r="X457" s="3" t="str">
        <f t="shared" si="18"/>
        <v/>
      </c>
      <c r="Y457" s="3" t="str">
        <f t="shared" si="19"/>
        <v/>
      </c>
      <c r="Z457" s="1" t="str">
        <f t="shared" si="20"/>
        <v/>
      </c>
      <c r="AA457" s="3" t="str">
        <f t="shared" si="21"/>
        <v/>
      </c>
      <c r="AB457" s="3" t="str">
        <f>LOOKUP($A457,Sheet2!$A$1:$B$233)</f>
        <v>Europe &amp; Central Asia</v>
      </c>
    </row>
    <row r="458" spans="1:28">
      <c r="A458" s="1" t="s">
        <v>269</v>
      </c>
      <c r="B458" s="1">
        <v>2015</v>
      </c>
      <c r="C458" s="1">
        <v>26497.880860000001</v>
      </c>
      <c r="D458" s="1">
        <v>34.777000430000001</v>
      </c>
      <c r="E458" s="1">
        <v>55.778868629999998</v>
      </c>
      <c r="F458" s="1">
        <v>26.035606600000001</v>
      </c>
      <c r="G458" s="1">
        <v>14.70974567</v>
      </c>
      <c r="H458" s="1">
        <v>3.4757790979999998</v>
      </c>
      <c r="I458" s="1">
        <v>44.958268160000003</v>
      </c>
      <c r="J458" s="1">
        <v>28.794611020000001</v>
      </c>
      <c r="K458" s="1">
        <v>21.10381293</v>
      </c>
      <c r="L458" s="1">
        <v>5.1433078959999996</v>
      </c>
      <c r="M458" s="1">
        <v>76.072511899999995</v>
      </c>
      <c r="N458" s="1">
        <v>20.861194009999998</v>
      </c>
      <c r="O458" s="1">
        <v>2.7179047039999999</v>
      </c>
      <c r="P458" s="1">
        <v>0.3483893924</v>
      </c>
      <c r="Q458" s="2">
        <f t="shared" si="11"/>
        <v>5</v>
      </c>
      <c r="R458" s="1">
        <f t="shared" si="12"/>
        <v>0.97694024200000062</v>
      </c>
      <c r="S458" s="1">
        <f t="shared" si="13"/>
        <v>1.1446132419999997</v>
      </c>
      <c r="T458" s="1">
        <f t="shared" si="14"/>
        <v>0.18832348800000034</v>
      </c>
      <c r="U458" s="1">
        <f t="shared" si="15"/>
        <v>56</v>
      </c>
      <c r="V458" s="3">
        <f t="shared" si="16"/>
        <v>45</v>
      </c>
      <c r="W458" s="3">
        <f t="shared" si="17"/>
        <v>76</v>
      </c>
      <c r="X458" s="3" t="str">
        <f t="shared" si="18"/>
        <v/>
      </c>
      <c r="Y458" s="3" t="str">
        <f t="shared" si="19"/>
        <v/>
      </c>
      <c r="Z458" s="1" t="str">
        <f t="shared" si="20"/>
        <v/>
      </c>
      <c r="AA458" s="3">
        <f t="shared" si="21"/>
        <v>0.95628975399999938</v>
      </c>
      <c r="AB458" s="3" t="str">
        <f>LOOKUP($A458,Sheet2!$A$1:$B$233)</f>
        <v>Europe &amp; Central Asia</v>
      </c>
    </row>
    <row r="459" spans="1:28">
      <c r="A459" s="1" t="s">
        <v>269</v>
      </c>
      <c r="B459" s="1">
        <v>2020</v>
      </c>
      <c r="C459" s="1">
        <v>29825.96875</v>
      </c>
      <c r="D459" s="1">
        <v>37.907997129999998</v>
      </c>
      <c r="E459" s="1">
        <v>60.663569840000001</v>
      </c>
      <c r="F459" s="1">
        <v>28.9627418</v>
      </c>
      <c r="G459" s="1">
        <v>7.77785276</v>
      </c>
      <c r="H459" s="1">
        <v>2.595835594</v>
      </c>
      <c r="I459" s="1">
        <v>50.681334370000002</v>
      </c>
      <c r="J459" s="1">
        <v>33.53021373</v>
      </c>
      <c r="K459" s="1">
        <v>11.60782393</v>
      </c>
      <c r="L459" s="1">
        <v>4.1806279780000004</v>
      </c>
      <c r="M459" s="1">
        <v>77.014129339999997</v>
      </c>
      <c r="N459" s="1">
        <v>21.481379369999999</v>
      </c>
      <c r="O459" s="1">
        <v>1.5044912859999999</v>
      </c>
      <c r="P459" s="1">
        <v>0</v>
      </c>
      <c r="Q459" s="2" t="str">
        <f t="shared" si="11"/>
        <v/>
      </c>
      <c r="R459" s="1" t="str">
        <f t="shared" si="12"/>
        <v/>
      </c>
      <c r="S459" s="1" t="str">
        <f t="shared" si="13"/>
        <v/>
      </c>
      <c r="T459" s="1" t="str">
        <f t="shared" si="14"/>
        <v/>
      </c>
      <c r="U459" s="1">
        <f t="shared" si="15"/>
        <v>61</v>
      </c>
      <c r="V459" s="3">
        <f t="shared" si="16"/>
        <v>51</v>
      </c>
      <c r="W459" s="3">
        <f t="shared" si="17"/>
        <v>77</v>
      </c>
      <c r="X459" s="3" t="str">
        <f t="shared" si="18"/>
        <v/>
      </c>
      <c r="Y459" s="3" t="str">
        <f t="shared" si="19"/>
        <v/>
      </c>
      <c r="Z459" s="1" t="str">
        <f t="shared" si="20"/>
        <v/>
      </c>
      <c r="AA459" s="3" t="str">
        <f t="shared" si="21"/>
        <v/>
      </c>
      <c r="AB459" s="3" t="str">
        <f>LOOKUP($A459,Sheet2!$A$1:$B$233)</f>
        <v>Europe &amp; Central Asia</v>
      </c>
    </row>
    <row r="460" spans="1:28">
      <c r="A460" s="1" t="s">
        <v>270</v>
      </c>
      <c r="B460" s="1">
        <v>2015</v>
      </c>
      <c r="C460" s="1">
        <v>15879.37012</v>
      </c>
      <c r="D460" s="1">
        <v>41.9070015</v>
      </c>
      <c r="E460" s="1">
        <v>61.338746280000002</v>
      </c>
      <c r="F460" s="1">
        <v>5.6539172300000002</v>
      </c>
      <c r="G460" s="1">
        <v>23.3359001</v>
      </c>
      <c r="H460" s="1">
        <v>9.6714363920000004</v>
      </c>
      <c r="I460" s="1">
        <v>43.616834320000002</v>
      </c>
      <c r="J460" s="1">
        <v>7.2108648679999998</v>
      </c>
      <c r="K460" s="1">
        <v>33.257219489999997</v>
      </c>
      <c r="L460" s="1">
        <v>15.915081320000001</v>
      </c>
      <c r="M460" s="1">
        <v>85.90549729</v>
      </c>
      <c r="N460" s="1">
        <v>3.495619671</v>
      </c>
      <c r="O460" s="1">
        <v>9.5826138469999993</v>
      </c>
      <c r="P460" s="1">
        <v>1.0162691930000001</v>
      </c>
      <c r="Q460" s="2">
        <f t="shared" si="11"/>
        <v>5</v>
      </c>
      <c r="R460" s="1">
        <f t="shared" si="12"/>
        <v>0.81472745800000013</v>
      </c>
      <c r="S460" s="1">
        <f t="shared" si="13"/>
        <v>0.9220908019999996</v>
      </c>
      <c r="T460" s="1">
        <f t="shared" si="14"/>
        <v>0.16567147400000123</v>
      </c>
      <c r="U460" s="1">
        <f t="shared" si="15"/>
        <v>61</v>
      </c>
      <c r="V460" s="3">
        <f t="shared" si="16"/>
        <v>44</v>
      </c>
      <c r="W460" s="3">
        <f t="shared" si="17"/>
        <v>86</v>
      </c>
      <c r="X460" s="3" t="str">
        <f t="shared" si="18"/>
        <v/>
      </c>
      <c r="Y460" s="3" t="str">
        <f t="shared" si="19"/>
        <v/>
      </c>
      <c r="Z460" s="1" t="str">
        <f t="shared" si="20"/>
        <v/>
      </c>
      <c r="AA460" s="3">
        <f t="shared" si="21"/>
        <v>0.75641932799999834</v>
      </c>
      <c r="AB460" s="3" t="str">
        <f>LOOKUP($A460,Sheet2!$A$1:$B$233)</f>
        <v>Sub-Saharan Africa</v>
      </c>
    </row>
    <row r="461" spans="1:28">
      <c r="A461" s="1" t="s">
        <v>270</v>
      </c>
      <c r="B461" s="1">
        <v>2020</v>
      </c>
      <c r="C461" s="1">
        <v>18383.95508</v>
      </c>
      <c r="D461" s="1">
        <v>44.6289978</v>
      </c>
      <c r="E461" s="1">
        <v>65.412383570000003</v>
      </c>
      <c r="F461" s="1">
        <v>6.1539390200000001</v>
      </c>
      <c r="G461" s="1">
        <v>21.576840709999999</v>
      </c>
      <c r="H461" s="1">
        <v>6.8568367060000002</v>
      </c>
      <c r="I461" s="1">
        <v>48.22728833</v>
      </c>
      <c r="J461" s="1">
        <v>8.3317036130000002</v>
      </c>
      <c r="K461" s="1">
        <v>31.608654439999999</v>
      </c>
      <c r="L461" s="1">
        <v>11.832353619999999</v>
      </c>
      <c r="M461" s="1">
        <v>86.733854660000006</v>
      </c>
      <c r="N461" s="1">
        <v>3.4519961939999999</v>
      </c>
      <c r="O461" s="1">
        <v>9.1304141049999998</v>
      </c>
      <c r="P461" s="1">
        <v>0.68373504630000004</v>
      </c>
      <c r="Q461" s="2" t="str">
        <f t="shared" si="11"/>
        <v/>
      </c>
      <c r="R461" s="1" t="str">
        <f t="shared" si="12"/>
        <v/>
      </c>
      <c r="S461" s="1" t="str">
        <f t="shared" si="13"/>
        <v/>
      </c>
      <c r="T461" s="1" t="str">
        <f t="shared" si="14"/>
        <v/>
      </c>
      <c r="U461" s="1">
        <f t="shared" si="15"/>
        <v>65</v>
      </c>
      <c r="V461" s="3">
        <f t="shared" si="16"/>
        <v>48</v>
      </c>
      <c r="W461" s="3">
        <f t="shared" si="17"/>
        <v>87</v>
      </c>
      <c r="X461" s="3" t="str">
        <f t="shared" si="18"/>
        <v/>
      </c>
      <c r="Y461" s="3" t="str">
        <f t="shared" si="19"/>
        <v/>
      </c>
      <c r="Z461" s="1" t="str">
        <f t="shared" si="20"/>
        <v/>
      </c>
      <c r="AA461" s="3" t="str">
        <f t="shared" si="21"/>
        <v/>
      </c>
      <c r="AB461" s="3" t="str">
        <f>LOOKUP($A461,Sheet2!$A$1:$B$233)</f>
        <v>Sub-Saharan Africa</v>
      </c>
    </row>
    <row r="462" spans="1:28">
      <c r="A462" s="1" t="s">
        <v>271</v>
      </c>
      <c r="B462" s="1">
        <v>2015</v>
      </c>
      <c r="C462" s="1">
        <v>13814.641600000001</v>
      </c>
      <c r="D462" s="1">
        <v>32.384998320000001</v>
      </c>
      <c r="E462" s="1">
        <v>64.954929109999995</v>
      </c>
      <c r="F462" s="1">
        <v>12.456764769999999</v>
      </c>
      <c r="G462" s="1">
        <v>15.89884206</v>
      </c>
      <c r="H462" s="1">
        <v>6.6894640550000002</v>
      </c>
      <c r="I462" s="1">
        <v>51.25006071</v>
      </c>
      <c r="J462" s="1">
        <v>16.396726579999999</v>
      </c>
      <c r="K462" s="1">
        <v>22.514468619999999</v>
      </c>
      <c r="L462" s="1">
        <v>9.8387440880000003</v>
      </c>
      <c r="M462" s="1">
        <v>93.568635740000005</v>
      </c>
      <c r="N462" s="1">
        <v>4.2307197299999997</v>
      </c>
      <c r="O462" s="1">
        <v>2.086401773</v>
      </c>
      <c r="P462" s="1">
        <v>0.11424275640000001</v>
      </c>
      <c r="Q462" s="2">
        <f t="shared" si="11"/>
        <v>5</v>
      </c>
      <c r="R462" s="1">
        <f t="shared" si="12"/>
        <v>-0.45769429999999856</v>
      </c>
      <c r="S462" s="1">
        <f t="shared" si="13"/>
        <v>-0.59352637199999947</v>
      </c>
      <c r="T462" s="1">
        <f t="shared" si="14"/>
        <v>-0.13470135800000094</v>
      </c>
      <c r="U462" s="1">
        <f t="shared" si="15"/>
        <v>65</v>
      </c>
      <c r="V462" s="3">
        <f t="shared" si="16"/>
        <v>51</v>
      </c>
      <c r="W462" s="3">
        <f t="shared" si="17"/>
        <v>94</v>
      </c>
      <c r="X462" s="3" t="str">
        <f t="shared" si="18"/>
        <v/>
      </c>
      <c r="Y462" s="3" t="str">
        <f t="shared" si="19"/>
        <v/>
      </c>
      <c r="Z462" s="1" t="str">
        <f t="shared" si="20"/>
        <v/>
      </c>
      <c r="AA462" s="3">
        <f t="shared" si="21"/>
        <v>-0.45882501399999853</v>
      </c>
      <c r="AB462" s="3" t="str">
        <f>LOOKUP($A462,Sheet2!$A$1:$B$233)</f>
        <v>Sub-Saharan Africa</v>
      </c>
    </row>
    <row r="463" spans="1:28">
      <c r="A463" s="1" t="s">
        <v>271</v>
      </c>
      <c r="B463" s="1">
        <v>2020</v>
      </c>
      <c r="C463" s="1">
        <v>14862.92676</v>
      </c>
      <c r="D463" s="1">
        <v>32.242000580000003</v>
      </c>
      <c r="E463" s="1">
        <v>62.666457610000002</v>
      </c>
      <c r="F463" s="1">
        <v>14.1975397</v>
      </c>
      <c r="G463" s="1">
        <v>16.277855450000001</v>
      </c>
      <c r="H463" s="1">
        <v>6.8581472420000003</v>
      </c>
      <c r="I463" s="1">
        <v>48.282428850000002</v>
      </c>
      <c r="J463" s="1">
        <v>18.590984670000001</v>
      </c>
      <c r="K463" s="1">
        <v>23.013646550000001</v>
      </c>
      <c r="L463" s="1">
        <v>10.112939920000001</v>
      </c>
      <c r="M463" s="1">
        <v>92.89512895</v>
      </c>
      <c r="N463" s="1">
        <v>4.9645177570000003</v>
      </c>
      <c r="O463" s="1">
        <v>2.1222986740000001</v>
      </c>
      <c r="P463" s="1">
        <v>1.805461538E-2</v>
      </c>
      <c r="Q463" s="2" t="str">
        <f t="shared" si="11"/>
        <v/>
      </c>
      <c r="R463" s="1" t="str">
        <f t="shared" si="12"/>
        <v/>
      </c>
      <c r="S463" s="1" t="str">
        <f t="shared" si="13"/>
        <v/>
      </c>
      <c r="T463" s="1" t="str">
        <f t="shared" si="14"/>
        <v/>
      </c>
      <c r="U463" s="1">
        <f t="shared" si="15"/>
        <v>63</v>
      </c>
      <c r="V463" s="3">
        <f t="shared" si="16"/>
        <v>48</v>
      </c>
      <c r="W463" s="3">
        <f t="shared" si="17"/>
        <v>93</v>
      </c>
      <c r="X463" s="3" t="str">
        <f t="shared" si="18"/>
        <v/>
      </c>
      <c r="Y463" s="3" t="str">
        <f t="shared" si="19"/>
        <v/>
      </c>
      <c r="Z463" s="1" t="str">
        <f t="shared" si="20"/>
        <v/>
      </c>
      <c r="AA463" s="3" t="str">
        <f t="shared" si="21"/>
        <v/>
      </c>
      <c r="AB463" s="3" t="str">
        <f>LOOKUP($A463,Sheet2!$A$1:$B$233)</f>
        <v>Sub-Saharan Africa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"/>
  <sheetViews>
    <sheetView showGridLines="0" tabSelected="1" workbookViewId="0"/>
  </sheetViews>
  <sheetFormatPr defaultColWidth="12.6328125" defaultRowHeight="15.75" customHeight="1"/>
  <cols>
    <col min="1" max="1" width="20.90625" customWidth="1"/>
    <col min="2" max="2" width="14.36328125" customWidth="1"/>
    <col min="3" max="3" width="16.6328125" customWidth="1"/>
    <col min="4" max="4" width="16.26953125" customWidth="1"/>
    <col min="5" max="5" width="16.6328125" customWidth="1"/>
  </cols>
  <sheetData>
    <row r="1" spans="1:4" ht="15.75" customHeight="1">
      <c r="A1" s="8"/>
      <c r="B1" s="9" t="s">
        <v>292</v>
      </c>
      <c r="C1" s="10"/>
      <c r="D1" s="11"/>
    </row>
    <row r="2" spans="1:4" ht="15.75" customHeight="1">
      <c r="A2" s="9" t="s">
        <v>53</v>
      </c>
      <c r="B2" s="8" t="s">
        <v>208</v>
      </c>
      <c r="C2" s="12" t="s">
        <v>210</v>
      </c>
      <c r="D2" s="13" t="s">
        <v>212</v>
      </c>
    </row>
    <row r="3" spans="1:4" ht="15.75" customHeight="1">
      <c r="A3" s="8" t="s">
        <v>22</v>
      </c>
      <c r="B3" s="14">
        <v>0.27843490218750017</v>
      </c>
      <c r="C3" s="15">
        <v>0.50779480174999969</v>
      </c>
      <c r="D3" s="16">
        <v>0.23295792118518513</v>
      </c>
    </row>
    <row r="4" spans="1:4" ht="15.75" customHeight="1">
      <c r="A4" s="17" t="s">
        <v>15</v>
      </c>
      <c r="B4" s="18">
        <v>0.11168578069841299</v>
      </c>
      <c r="C4" s="19">
        <v>0.2244097083265307</v>
      </c>
      <c r="D4" s="20">
        <v>4.6995216415094437E-2</v>
      </c>
    </row>
    <row r="5" spans="1:4" ht="15.75" customHeight="1">
      <c r="A5" s="17" t="s">
        <v>30</v>
      </c>
      <c r="B5" s="18">
        <v>0.14442485348936188</v>
      </c>
      <c r="C5" s="19">
        <v>0.68031449695652146</v>
      </c>
      <c r="D5" s="20">
        <v>7.1521594482758646E-2</v>
      </c>
    </row>
    <row r="6" spans="1:4" ht="15.75" customHeight="1">
      <c r="A6" s="17" t="s">
        <v>18</v>
      </c>
      <c r="B6" s="18">
        <v>0.34556302339999972</v>
      </c>
      <c r="C6" s="19">
        <v>0.7369872289999998</v>
      </c>
      <c r="D6" s="20">
        <v>0.12397804499999905</v>
      </c>
    </row>
    <row r="7" spans="1:4" ht="15.75" customHeight="1">
      <c r="A7" s="17" t="s">
        <v>58</v>
      </c>
      <c r="B7" s="18">
        <v>1.7158395600000063E-2</v>
      </c>
      <c r="C7" s="19">
        <v>0.1423313100000011</v>
      </c>
      <c r="D7" s="20">
        <v>2.0331735000006291E-3</v>
      </c>
    </row>
    <row r="8" spans="1:4" ht="15.75" customHeight="1">
      <c r="A8" s="17" t="s">
        <v>12</v>
      </c>
      <c r="B8" s="18">
        <v>0.25322079139999942</v>
      </c>
      <c r="C8" s="19">
        <v>0.34827082560000011</v>
      </c>
      <c r="D8" s="20">
        <v>2.5216354800000718E-2</v>
      </c>
    </row>
    <row r="9" spans="1:4" ht="15.75" customHeight="1">
      <c r="A9" s="17" t="s">
        <v>28</v>
      </c>
      <c r="B9" s="18">
        <v>0.55828082074528296</v>
      </c>
      <c r="C9" s="19">
        <v>0.60421592220408171</v>
      </c>
      <c r="D9" s="20">
        <v>0.27036667089795918</v>
      </c>
    </row>
    <row r="10" spans="1:4" ht="15.75" customHeight="1">
      <c r="A10" s="17" t="s">
        <v>293</v>
      </c>
      <c r="B10" s="18">
        <v>2.7503264880000002</v>
      </c>
      <c r="C10" s="19">
        <v>2.6678826380000005</v>
      </c>
      <c r="D10" s="20">
        <v>2.6682118559999992</v>
      </c>
    </row>
    <row r="11" spans="1:4" ht="15.75" customHeight="1">
      <c r="A11" s="21" t="s">
        <v>228</v>
      </c>
      <c r="B11" s="22">
        <v>0.27674414191703056</v>
      </c>
      <c r="C11" s="23">
        <v>0.48449369595209568</v>
      </c>
      <c r="D11" s="24">
        <v>0.15482340283977902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5"/>
  <sheetViews>
    <sheetView workbookViewId="0"/>
  </sheetViews>
  <sheetFormatPr defaultColWidth="12.6328125" defaultRowHeight="15.75" customHeight="1"/>
  <cols>
    <col min="1" max="1" width="47.7265625" customWidth="1"/>
  </cols>
  <sheetData>
    <row r="1" spans="1:4" ht="15.75" customHeight="1">
      <c r="B1" s="1" t="s">
        <v>276</v>
      </c>
      <c r="C1" s="1" t="s">
        <v>277</v>
      </c>
      <c r="D1" s="1" t="s">
        <v>278</v>
      </c>
    </row>
    <row r="2" spans="1:4" ht="15.75" customHeight="1">
      <c r="A2" s="1" t="s">
        <v>27</v>
      </c>
      <c r="B2" s="4">
        <f>ROUND(AVERAGE('Estimates of the use of water ('!$Q$2:$Q$463),2)</f>
        <v>4.8</v>
      </c>
      <c r="C2" s="5">
        <f>MIN('Estimates of the use of water ('!$Q$2:$Q$463)</f>
        <v>1</v>
      </c>
      <c r="D2" s="5">
        <f>MAX('Estimates of the use of water ('!$Q$2:$Q$463)</f>
        <v>5</v>
      </c>
    </row>
    <row r="3" spans="1:4">
      <c r="A3" s="2" t="s">
        <v>31</v>
      </c>
      <c r="B3" s="1">
        <f>AVERAGE('Estimates of the use of water ('!$R$2:$R$463)</f>
        <v>0.27674414191703078</v>
      </c>
      <c r="C3" s="1">
        <f>MIN('Estimates of the use of water ('!$R$2:$R$463)</f>
        <v>-1.0217886739999997</v>
      </c>
      <c r="D3" s="1">
        <f>MAX('Estimates of the use of water ('!$R$2:$R$463)</f>
        <v>2.7503264880000002</v>
      </c>
    </row>
    <row r="4" spans="1:4">
      <c r="A4" s="2" t="s">
        <v>35</v>
      </c>
      <c r="B4" s="1">
        <f>AVERAGE('Estimates of the use of water ('!$S$2:$S$463)</f>
        <v>0.48449369595209568</v>
      </c>
      <c r="C4" s="1">
        <f>MIN('Estimates of the use of water ('!$S$2:$S$463)</f>
        <v>-1.2273809599999992</v>
      </c>
      <c r="D4" s="1">
        <f>MAX('Estimates of the use of water ('!$S$2:$S$463)</f>
        <v>2.6678826380000005</v>
      </c>
    </row>
    <row r="5" spans="1:4">
      <c r="A5" s="2" t="s">
        <v>37</v>
      </c>
      <c r="B5" s="1">
        <f>AVERAGE('Estimates of the use of water ('!$T$2:$T$463)</f>
        <v>0.15482340283977908</v>
      </c>
      <c r="C5" s="1">
        <f>MIN('Estimates of the use of water ('!$T$2:$T$463)</f>
        <v>-1.6200868119999996</v>
      </c>
      <c r="D5" s="1">
        <f>MAX('Estimates of the use of water ('!$T$2:$T$463)</f>
        <v>2.6682118559999992</v>
      </c>
    </row>
    <row r="6" spans="1:4">
      <c r="B6" s="2" t="s">
        <v>279</v>
      </c>
    </row>
    <row r="7" spans="1:4">
      <c r="A7" s="2" t="s">
        <v>280</v>
      </c>
      <c r="B7" s="2">
        <v>2</v>
      </c>
    </row>
    <row r="8" spans="1:4">
      <c r="A8" s="6" t="s">
        <v>281</v>
      </c>
      <c r="B8" s="2">
        <v>64</v>
      </c>
    </row>
    <row r="9" spans="1:4">
      <c r="A9" s="7" t="s">
        <v>282</v>
      </c>
      <c r="B9" s="2">
        <v>50</v>
      </c>
    </row>
    <row r="10" spans="1:4">
      <c r="B10" s="2" t="s">
        <v>279</v>
      </c>
    </row>
    <row r="11" spans="1:4">
      <c r="A11" s="2" t="s">
        <v>45</v>
      </c>
      <c r="B11" s="1">
        <f>COUNTIF('Estimates of the use of water ('!X$2:X$463,"fullaccesss")</f>
        <v>62</v>
      </c>
    </row>
    <row r="12" spans="1:4">
      <c r="A12" s="2" t="s">
        <v>47</v>
      </c>
      <c r="B12" s="1">
        <f>COUNTIF('Estimates of the use of water ('!Y$2:Y$463,"fullaccesss")</f>
        <v>29</v>
      </c>
    </row>
    <row r="13" spans="1:4">
      <c r="A13" s="2" t="s">
        <v>49</v>
      </c>
      <c r="B13" s="1">
        <f>COUNTIF('Estimates of the use of water ('!Z$2:Z$463,"fullaccesss")</f>
        <v>55</v>
      </c>
    </row>
    <row r="14" spans="1:4">
      <c r="B14" s="2" t="s">
        <v>279</v>
      </c>
    </row>
    <row r="15" spans="1:4">
      <c r="A15" s="2" t="s">
        <v>283</v>
      </c>
      <c r="B15" s="1">
        <f>COUNTIFS('Estimates of the use of water ('!R2:R463,"=0",'Estimates of the use of water ('!X2:X463, "&lt;&gt;fullaccesss")</f>
        <v>16</v>
      </c>
    </row>
    <row r="16" spans="1:4">
      <c r="A16" s="2" t="s">
        <v>284</v>
      </c>
      <c r="B16" s="3">
        <f>COUNTIFS('Estimates of the use of water ('!S2:S463,"=0",'Estimates of the use of water ('!Y2:Y463, "&lt;&gt;fullaccesss")</f>
        <v>5</v>
      </c>
    </row>
    <row r="17" spans="1:2">
      <c r="A17" s="2" t="s">
        <v>285</v>
      </c>
      <c r="B17" s="1">
        <f>COUNTIFS('Estimates of the use of water ('!T2:T463,"=0",'Estimates of the use of water ('!Z2:Z463, "&lt;&gt;fullaccesss")</f>
        <v>7</v>
      </c>
    </row>
    <row r="18" spans="1:2">
      <c r="B18" s="2" t="s">
        <v>279</v>
      </c>
    </row>
    <row r="19" spans="1:2">
      <c r="A19" s="2" t="s">
        <v>286</v>
      </c>
      <c r="B19" s="1">
        <f>COUNTIFS('Estimates of the use of water ('!R2:R463,"&lt;0",'Estimates of the use of water ('!X2:X463, "&lt;&gt;fullaccesss")</f>
        <v>16</v>
      </c>
    </row>
    <row r="20" spans="1:2" ht="14">
      <c r="A20" s="2" t="s">
        <v>287</v>
      </c>
      <c r="B20" s="3">
        <f>COUNTIFS('Estimates of the use of water ('!S2:S463,"&lt;0",'Estimates of the use of water ('!Y2:Y463, "&lt;&gt;fullaccesss")</f>
        <v>17</v>
      </c>
    </row>
    <row r="21" spans="1:2" ht="14">
      <c r="A21" s="2" t="s">
        <v>288</v>
      </c>
      <c r="B21" s="1">
        <f>COUNTIFS('Estimates of the use of water ('!T2:T463,"&lt;0",'Estimates of the use of water ('!Z2:Z463, "&lt;&gt;fullaccesss")</f>
        <v>26</v>
      </c>
    </row>
    <row r="22" spans="1:2" ht="14">
      <c r="B22" s="2" t="s">
        <v>279</v>
      </c>
    </row>
    <row r="23" spans="1:2" ht="14">
      <c r="A23" s="2" t="s">
        <v>289</v>
      </c>
      <c r="B23" s="1">
        <f>COUNTIFS('Estimates of the use of water ('!R2:R463,"&gt;0",'Estimates of the use of water ('!X2:X463, "&lt;&gt;fullaccesss")</f>
        <v>135</v>
      </c>
    </row>
    <row r="24" spans="1:2" ht="14">
      <c r="A24" s="2" t="s">
        <v>290</v>
      </c>
      <c r="B24" s="3">
        <f>COUNTIFS('Estimates of the use of water ('!S2:S463,"&gt;0",'Estimates of the use of water ('!Y2:Y463, "&lt;&gt;fullaccesss")</f>
        <v>116</v>
      </c>
    </row>
    <row r="25" spans="1:2" ht="14">
      <c r="A25" s="2" t="s">
        <v>291</v>
      </c>
      <c r="B25" s="1">
        <f>COUNTIFS('Estimates of the use of water ('!T2:T463,"&gt;0",'Estimates of the use of water ('!Z2:Z463, "&lt;&gt;fullaccesss")</f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33"/>
  <sheetViews>
    <sheetView workbookViewId="0"/>
  </sheetViews>
  <sheetFormatPr defaultColWidth="12.6328125" defaultRowHeight="15.75" customHeight="1"/>
  <sheetData>
    <row r="1" spans="1:2" ht="15.75" customHeight="1">
      <c r="A1" s="1" t="s">
        <v>0</v>
      </c>
      <c r="B1" s="1" t="s">
        <v>6</v>
      </c>
    </row>
    <row r="2" spans="1:2" ht="15.75" customHeight="1">
      <c r="A2" s="1" t="s">
        <v>11</v>
      </c>
      <c r="B2" s="1" t="s">
        <v>12</v>
      </c>
    </row>
    <row r="3" spans="1:2" ht="15.75" customHeight="1">
      <c r="A3" s="1" t="s">
        <v>14</v>
      </c>
      <c r="B3" s="1" t="s">
        <v>15</v>
      </c>
    </row>
    <row r="4" spans="1:2" ht="15.75" customHeight="1">
      <c r="A4" s="1" t="s">
        <v>17</v>
      </c>
      <c r="B4" s="1" t="s">
        <v>18</v>
      </c>
    </row>
    <row r="5" spans="1:2" ht="15.75" customHeight="1">
      <c r="A5" s="1" t="s">
        <v>20</v>
      </c>
      <c r="B5" s="1" t="s">
        <v>22</v>
      </c>
    </row>
    <row r="6" spans="1:2" ht="15.75" customHeight="1">
      <c r="A6" s="1" t="s">
        <v>24</v>
      </c>
      <c r="B6" s="1" t="s">
        <v>15</v>
      </c>
    </row>
    <row r="7" spans="1:2" ht="15.75" customHeight="1">
      <c r="A7" s="1" t="s">
        <v>26</v>
      </c>
      <c r="B7" s="1" t="s">
        <v>28</v>
      </c>
    </row>
    <row r="8" spans="1:2" ht="15.75" customHeight="1">
      <c r="A8" s="1" t="s">
        <v>29</v>
      </c>
      <c r="B8" s="1" t="s">
        <v>30</v>
      </c>
    </row>
    <row r="9" spans="1:2" ht="15.75" customHeight="1">
      <c r="A9" s="1" t="s">
        <v>32</v>
      </c>
      <c r="B9" s="1" t="s">
        <v>30</v>
      </c>
    </row>
    <row r="10" spans="1:2" ht="15.75" customHeight="1">
      <c r="A10" s="1" t="s">
        <v>33</v>
      </c>
      <c r="B10" s="1" t="s">
        <v>30</v>
      </c>
    </row>
    <row r="11" spans="1:2" ht="15.75" customHeight="1">
      <c r="A11" s="1" t="s">
        <v>34</v>
      </c>
      <c r="B11" s="1" t="s">
        <v>15</v>
      </c>
    </row>
    <row r="12" spans="1:2" ht="15.75" customHeight="1">
      <c r="A12" s="1" t="s">
        <v>36</v>
      </c>
      <c r="B12" s="1" t="s">
        <v>30</v>
      </c>
    </row>
    <row r="13" spans="1:2" ht="15.75" customHeight="1">
      <c r="A13" s="1" t="s">
        <v>38</v>
      </c>
      <c r="B13" s="1" t="s">
        <v>22</v>
      </c>
    </row>
    <row r="14" spans="1:2" ht="15.75" customHeight="1">
      <c r="A14" s="1" t="s">
        <v>40</v>
      </c>
      <c r="B14" s="1" t="s">
        <v>15</v>
      </c>
    </row>
    <row r="15" spans="1:2" ht="15.75" customHeight="1">
      <c r="A15" s="1" t="s">
        <v>42</v>
      </c>
      <c r="B15" s="1" t="s">
        <v>15</v>
      </c>
    </row>
    <row r="16" spans="1:2" ht="15.75" customHeight="1">
      <c r="A16" s="1" t="s">
        <v>44</v>
      </c>
      <c r="B16" s="1" t="s">
        <v>30</v>
      </c>
    </row>
    <row r="17" spans="1:2" ht="15.75" customHeight="1">
      <c r="A17" s="1" t="s">
        <v>46</v>
      </c>
      <c r="B17" s="1" t="s">
        <v>15</v>
      </c>
    </row>
    <row r="18" spans="1:2" ht="15.75" customHeight="1">
      <c r="A18" s="1" t="s">
        <v>48</v>
      </c>
      <c r="B18" s="1" t="s">
        <v>12</v>
      </c>
    </row>
    <row r="19" spans="1:2" ht="15.75" customHeight="1">
      <c r="A19" s="1" t="s">
        <v>50</v>
      </c>
      <c r="B19" s="1" t="s">
        <v>30</v>
      </c>
    </row>
    <row r="20" spans="1:2" ht="12.5">
      <c r="A20" s="1" t="s">
        <v>52</v>
      </c>
      <c r="B20" s="1" t="s">
        <v>15</v>
      </c>
    </row>
    <row r="21" spans="1:2" ht="12.5">
      <c r="A21" s="1" t="s">
        <v>54</v>
      </c>
      <c r="B21" s="1" t="s">
        <v>15</v>
      </c>
    </row>
    <row r="22" spans="1:2" ht="12.5">
      <c r="A22" s="1" t="s">
        <v>55</v>
      </c>
      <c r="B22" s="1" t="s">
        <v>30</v>
      </c>
    </row>
    <row r="23" spans="1:2" ht="12.5">
      <c r="A23" s="1" t="s">
        <v>56</v>
      </c>
      <c r="B23" s="1" t="s">
        <v>28</v>
      </c>
    </row>
    <row r="24" spans="1:2" ht="12.5">
      <c r="A24" s="1" t="s">
        <v>57</v>
      </c>
      <c r="B24" s="1" t="s">
        <v>58</v>
      </c>
    </row>
    <row r="25" spans="1:2" ht="12.5">
      <c r="A25" s="1" t="s">
        <v>59</v>
      </c>
      <c r="B25" s="1" t="s">
        <v>12</v>
      </c>
    </row>
    <row r="26" spans="1:2" ht="12.5">
      <c r="A26" s="1" t="s">
        <v>60</v>
      </c>
      <c r="B26" s="1" t="s">
        <v>30</v>
      </c>
    </row>
    <row r="27" spans="1:2" ht="12.5">
      <c r="A27" s="1" t="s">
        <v>61</v>
      </c>
      <c r="B27" s="1" t="s">
        <v>15</v>
      </c>
    </row>
    <row r="28" spans="1:2" ht="12.5">
      <c r="A28" s="1" t="s">
        <v>62</v>
      </c>
      <c r="B28" s="1" t="s">
        <v>28</v>
      </c>
    </row>
    <row r="29" spans="1:2" ht="12.5">
      <c r="A29" s="1" t="s">
        <v>63</v>
      </c>
      <c r="B29" s="1" t="s">
        <v>30</v>
      </c>
    </row>
    <row r="30" spans="1:2" ht="12.5">
      <c r="A30" s="1" t="s">
        <v>64</v>
      </c>
      <c r="B30" s="1" t="s">
        <v>30</v>
      </c>
    </row>
    <row r="31" spans="1:2" ht="12.5">
      <c r="A31" s="1" t="s">
        <v>65</v>
      </c>
      <c r="B31" s="1" t="s">
        <v>22</v>
      </c>
    </row>
    <row r="32" spans="1:2" ht="12.5">
      <c r="A32" s="1" t="s">
        <v>66</v>
      </c>
      <c r="B32" s="1" t="s">
        <v>15</v>
      </c>
    </row>
    <row r="33" spans="1:2" ht="12.5">
      <c r="A33" s="1" t="s">
        <v>67</v>
      </c>
      <c r="B33" s="1" t="s">
        <v>28</v>
      </c>
    </row>
    <row r="34" spans="1:2" ht="12.5">
      <c r="A34" s="1" t="s">
        <v>68</v>
      </c>
      <c r="B34" s="1" t="s">
        <v>28</v>
      </c>
    </row>
    <row r="35" spans="1:2" ht="12.5">
      <c r="A35" s="1" t="s">
        <v>69</v>
      </c>
      <c r="B35" s="1" t="s">
        <v>28</v>
      </c>
    </row>
    <row r="36" spans="1:2" ht="12.5">
      <c r="A36" s="1" t="s">
        <v>70</v>
      </c>
      <c r="B36" s="1" t="s">
        <v>22</v>
      </c>
    </row>
    <row r="37" spans="1:2" ht="12.5">
      <c r="A37" s="1" t="s">
        <v>71</v>
      </c>
      <c r="B37" s="1" t="s">
        <v>28</v>
      </c>
    </row>
    <row r="38" spans="1:2" ht="12.5">
      <c r="A38" s="1" t="s">
        <v>72</v>
      </c>
      <c r="B38" s="1" t="s">
        <v>58</v>
      </c>
    </row>
    <row r="39" spans="1:2" ht="12.5">
      <c r="A39" s="1" t="s">
        <v>73</v>
      </c>
      <c r="B39" s="1" t="s">
        <v>30</v>
      </c>
    </row>
    <row r="40" spans="1:2" ht="12.5">
      <c r="A40" s="1" t="s">
        <v>74</v>
      </c>
      <c r="B40" s="1" t="s">
        <v>28</v>
      </c>
    </row>
    <row r="41" spans="1:2" ht="12.5">
      <c r="A41" s="1" t="s">
        <v>75</v>
      </c>
      <c r="B41" s="1" t="s">
        <v>28</v>
      </c>
    </row>
    <row r="42" spans="1:2" ht="12.5">
      <c r="A42" s="1" t="s">
        <v>76</v>
      </c>
      <c r="B42" s="1" t="s">
        <v>15</v>
      </c>
    </row>
    <row r="43" spans="1:2" ht="12.5">
      <c r="A43" s="1" t="s">
        <v>77</v>
      </c>
      <c r="B43" s="1" t="s">
        <v>30</v>
      </c>
    </row>
    <row r="44" spans="1:2" ht="12.5">
      <c r="A44" s="1" t="s">
        <v>78</v>
      </c>
      <c r="B44" s="1" t="s">
        <v>22</v>
      </c>
    </row>
    <row r="45" spans="1:2" ht="12.5">
      <c r="A45" s="1" t="s">
        <v>79</v>
      </c>
      <c r="B45" s="1" t="s">
        <v>22</v>
      </c>
    </row>
    <row r="46" spans="1:2" ht="12.5">
      <c r="A46" s="1" t="s">
        <v>80</v>
      </c>
      <c r="B46" s="1" t="s">
        <v>22</v>
      </c>
    </row>
    <row r="47" spans="1:2" ht="12.5">
      <c r="A47" s="1" t="s">
        <v>81</v>
      </c>
      <c r="B47" s="1" t="s">
        <v>30</v>
      </c>
    </row>
    <row r="48" spans="1:2" ht="12.5">
      <c r="A48" s="1" t="s">
        <v>82</v>
      </c>
      <c r="B48" s="1" t="s">
        <v>28</v>
      </c>
    </row>
    <row r="49" spans="1:2" ht="12.5">
      <c r="A49" s="1" t="s">
        <v>83</v>
      </c>
      <c r="B49" s="1" t="s">
        <v>28</v>
      </c>
    </row>
    <row r="50" spans="1:2" ht="12.5">
      <c r="A50" s="1" t="s">
        <v>84</v>
      </c>
      <c r="B50" s="1" t="s">
        <v>22</v>
      </c>
    </row>
    <row r="51" spans="1:2" ht="12.5">
      <c r="A51" s="1" t="s">
        <v>85</v>
      </c>
      <c r="B51" s="1" t="s">
        <v>30</v>
      </c>
    </row>
    <row r="52" spans="1:2" ht="12.5">
      <c r="A52" s="1" t="s">
        <v>86</v>
      </c>
      <c r="B52" s="1" t="s">
        <v>28</v>
      </c>
    </row>
    <row r="53" spans="1:2" ht="12.5">
      <c r="A53" s="1" t="s">
        <v>87</v>
      </c>
      <c r="B53" s="1" t="s">
        <v>15</v>
      </c>
    </row>
    <row r="54" spans="1:2" ht="12.5">
      <c r="A54" s="1" t="s">
        <v>88</v>
      </c>
      <c r="B54" s="1" t="s">
        <v>30</v>
      </c>
    </row>
    <row r="55" spans="1:2" ht="12.5">
      <c r="A55" s="1" t="s">
        <v>89</v>
      </c>
      <c r="B55" s="1" t="s">
        <v>30</v>
      </c>
    </row>
    <row r="56" spans="1:2" ht="12.5">
      <c r="A56" s="1" t="s">
        <v>90</v>
      </c>
      <c r="B56" s="1" t="s">
        <v>15</v>
      </c>
    </row>
    <row r="57" spans="1:2" ht="12.5">
      <c r="A57" s="1" t="s">
        <v>91</v>
      </c>
      <c r="B57" s="1" t="s">
        <v>15</v>
      </c>
    </row>
    <row r="58" spans="1:2" ht="12.5">
      <c r="A58" s="1" t="s">
        <v>92</v>
      </c>
      <c r="B58" s="1" t="s">
        <v>22</v>
      </c>
    </row>
    <row r="59" spans="1:2" ht="12.5">
      <c r="A59" s="1" t="s">
        <v>93</v>
      </c>
      <c r="B59" s="1" t="s">
        <v>28</v>
      </c>
    </row>
    <row r="60" spans="1:2" ht="12.5">
      <c r="A60" s="1" t="s">
        <v>94</v>
      </c>
      <c r="B60" s="1" t="s">
        <v>15</v>
      </c>
    </row>
    <row r="61" spans="1:2" ht="12.5">
      <c r="A61" s="1" t="s">
        <v>95</v>
      </c>
      <c r="B61" s="1" t="s">
        <v>28</v>
      </c>
    </row>
    <row r="62" spans="1:2" ht="12.5">
      <c r="A62" s="1" t="s">
        <v>96</v>
      </c>
      <c r="B62" s="1" t="s">
        <v>30</v>
      </c>
    </row>
    <row r="63" spans="1:2" ht="12.5">
      <c r="A63" s="1" t="s">
        <v>97</v>
      </c>
      <c r="B63" s="1" t="s">
        <v>30</v>
      </c>
    </row>
    <row r="64" spans="1:2" ht="12.5">
      <c r="A64" s="1" t="s">
        <v>98</v>
      </c>
      <c r="B64" s="1" t="s">
        <v>30</v>
      </c>
    </row>
    <row r="65" spans="1:2" ht="12.5">
      <c r="A65" s="1" t="s">
        <v>99</v>
      </c>
      <c r="B65" s="1" t="s">
        <v>18</v>
      </c>
    </row>
    <row r="66" spans="1:2" ht="12.5">
      <c r="A66" s="1" t="s">
        <v>100</v>
      </c>
      <c r="B66" s="1" t="s">
        <v>30</v>
      </c>
    </row>
    <row r="67" spans="1:2" ht="12.5">
      <c r="A67" s="1" t="s">
        <v>101</v>
      </c>
      <c r="B67" s="1" t="s">
        <v>28</v>
      </c>
    </row>
    <row r="68" spans="1:2" ht="12.5">
      <c r="A68" s="1" t="s">
        <v>102</v>
      </c>
      <c r="B68" s="1" t="s">
        <v>28</v>
      </c>
    </row>
    <row r="69" spans="1:2" ht="12.5">
      <c r="A69" s="1" t="s">
        <v>103</v>
      </c>
      <c r="B69" s="1" t="s">
        <v>15</v>
      </c>
    </row>
    <row r="70" spans="1:2" ht="12.5">
      <c r="A70" s="1" t="s">
        <v>104</v>
      </c>
      <c r="B70" s="1" t="s">
        <v>28</v>
      </c>
    </row>
    <row r="71" spans="1:2" ht="12.5">
      <c r="A71" s="1" t="s">
        <v>105</v>
      </c>
      <c r="B71" s="1" t="s">
        <v>28</v>
      </c>
    </row>
    <row r="72" spans="1:2" ht="12.5">
      <c r="A72" s="1" t="s">
        <v>106</v>
      </c>
      <c r="B72" s="1" t="s">
        <v>15</v>
      </c>
    </row>
    <row r="73" spans="1:2" ht="12.5">
      <c r="A73" s="1" t="s">
        <v>107</v>
      </c>
      <c r="B73" s="1" t="s">
        <v>30</v>
      </c>
    </row>
    <row r="74" spans="1:2" ht="12.5">
      <c r="A74" s="1" t="s">
        <v>108</v>
      </c>
      <c r="B74" s="1" t="s">
        <v>22</v>
      </c>
    </row>
    <row r="75" spans="1:2" ht="12.5">
      <c r="A75" s="1" t="s">
        <v>109</v>
      </c>
      <c r="B75" s="1" t="s">
        <v>15</v>
      </c>
    </row>
    <row r="76" spans="1:2" ht="12.5">
      <c r="A76" s="1" t="s">
        <v>110</v>
      </c>
      <c r="B76" s="1" t="s">
        <v>15</v>
      </c>
    </row>
    <row r="77" spans="1:2" ht="12.5">
      <c r="A77" s="1" t="s">
        <v>111</v>
      </c>
      <c r="B77" s="1" t="s">
        <v>30</v>
      </c>
    </row>
    <row r="78" spans="1:2" ht="12.5">
      <c r="A78" s="1" t="s">
        <v>112</v>
      </c>
      <c r="B78" s="1" t="s">
        <v>22</v>
      </c>
    </row>
    <row r="79" spans="1:2" ht="12.5">
      <c r="A79" s="1" t="s">
        <v>113</v>
      </c>
      <c r="B79" s="1" t="s">
        <v>28</v>
      </c>
    </row>
    <row r="80" spans="1:2" ht="12.5">
      <c r="A80" s="1" t="s">
        <v>114</v>
      </c>
      <c r="B80" s="1" t="s">
        <v>28</v>
      </c>
    </row>
    <row r="81" spans="1:2" ht="12.5">
      <c r="A81" s="1" t="s">
        <v>115</v>
      </c>
      <c r="B81" s="1" t="s">
        <v>15</v>
      </c>
    </row>
    <row r="82" spans="1:2" ht="12.5">
      <c r="A82" s="1" t="s">
        <v>116</v>
      </c>
      <c r="B82" s="1" t="s">
        <v>15</v>
      </c>
    </row>
    <row r="83" spans="1:2" ht="12.5">
      <c r="A83" s="1" t="s">
        <v>117</v>
      </c>
      <c r="B83" s="1" t="s">
        <v>28</v>
      </c>
    </row>
    <row r="84" spans="1:2" ht="12.5">
      <c r="A84" s="1" t="s">
        <v>118</v>
      </c>
      <c r="B84" s="1" t="s">
        <v>15</v>
      </c>
    </row>
    <row r="85" spans="1:2" ht="12.5">
      <c r="A85" s="1" t="s">
        <v>119</v>
      </c>
      <c r="B85" s="1" t="s">
        <v>15</v>
      </c>
    </row>
    <row r="86" spans="1:2" ht="12.5">
      <c r="A86" s="1" t="s">
        <v>120</v>
      </c>
      <c r="B86" s="1" t="s">
        <v>58</v>
      </c>
    </row>
    <row r="87" spans="1:2" ht="12.5">
      <c r="A87" s="1" t="s">
        <v>121</v>
      </c>
      <c r="B87" s="1" t="s">
        <v>30</v>
      </c>
    </row>
    <row r="88" spans="1:2" ht="12.5">
      <c r="A88" s="1" t="s">
        <v>122</v>
      </c>
      <c r="B88" s="1" t="s">
        <v>30</v>
      </c>
    </row>
    <row r="89" spans="1:2" ht="12.5">
      <c r="A89" s="1" t="s">
        <v>123</v>
      </c>
      <c r="B89" s="1" t="s">
        <v>22</v>
      </c>
    </row>
    <row r="90" spans="1:2" ht="12.5">
      <c r="A90" s="1" t="s">
        <v>124</v>
      </c>
      <c r="B90" s="1" t="s">
        <v>30</v>
      </c>
    </row>
    <row r="91" spans="1:2" ht="12.5">
      <c r="A91" s="1" t="s">
        <v>125</v>
      </c>
      <c r="B91" s="1" t="s">
        <v>28</v>
      </c>
    </row>
    <row r="92" spans="1:2" ht="12.5">
      <c r="A92" s="1" t="s">
        <v>126</v>
      </c>
      <c r="B92" s="1" t="s">
        <v>28</v>
      </c>
    </row>
    <row r="93" spans="1:2" ht="12.5">
      <c r="A93" s="1" t="s">
        <v>127</v>
      </c>
      <c r="B93" s="1" t="s">
        <v>30</v>
      </c>
    </row>
    <row r="94" spans="1:2" ht="12.5">
      <c r="A94" s="1" t="s">
        <v>128</v>
      </c>
      <c r="B94" s="1" t="s">
        <v>28</v>
      </c>
    </row>
    <row r="95" spans="1:2" ht="12.5">
      <c r="A95" s="1" t="s">
        <v>129</v>
      </c>
      <c r="B95" s="1" t="s">
        <v>30</v>
      </c>
    </row>
    <row r="96" spans="1:2" ht="12.5">
      <c r="A96" s="1" t="s">
        <v>130</v>
      </c>
      <c r="B96" s="1" t="s">
        <v>15</v>
      </c>
    </row>
    <row r="97" spans="1:2" ht="12.5">
      <c r="A97" s="1" t="s">
        <v>131</v>
      </c>
      <c r="B97" s="1" t="s">
        <v>15</v>
      </c>
    </row>
    <row r="98" spans="1:2" ht="12.5">
      <c r="A98" s="1" t="s">
        <v>132</v>
      </c>
      <c r="B98" s="1" t="s">
        <v>12</v>
      </c>
    </row>
    <row r="99" spans="1:2" ht="12.5">
      <c r="A99" s="1" t="s">
        <v>133</v>
      </c>
      <c r="B99" s="1" t="s">
        <v>22</v>
      </c>
    </row>
    <row r="100" spans="1:2" ht="12.5">
      <c r="A100" s="1" t="s">
        <v>134</v>
      </c>
      <c r="B100" s="1" t="s">
        <v>12</v>
      </c>
    </row>
    <row r="101" spans="1:2" ht="12.5">
      <c r="A101" s="1" t="s">
        <v>135</v>
      </c>
      <c r="B101" s="1" t="s">
        <v>18</v>
      </c>
    </row>
    <row r="102" spans="1:2" ht="12.5">
      <c r="A102" s="1" t="s">
        <v>136</v>
      </c>
      <c r="B102" s="1" t="s">
        <v>15</v>
      </c>
    </row>
    <row r="103" spans="1:2" ht="12.5">
      <c r="A103" s="1" t="s">
        <v>137</v>
      </c>
      <c r="B103" s="1" t="s">
        <v>15</v>
      </c>
    </row>
    <row r="104" spans="1:2" ht="12.5">
      <c r="A104" s="1" t="s">
        <v>138</v>
      </c>
      <c r="B104" s="1" t="s">
        <v>15</v>
      </c>
    </row>
    <row r="105" spans="1:2" ht="12.5">
      <c r="A105" s="1" t="s">
        <v>139</v>
      </c>
      <c r="B105" s="1" t="s">
        <v>15</v>
      </c>
    </row>
    <row r="106" spans="1:2" ht="12.5">
      <c r="A106" s="1" t="s">
        <v>140</v>
      </c>
      <c r="B106" s="1" t="s">
        <v>30</v>
      </c>
    </row>
    <row r="107" spans="1:2" ht="12.5">
      <c r="A107" s="1" t="s">
        <v>141</v>
      </c>
      <c r="B107" s="1" t="s">
        <v>22</v>
      </c>
    </row>
    <row r="108" spans="1:2" ht="12.5">
      <c r="A108" s="1" t="s">
        <v>142</v>
      </c>
      <c r="B108" s="1" t="s">
        <v>18</v>
      </c>
    </row>
    <row r="109" spans="1:2" ht="12.5">
      <c r="A109" s="1" t="s">
        <v>143</v>
      </c>
      <c r="B109" s="1" t="s">
        <v>15</v>
      </c>
    </row>
    <row r="110" spans="1:2" ht="12.5">
      <c r="A110" s="1" t="s">
        <v>144</v>
      </c>
      <c r="B110" s="1" t="s">
        <v>28</v>
      </c>
    </row>
    <row r="111" spans="1:2" ht="12.5">
      <c r="A111" s="1" t="s">
        <v>145</v>
      </c>
      <c r="B111" s="1" t="s">
        <v>22</v>
      </c>
    </row>
    <row r="112" spans="1:2" ht="12.5">
      <c r="A112" s="1" t="s">
        <v>146</v>
      </c>
      <c r="B112" s="1" t="s">
        <v>18</v>
      </c>
    </row>
    <row r="113" spans="1:2" ht="12.5">
      <c r="A113" s="1" t="s">
        <v>147</v>
      </c>
      <c r="B113" s="1" t="s">
        <v>15</v>
      </c>
    </row>
    <row r="114" spans="1:2" ht="12.5">
      <c r="A114" s="1" t="s">
        <v>148</v>
      </c>
      <c r="B114" s="1" t="s">
        <v>22</v>
      </c>
    </row>
    <row r="115" spans="1:2" ht="12.5">
      <c r="A115" s="1" t="s">
        <v>149</v>
      </c>
      <c r="B115" s="1" t="s">
        <v>15</v>
      </c>
    </row>
    <row r="116" spans="1:2" ht="12.5">
      <c r="A116" s="1" t="s">
        <v>150</v>
      </c>
      <c r="B116" s="1" t="s">
        <v>18</v>
      </c>
    </row>
    <row r="117" spans="1:2" ht="12.5">
      <c r="A117" s="1" t="s">
        <v>151</v>
      </c>
      <c r="B117" s="1" t="s">
        <v>28</v>
      </c>
    </row>
    <row r="118" spans="1:2" ht="12.5">
      <c r="A118" s="1" t="s">
        <v>152</v>
      </c>
      <c r="B118" s="1" t="s">
        <v>28</v>
      </c>
    </row>
    <row r="119" spans="1:2" ht="12.5">
      <c r="A119" s="1" t="s">
        <v>153</v>
      </c>
      <c r="B119" s="1" t="s">
        <v>28</v>
      </c>
    </row>
    <row r="120" spans="1:2" ht="12.5">
      <c r="A120" s="1" t="s">
        <v>154</v>
      </c>
      <c r="B120" s="1" t="s">
        <v>15</v>
      </c>
    </row>
    <row r="121" spans="1:2" ht="12.5">
      <c r="A121" s="1" t="s">
        <v>155</v>
      </c>
      <c r="B121" s="1" t="s">
        <v>15</v>
      </c>
    </row>
    <row r="122" spans="1:2" ht="12.5">
      <c r="A122" s="1" t="s">
        <v>156</v>
      </c>
      <c r="B122" s="1" t="s">
        <v>15</v>
      </c>
    </row>
    <row r="123" spans="1:2" ht="12.5">
      <c r="A123" s="1" t="s">
        <v>157</v>
      </c>
      <c r="B123" s="1" t="s">
        <v>28</v>
      </c>
    </row>
    <row r="124" spans="1:2" ht="12.5">
      <c r="A124" s="1" t="s">
        <v>158</v>
      </c>
      <c r="B124" s="1" t="s">
        <v>28</v>
      </c>
    </row>
    <row r="125" spans="1:2" ht="12.5">
      <c r="A125" s="1" t="s">
        <v>159</v>
      </c>
      <c r="B125" s="1" t="s">
        <v>12</v>
      </c>
    </row>
    <row r="126" spans="1:2" ht="12.5">
      <c r="A126" s="1" t="s">
        <v>160</v>
      </c>
      <c r="B126" s="1" t="s">
        <v>12</v>
      </c>
    </row>
    <row r="127" spans="1:2" ht="12.5">
      <c r="A127" s="1" t="s">
        <v>161</v>
      </c>
      <c r="B127" s="1" t="s">
        <v>28</v>
      </c>
    </row>
    <row r="128" spans="1:2" ht="12.5">
      <c r="A128" s="1" t="s">
        <v>162</v>
      </c>
      <c r="B128" s="1" t="s">
        <v>15</v>
      </c>
    </row>
    <row r="129" spans="1:2" ht="12.5">
      <c r="A129" s="1" t="s">
        <v>163</v>
      </c>
      <c r="B129" s="1" t="s">
        <v>22</v>
      </c>
    </row>
    <row r="130" spans="1:2" ht="12.5">
      <c r="A130" s="1" t="s">
        <v>164</v>
      </c>
      <c r="B130" s="1" t="s">
        <v>30</v>
      </c>
    </row>
    <row r="131" spans="1:2" ht="12.5">
      <c r="A131" s="1" t="s">
        <v>165</v>
      </c>
      <c r="B131" s="1" t="s">
        <v>28</v>
      </c>
    </row>
    <row r="132" spans="1:2" ht="12.5">
      <c r="A132" s="1" t="s">
        <v>166</v>
      </c>
      <c r="B132" s="1" t="s">
        <v>28</v>
      </c>
    </row>
    <row r="133" spans="1:2" ht="12.5">
      <c r="A133" s="1" t="s">
        <v>167</v>
      </c>
      <c r="B133" s="1" t="s">
        <v>28</v>
      </c>
    </row>
    <row r="134" spans="1:2" ht="12.5">
      <c r="A134" s="1" t="s">
        <v>168</v>
      </c>
      <c r="B134" s="1" t="s">
        <v>30</v>
      </c>
    </row>
    <row r="135" spans="1:2" ht="12.5">
      <c r="A135" s="1" t="s">
        <v>169</v>
      </c>
      <c r="B135" s="1" t="s">
        <v>22</v>
      </c>
    </row>
    <row r="136" spans="1:2" ht="12.5">
      <c r="A136" s="1" t="s">
        <v>170</v>
      </c>
      <c r="B136" s="1" t="s">
        <v>15</v>
      </c>
    </row>
    <row r="137" spans="1:2" ht="12.5">
      <c r="A137" s="1" t="s">
        <v>171</v>
      </c>
      <c r="B137" s="1" t="s">
        <v>22</v>
      </c>
    </row>
    <row r="138" spans="1:2" ht="12.5">
      <c r="A138" s="1" t="s">
        <v>172</v>
      </c>
      <c r="B138" s="1" t="s">
        <v>15</v>
      </c>
    </row>
    <row r="139" spans="1:2" ht="12.5">
      <c r="A139" s="1" t="s">
        <v>173</v>
      </c>
      <c r="B139" s="1" t="s">
        <v>30</v>
      </c>
    </row>
    <row r="140" spans="1:2" ht="12.5">
      <c r="A140" s="1" t="s">
        <v>174</v>
      </c>
      <c r="B140" s="1" t="s">
        <v>18</v>
      </c>
    </row>
    <row r="141" spans="1:2" ht="12.5">
      <c r="A141" s="1" t="s">
        <v>175</v>
      </c>
      <c r="B141" s="1" t="s">
        <v>28</v>
      </c>
    </row>
    <row r="142" spans="1:2" ht="12.5">
      <c r="A142" s="1" t="s">
        <v>176</v>
      </c>
      <c r="B142" s="1" t="s">
        <v>22</v>
      </c>
    </row>
    <row r="143" spans="1:2" ht="12.5">
      <c r="A143" s="1" t="s">
        <v>177</v>
      </c>
      <c r="B143" s="1" t="s">
        <v>28</v>
      </c>
    </row>
    <row r="144" spans="1:2" ht="12.5">
      <c r="A144" s="1" t="s">
        <v>178</v>
      </c>
      <c r="B144" s="1" t="s">
        <v>22</v>
      </c>
    </row>
    <row r="145" spans="1:2" ht="12.5">
      <c r="A145" s="1" t="s">
        <v>179</v>
      </c>
      <c r="B145" s="1" t="s">
        <v>12</v>
      </c>
    </row>
    <row r="146" spans="1:2" ht="12.5">
      <c r="A146" s="1" t="s">
        <v>180</v>
      </c>
      <c r="B146" s="1" t="s">
        <v>15</v>
      </c>
    </row>
    <row r="147" spans="1:2" ht="12.5">
      <c r="A147" s="1" t="s">
        <v>181</v>
      </c>
      <c r="B147" s="1" t="s">
        <v>22</v>
      </c>
    </row>
    <row r="148" spans="1:2" ht="12.5">
      <c r="A148" s="1" t="s">
        <v>182</v>
      </c>
      <c r="B148" s="1" t="s">
        <v>22</v>
      </c>
    </row>
    <row r="149" spans="1:2" ht="12.5">
      <c r="A149" s="1" t="s">
        <v>183</v>
      </c>
      <c r="B149" s="1" t="s">
        <v>30</v>
      </c>
    </row>
    <row r="150" spans="1:2" ht="12.5">
      <c r="A150" s="1" t="s">
        <v>184</v>
      </c>
      <c r="B150" s="1" t="s">
        <v>28</v>
      </c>
    </row>
    <row r="151" spans="1:2" ht="12.5">
      <c r="A151" s="1" t="s">
        <v>185</v>
      </c>
      <c r="B151" s="1" t="s">
        <v>28</v>
      </c>
    </row>
    <row r="152" spans="1:2" ht="12.5">
      <c r="A152" s="1" t="s">
        <v>186</v>
      </c>
      <c r="B152" s="1" t="s">
        <v>22</v>
      </c>
    </row>
    <row r="153" spans="1:2" ht="12.5">
      <c r="A153" s="1" t="s">
        <v>187</v>
      </c>
      <c r="B153" s="1" t="s">
        <v>15</v>
      </c>
    </row>
    <row r="154" spans="1:2" ht="12.5">
      <c r="A154" s="1" t="s">
        <v>188</v>
      </c>
      <c r="B154" s="1" t="s">
        <v>22</v>
      </c>
    </row>
    <row r="155" spans="1:2" ht="12.5">
      <c r="A155" s="1" t="s">
        <v>189</v>
      </c>
      <c r="B155" s="1" t="s">
        <v>15</v>
      </c>
    </row>
    <row r="156" spans="1:2" ht="12.5">
      <c r="A156" s="1" t="s">
        <v>190</v>
      </c>
      <c r="B156" s="1" t="s">
        <v>18</v>
      </c>
    </row>
    <row r="157" spans="1:2" ht="12.5">
      <c r="A157" s="1" t="s">
        <v>191</v>
      </c>
      <c r="B157" s="1" t="s">
        <v>12</v>
      </c>
    </row>
    <row r="158" spans="1:2" ht="12.5">
      <c r="A158" s="1" t="s">
        <v>192</v>
      </c>
      <c r="B158" s="1" t="s">
        <v>22</v>
      </c>
    </row>
    <row r="159" spans="1:2" ht="12.5">
      <c r="A159" s="1" t="s">
        <v>193</v>
      </c>
      <c r="B159" s="1" t="s">
        <v>30</v>
      </c>
    </row>
    <row r="160" spans="1:2" ht="12.5">
      <c r="A160" s="1" t="s">
        <v>194</v>
      </c>
      <c r="B160" s="1" t="s">
        <v>22</v>
      </c>
    </row>
    <row r="161" spans="1:2" ht="12.5">
      <c r="A161" s="1" t="s">
        <v>195</v>
      </c>
      <c r="B161" s="1" t="s">
        <v>30</v>
      </c>
    </row>
    <row r="162" spans="1:2" ht="12.5">
      <c r="A162" s="1" t="s">
        <v>196</v>
      </c>
      <c r="B162" s="1" t="s">
        <v>30</v>
      </c>
    </row>
    <row r="163" spans="1:2" ht="12.5">
      <c r="A163" s="1" t="s">
        <v>197</v>
      </c>
      <c r="B163" s="1" t="s">
        <v>12</v>
      </c>
    </row>
    <row r="164" spans="1:2" ht="12.5">
      <c r="A164" s="1" t="s">
        <v>198</v>
      </c>
      <c r="B164" s="1" t="s">
        <v>15</v>
      </c>
    </row>
    <row r="165" spans="1:2" ht="12.5">
      <c r="A165" s="1" t="s">
        <v>199</v>
      </c>
      <c r="B165" s="1" t="s">
        <v>15</v>
      </c>
    </row>
    <row r="166" spans="1:2" ht="12.5">
      <c r="A166" s="1" t="s">
        <v>200</v>
      </c>
      <c r="B166" s="1" t="s">
        <v>30</v>
      </c>
    </row>
    <row r="167" spans="1:2" ht="12.5">
      <c r="A167" s="1" t="s">
        <v>201</v>
      </c>
      <c r="B167" s="1" t="s">
        <v>15</v>
      </c>
    </row>
    <row r="168" spans="1:2" ht="12.5">
      <c r="A168" s="1" t="s">
        <v>202</v>
      </c>
      <c r="B168" s="1" t="s">
        <v>22</v>
      </c>
    </row>
    <row r="169" spans="1:2" ht="12.5">
      <c r="A169" s="1" t="s">
        <v>203</v>
      </c>
      <c r="B169" s="1" t="s">
        <v>15</v>
      </c>
    </row>
    <row r="170" spans="1:2" ht="12.5">
      <c r="A170" s="1" t="s">
        <v>204</v>
      </c>
      <c r="B170" s="1" t="s">
        <v>28</v>
      </c>
    </row>
    <row r="171" spans="1:2" ht="12.5">
      <c r="A171" s="1" t="s">
        <v>205</v>
      </c>
      <c r="B171" s="1" t="s">
        <v>15</v>
      </c>
    </row>
    <row r="172" spans="1:2" ht="12.5">
      <c r="A172" s="1" t="s">
        <v>206</v>
      </c>
      <c r="B172" s="1" t="s">
        <v>15</v>
      </c>
    </row>
    <row r="173" spans="1:2" ht="12.5">
      <c r="A173" s="1" t="s">
        <v>207</v>
      </c>
      <c r="B173" s="1" t="s">
        <v>28</v>
      </c>
    </row>
    <row r="174" spans="1:2" ht="12.5">
      <c r="A174" s="1" t="s">
        <v>209</v>
      </c>
      <c r="B174" s="1" t="s">
        <v>30</v>
      </c>
    </row>
    <row r="175" spans="1:2" ht="12.5">
      <c r="A175" s="1" t="s">
        <v>211</v>
      </c>
      <c r="B175" s="1" t="s">
        <v>28</v>
      </c>
    </row>
    <row r="176" spans="1:2" ht="12.5">
      <c r="A176" s="1" t="s">
        <v>213</v>
      </c>
      <c r="B176" s="1" t="s">
        <v>30</v>
      </c>
    </row>
    <row r="177" spans="1:2" ht="12.5">
      <c r="A177" s="1" t="s">
        <v>214</v>
      </c>
      <c r="B177" s="1" t="s">
        <v>30</v>
      </c>
    </row>
    <row r="178" spans="1:2" ht="12.5">
      <c r="A178" s="1" t="s">
        <v>215</v>
      </c>
      <c r="B178" s="1" t="s">
        <v>30</v>
      </c>
    </row>
    <row r="179" spans="1:2" ht="12.5">
      <c r="A179" s="1" t="s">
        <v>216</v>
      </c>
      <c r="B179" s="1" t="s">
        <v>58</v>
      </c>
    </row>
    <row r="180" spans="1:2" ht="12.5">
      <c r="A180" s="1" t="s">
        <v>217</v>
      </c>
      <c r="B180" s="1" t="s">
        <v>30</v>
      </c>
    </row>
    <row r="181" spans="1:2" ht="12.5">
      <c r="A181" s="1" t="s">
        <v>218</v>
      </c>
      <c r="B181" s="1" t="s">
        <v>22</v>
      </c>
    </row>
    <row r="182" spans="1:2" ht="12.5">
      <c r="A182" s="1" t="s">
        <v>219</v>
      </c>
      <c r="B182" s="1" t="s">
        <v>15</v>
      </c>
    </row>
    <row r="183" spans="1:2" ht="12.5">
      <c r="A183" s="1" t="s">
        <v>220</v>
      </c>
      <c r="B183" s="1" t="s">
        <v>28</v>
      </c>
    </row>
    <row r="184" spans="1:2" ht="12.5">
      <c r="A184" s="1" t="s">
        <v>221</v>
      </c>
      <c r="B184" s="1" t="s">
        <v>15</v>
      </c>
    </row>
    <row r="185" spans="1:2" ht="12.5">
      <c r="A185" s="1" t="s">
        <v>222</v>
      </c>
      <c r="B185" s="1" t="s">
        <v>28</v>
      </c>
    </row>
    <row r="186" spans="1:2" ht="12.5">
      <c r="A186" s="1" t="s">
        <v>223</v>
      </c>
      <c r="B186" s="1" t="s">
        <v>15</v>
      </c>
    </row>
    <row r="187" spans="1:2" ht="12.5">
      <c r="A187" s="1" t="s">
        <v>224</v>
      </c>
      <c r="B187" s="1" t="s">
        <v>22</v>
      </c>
    </row>
    <row r="188" spans="1:2" ht="12.5">
      <c r="A188" s="1" t="s">
        <v>225</v>
      </c>
      <c r="B188" s="1" t="s">
        <v>28</v>
      </c>
    </row>
    <row r="189" spans="1:2" ht="12.5">
      <c r="A189" s="1" t="s">
        <v>226</v>
      </c>
      <c r="B189" s="1" t="s">
        <v>22</v>
      </c>
    </row>
    <row r="190" spans="1:2" ht="12.5">
      <c r="A190" s="1" t="s">
        <v>227</v>
      </c>
      <c r="B190" s="1" t="s">
        <v>30</v>
      </c>
    </row>
    <row r="191" spans="1:2" ht="12.5">
      <c r="A191" s="1" t="s">
        <v>229</v>
      </c>
      <c r="B191" s="1" t="s">
        <v>15</v>
      </c>
    </row>
    <row r="192" spans="1:2" ht="12.5">
      <c r="A192" s="1" t="s">
        <v>230</v>
      </c>
      <c r="B192" s="1" t="s">
        <v>15</v>
      </c>
    </row>
    <row r="193" spans="1:2" ht="12.5">
      <c r="A193" s="1" t="s">
        <v>231</v>
      </c>
      <c r="B193" s="1" t="s">
        <v>22</v>
      </c>
    </row>
    <row r="194" spans="1:2" ht="12.5">
      <c r="A194" s="1" t="s">
        <v>232</v>
      </c>
      <c r="B194" s="1" t="s">
        <v>28</v>
      </c>
    </row>
    <row r="195" spans="1:2" ht="12.5">
      <c r="A195" s="1" t="s">
        <v>233</v>
      </c>
      <c r="B195" s="1" t="s">
        <v>28</v>
      </c>
    </row>
    <row r="196" spans="1:2" ht="12.5">
      <c r="A196" s="1" t="s">
        <v>234</v>
      </c>
      <c r="B196" s="1" t="s">
        <v>28</v>
      </c>
    </row>
    <row r="197" spans="1:2" ht="12.5">
      <c r="A197" s="1" t="s">
        <v>235</v>
      </c>
      <c r="B197" s="1" t="s">
        <v>15</v>
      </c>
    </row>
    <row r="198" spans="1:2" ht="12.5">
      <c r="A198" s="1" t="s">
        <v>236</v>
      </c>
      <c r="B198" s="1" t="s">
        <v>12</v>
      </c>
    </row>
    <row r="199" spans="1:2" ht="12.5">
      <c r="A199" s="1" t="s">
        <v>237</v>
      </c>
      <c r="B199" s="1" t="s">
        <v>18</v>
      </c>
    </row>
    <row r="200" spans="1:2" ht="12.5">
      <c r="A200" s="1" t="s">
        <v>238</v>
      </c>
      <c r="B200" s="1" t="s">
        <v>30</v>
      </c>
    </row>
    <row r="201" spans="1:2" ht="12.5">
      <c r="A201" s="1" t="s">
        <v>239</v>
      </c>
      <c r="B201" s="1" t="s">
        <v>15</v>
      </c>
    </row>
    <row r="202" spans="1:2" ht="12.5">
      <c r="A202" s="1" t="s">
        <v>240</v>
      </c>
      <c r="B202" s="1" t="s">
        <v>15</v>
      </c>
    </row>
    <row r="203" spans="1:2" ht="12.5">
      <c r="A203" s="1" t="s">
        <v>241</v>
      </c>
      <c r="B203" s="1" t="s">
        <v>18</v>
      </c>
    </row>
    <row r="204" spans="1:2" ht="12.5">
      <c r="A204" s="1" t="s">
        <v>242</v>
      </c>
      <c r="B204" s="1" t="s">
        <v>15</v>
      </c>
    </row>
    <row r="205" spans="1:2" ht="12.5">
      <c r="A205" s="1" t="s">
        <v>243</v>
      </c>
      <c r="B205" s="1" t="s">
        <v>22</v>
      </c>
    </row>
    <row r="206" spans="1:2" ht="12.5">
      <c r="A206" s="1" t="s">
        <v>244</v>
      </c>
      <c r="B206" s="1" t="s">
        <v>22</v>
      </c>
    </row>
    <row r="207" spans="1:2" ht="12.5">
      <c r="A207" s="1" t="s">
        <v>245</v>
      </c>
      <c r="B207" s="1" t="s">
        <v>28</v>
      </c>
    </row>
    <row r="208" spans="1:2" ht="12.5">
      <c r="A208" s="1" t="s">
        <v>246</v>
      </c>
      <c r="B208" s="1" t="s">
        <v>22</v>
      </c>
    </row>
    <row r="209" spans="1:2" ht="12.5">
      <c r="A209" s="1" t="s">
        <v>247</v>
      </c>
      <c r="B209" s="1" t="s">
        <v>22</v>
      </c>
    </row>
    <row r="210" spans="1:2" ht="12.5">
      <c r="A210" s="1" t="s">
        <v>248</v>
      </c>
      <c r="B210" s="1" t="s">
        <v>30</v>
      </c>
    </row>
    <row r="211" spans="1:2" ht="12.5">
      <c r="A211" s="1" t="s">
        <v>249</v>
      </c>
      <c r="B211" s="1" t="s">
        <v>28</v>
      </c>
    </row>
    <row r="212" spans="1:2" ht="12.5">
      <c r="A212" s="1" t="s">
        <v>250</v>
      </c>
      <c r="B212" s="1" t="s">
        <v>15</v>
      </c>
    </row>
    <row r="213" spans="1:2" ht="12.5">
      <c r="A213" s="1" t="s">
        <v>251</v>
      </c>
      <c r="B213" s="1" t="s">
        <v>15</v>
      </c>
    </row>
    <row r="214" spans="1:2" ht="12.5">
      <c r="A214" s="1" t="s">
        <v>252</v>
      </c>
      <c r="B214" s="1" t="s">
        <v>30</v>
      </c>
    </row>
    <row r="215" spans="1:2" ht="12.5">
      <c r="A215" s="1" t="s">
        <v>253</v>
      </c>
      <c r="B215" s="1" t="s">
        <v>22</v>
      </c>
    </row>
    <row r="216" spans="1:2" ht="12.5">
      <c r="A216" s="1" t="s">
        <v>254</v>
      </c>
      <c r="B216" s="1" t="s">
        <v>28</v>
      </c>
    </row>
    <row r="217" spans="1:2" ht="12.5">
      <c r="A217" s="1" t="s">
        <v>255</v>
      </c>
      <c r="B217" s="1" t="s">
        <v>15</v>
      </c>
    </row>
    <row r="218" spans="1:2" ht="12.5">
      <c r="A218" s="1" t="s">
        <v>256</v>
      </c>
      <c r="B218" s="1" t="s">
        <v>15</v>
      </c>
    </row>
    <row r="219" spans="1:2" ht="12.5">
      <c r="A219" s="1" t="s">
        <v>257</v>
      </c>
      <c r="B219" s="1" t="s">
        <v>15</v>
      </c>
    </row>
    <row r="220" spans="1:2" ht="12.5">
      <c r="A220" s="1" t="s">
        <v>258</v>
      </c>
      <c r="B220" s="1" t="s">
        <v>28</v>
      </c>
    </row>
    <row r="221" spans="1:2" ht="12.5">
      <c r="A221" s="1" t="s">
        <v>259</v>
      </c>
      <c r="B221" s="1" t="s">
        <v>58</v>
      </c>
    </row>
    <row r="222" spans="1:2" ht="12.5">
      <c r="A222" s="1" t="s">
        <v>260</v>
      </c>
      <c r="B222" s="1" t="s">
        <v>58</v>
      </c>
    </row>
    <row r="223" spans="1:2" ht="12.5">
      <c r="A223" s="1" t="s">
        <v>261</v>
      </c>
      <c r="B223" s="1" t="s">
        <v>30</v>
      </c>
    </row>
    <row r="224" spans="1:2" ht="12.5">
      <c r="A224" s="1" t="s">
        <v>262</v>
      </c>
      <c r="B224" s="1" t="s">
        <v>30</v>
      </c>
    </row>
    <row r="225" spans="1:2" ht="12.5">
      <c r="A225" s="1" t="s">
        <v>263</v>
      </c>
      <c r="B225" s="1" t="s">
        <v>15</v>
      </c>
    </row>
    <row r="226" spans="1:2" ht="12.5">
      <c r="A226" s="1" t="s">
        <v>264</v>
      </c>
      <c r="B226" s="1" t="s">
        <v>22</v>
      </c>
    </row>
    <row r="227" spans="1:2" ht="12.5">
      <c r="A227" s="1" t="s">
        <v>265</v>
      </c>
      <c r="B227" s="1" t="s">
        <v>30</v>
      </c>
    </row>
    <row r="228" spans="1:2" ht="12.5">
      <c r="A228" s="1" t="s">
        <v>266</v>
      </c>
      <c r="B228" s="1" t="s">
        <v>22</v>
      </c>
    </row>
    <row r="229" spans="1:2" ht="12.5">
      <c r="A229" s="1" t="s">
        <v>267</v>
      </c>
      <c r="B229" s="1" t="s">
        <v>22</v>
      </c>
    </row>
    <row r="230" spans="1:2" ht="12.5">
      <c r="A230" s="1" t="s">
        <v>268</v>
      </c>
      <c r="B230" s="1" t="s">
        <v>15</v>
      </c>
    </row>
    <row r="231" spans="1:2" ht="12.5">
      <c r="A231" s="1" t="s">
        <v>269</v>
      </c>
      <c r="B231" s="1" t="s">
        <v>15</v>
      </c>
    </row>
    <row r="232" spans="1:2" ht="12.5">
      <c r="A232" s="1" t="s">
        <v>270</v>
      </c>
      <c r="B232" s="1" t="s">
        <v>28</v>
      </c>
    </row>
    <row r="233" spans="1:2" ht="12.5">
      <c r="A233" s="1" t="s">
        <v>271</v>
      </c>
      <c r="B233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46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1" max="21" width="17.7265625" customWidth="1"/>
    <col min="22" max="22" width="17.36328125" customWidth="1"/>
    <col min="23" max="23" width="17.7265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16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27</v>
      </c>
      <c r="R1" s="2" t="s">
        <v>31</v>
      </c>
      <c r="S1" s="2" t="s">
        <v>35</v>
      </c>
      <c r="T1" s="2" t="s">
        <v>37</v>
      </c>
      <c r="U1" s="2" t="s">
        <v>39</v>
      </c>
      <c r="V1" s="2" t="s">
        <v>41</v>
      </c>
      <c r="W1" s="2" t="s">
        <v>43</v>
      </c>
      <c r="X1" s="2" t="s">
        <v>45</v>
      </c>
      <c r="Y1" s="2" t="s">
        <v>47</v>
      </c>
      <c r="Z1" s="2" t="s">
        <v>49</v>
      </c>
      <c r="AA1" s="2" t="s">
        <v>51</v>
      </c>
    </row>
    <row r="2" spans="1:27">
      <c r="A2" s="1" t="s">
        <v>11</v>
      </c>
      <c r="B2" s="1">
        <v>2015</v>
      </c>
      <c r="C2" s="1">
        <v>34413.601560000003</v>
      </c>
      <c r="D2" s="1">
        <v>24.802999499999999</v>
      </c>
      <c r="E2" s="1">
        <v>61.339780810000001</v>
      </c>
      <c r="F2" s="1">
        <v>3.5111995139999999</v>
      </c>
      <c r="G2" s="1">
        <v>22.168783829999999</v>
      </c>
      <c r="H2" s="1">
        <v>12.98023585</v>
      </c>
      <c r="I2" s="1">
        <v>52.988502019999999</v>
      </c>
      <c r="J2" s="1">
        <v>3.8611366170000001</v>
      </c>
      <c r="K2" s="1">
        <v>26.553267569999999</v>
      </c>
      <c r="L2" s="1">
        <v>16.597093789999999</v>
      </c>
      <c r="M2" s="1">
        <v>86.658940720000004</v>
      </c>
      <c r="N2" s="1">
        <v>2.450270561</v>
      </c>
      <c r="O2" s="1">
        <v>8.8760357320000001</v>
      </c>
      <c r="P2" s="1">
        <v>2.0147529870000001</v>
      </c>
      <c r="Q2" s="2">
        <f t="shared" ref="Q2:Q256" si="0">IF(A3=A2,B3-B2,"")</f>
        <v>5</v>
      </c>
      <c r="R2" s="1">
        <f t="shared" ref="R2:R256" si="1">IFERROR(IF($A3=$A2,($E3-$E2)/($B3-$B2),""),"null")</f>
        <v>2.7503264880000002</v>
      </c>
      <c r="S2" s="1">
        <f t="shared" ref="S2:S256" si="2">IFERROR(IF($A3=$A2,($I3-$I2)/($B3-$B2),""),"null")</f>
        <v>2.6678826380000005</v>
      </c>
      <c r="T2" s="1">
        <f t="shared" ref="T2:T256" si="3">IFERROR(IF($A3=$A2,($M3-$M2)/($B3-$B2),""),"null")</f>
        <v>2.6682118559999992</v>
      </c>
      <c r="U2" s="1">
        <f t="shared" ref="U2:U256" si="4">IFERROR(ROUND(E2,0),"null")</f>
        <v>61</v>
      </c>
      <c r="V2" s="3">
        <f t="shared" ref="V2:V256" si="5">IFERROR(ROUND(I2,0),"null")</f>
        <v>53</v>
      </c>
      <c r="W2" s="3">
        <f t="shared" ref="W2:W256" si="6">IFERROR(ROUND(M2,0),"null")</f>
        <v>87</v>
      </c>
      <c r="X2" s="3" t="str">
        <f t="shared" ref="X2:X256" si="7">IF(AND($A3=$A2,$U2=100,$U3=100),"fullaccesss","")</f>
        <v/>
      </c>
      <c r="Y2" s="3" t="str">
        <f t="shared" ref="Y2:Y256" si="8">IF(AND($A3=$A2,$V2=100,$V3=100),"fullaccesss","")</f>
        <v/>
      </c>
      <c r="Z2" s="1" t="str">
        <f t="shared" ref="Z2:Z256" si="9">IF(AND($A3=$A2,$W2=100,$W3=100),"fullaccesss","")</f>
        <v/>
      </c>
      <c r="AA2" s="3">
        <f t="shared" ref="AA2:AA256" si="10">IFERROR(IF(AND(S2&lt;&gt;"",T2&lt;&gt;""),S2-T2,""),"null")</f>
        <v>-3.2921799999874324E-4</v>
      </c>
    </row>
    <row r="3" spans="1:27">
      <c r="A3" s="1" t="s">
        <v>11</v>
      </c>
      <c r="B3" s="1">
        <v>2020</v>
      </c>
      <c r="C3" s="1">
        <v>38928.339840000001</v>
      </c>
      <c r="D3" s="1">
        <v>26.025999070000001</v>
      </c>
      <c r="E3" s="1">
        <v>75.091413250000002</v>
      </c>
      <c r="F3" s="1">
        <v>1.447541688</v>
      </c>
      <c r="G3" s="1">
        <v>14.56026288</v>
      </c>
      <c r="H3" s="1">
        <v>8.9007821739999997</v>
      </c>
      <c r="I3" s="1">
        <v>66.32791521</v>
      </c>
      <c r="J3" s="1">
        <v>1.9568248509999999</v>
      </c>
      <c r="K3" s="1">
        <v>19.68294895</v>
      </c>
      <c r="L3" s="1">
        <v>12.03231098</v>
      </c>
      <c r="M3" s="1">
        <v>100</v>
      </c>
      <c r="N3" s="1">
        <v>0</v>
      </c>
      <c r="O3" s="1">
        <v>0</v>
      </c>
      <c r="P3" s="1">
        <v>0</v>
      </c>
      <c r="Q3" s="2" t="str">
        <f t="shared" si="0"/>
        <v/>
      </c>
      <c r="R3" s="1" t="str">
        <f t="shared" si="1"/>
        <v/>
      </c>
      <c r="S3" s="1" t="str">
        <f t="shared" si="2"/>
        <v/>
      </c>
      <c r="T3" s="1" t="str">
        <f t="shared" si="3"/>
        <v/>
      </c>
      <c r="U3" s="1">
        <f t="shared" si="4"/>
        <v>75</v>
      </c>
      <c r="V3" s="3">
        <f t="shared" si="5"/>
        <v>66</v>
      </c>
      <c r="W3" s="3">
        <f t="shared" si="6"/>
        <v>100</v>
      </c>
      <c r="X3" s="3" t="str">
        <f t="shared" si="7"/>
        <v/>
      </c>
      <c r="Y3" s="3" t="str">
        <f t="shared" si="8"/>
        <v/>
      </c>
      <c r="Z3" s="1" t="str">
        <f t="shared" si="9"/>
        <v/>
      </c>
      <c r="AA3" s="3" t="str">
        <f t="shared" si="10"/>
        <v/>
      </c>
    </row>
    <row r="4" spans="1:27">
      <c r="A4" s="1" t="s">
        <v>14</v>
      </c>
      <c r="B4" s="1">
        <v>2015</v>
      </c>
      <c r="C4" s="1">
        <v>2890.5239259999998</v>
      </c>
      <c r="D4" s="1">
        <v>57.433998109999997</v>
      </c>
      <c r="E4" s="1">
        <v>93.394325339999995</v>
      </c>
      <c r="F4" s="1">
        <v>3.626383658</v>
      </c>
      <c r="G4" s="1">
        <v>2.9792910039999998</v>
      </c>
      <c r="H4" s="1">
        <v>0</v>
      </c>
      <c r="I4" s="1">
        <v>90.627274610000001</v>
      </c>
      <c r="J4" s="1">
        <v>5.2631726480000003</v>
      </c>
      <c r="K4" s="1">
        <v>4.1095527440000001</v>
      </c>
      <c r="L4" s="1">
        <v>0</v>
      </c>
      <c r="M4" s="1">
        <v>95.445066960000005</v>
      </c>
      <c r="N4" s="1">
        <v>2.4133118200000001</v>
      </c>
      <c r="O4" s="1">
        <v>2.1416212159999999</v>
      </c>
      <c r="P4" s="1">
        <v>0</v>
      </c>
      <c r="Q4" s="2">
        <f t="shared" si="0"/>
        <v>5</v>
      </c>
      <c r="R4" s="1">
        <f t="shared" si="1"/>
        <v>0.33474269800000228</v>
      </c>
      <c r="S4" s="1">
        <f t="shared" si="2"/>
        <v>0.69281669000000079</v>
      </c>
      <c r="T4" s="1">
        <f t="shared" si="3"/>
        <v>4.3748431999998158E-2</v>
      </c>
      <c r="U4" s="1">
        <f t="shared" si="4"/>
        <v>93</v>
      </c>
      <c r="V4" s="3">
        <f t="shared" si="5"/>
        <v>91</v>
      </c>
      <c r="W4" s="3">
        <f t="shared" si="6"/>
        <v>95</v>
      </c>
      <c r="X4" s="3" t="str">
        <f t="shared" si="7"/>
        <v/>
      </c>
      <c r="Y4" s="3" t="str">
        <f t="shared" si="8"/>
        <v/>
      </c>
      <c r="Z4" s="1" t="str">
        <f t="shared" si="9"/>
        <v/>
      </c>
      <c r="AA4" s="3">
        <f t="shared" si="10"/>
        <v>0.64906825800000267</v>
      </c>
    </row>
    <row r="5" spans="1:27">
      <c r="A5" s="1" t="s">
        <v>14</v>
      </c>
      <c r="B5" s="1">
        <v>2020</v>
      </c>
      <c r="C5" s="1">
        <v>2877.8000489999999</v>
      </c>
      <c r="D5" s="1">
        <v>62.111999509999997</v>
      </c>
      <c r="E5" s="1">
        <v>95.068038830000006</v>
      </c>
      <c r="F5" s="1">
        <v>1.8846560919999999</v>
      </c>
      <c r="G5" s="1">
        <v>3.0473050810000002</v>
      </c>
      <c r="H5" s="1">
        <v>0</v>
      </c>
      <c r="I5" s="1">
        <v>94.091358060000005</v>
      </c>
      <c r="J5" s="1">
        <v>2.3052649550000002</v>
      </c>
      <c r="K5" s="1">
        <v>3.6033769859999998</v>
      </c>
      <c r="L5" s="1">
        <v>0</v>
      </c>
      <c r="M5" s="1">
        <v>95.663809119999996</v>
      </c>
      <c r="N5" s="1">
        <v>1.62808683</v>
      </c>
      <c r="O5" s="1">
        <v>2.7081040540000001</v>
      </c>
      <c r="P5" s="1">
        <v>0</v>
      </c>
      <c r="Q5" s="2" t="str">
        <f t="shared" si="0"/>
        <v/>
      </c>
      <c r="R5" s="1" t="str">
        <f t="shared" si="1"/>
        <v/>
      </c>
      <c r="S5" s="1" t="str">
        <f t="shared" si="2"/>
        <v/>
      </c>
      <c r="T5" s="1" t="str">
        <f t="shared" si="3"/>
        <v/>
      </c>
      <c r="U5" s="1">
        <f t="shared" si="4"/>
        <v>95</v>
      </c>
      <c r="V5" s="3">
        <f t="shared" si="5"/>
        <v>94</v>
      </c>
      <c r="W5" s="3">
        <f t="shared" si="6"/>
        <v>96</v>
      </c>
      <c r="X5" s="3" t="str">
        <f t="shared" si="7"/>
        <v/>
      </c>
      <c r="Y5" s="3" t="str">
        <f t="shared" si="8"/>
        <v/>
      </c>
      <c r="Z5" s="1" t="str">
        <f t="shared" si="9"/>
        <v/>
      </c>
      <c r="AA5" s="3" t="str">
        <f t="shared" si="10"/>
        <v/>
      </c>
    </row>
    <row r="6" spans="1:27">
      <c r="A6" s="1" t="s">
        <v>17</v>
      </c>
      <c r="B6" s="1">
        <v>2015</v>
      </c>
      <c r="C6" s="1">
        <v>39728.019529999998</v>
      </c>
      <c r="D6" s="1">
        <v>70.847999569999999</v>
      </c>
      <c r="E6" s="1">
        <v>93.409561530000005</v>
      </c>
      <c r="F6" s="1">
        <v>5.157780893</v>
      </c>
      <c r="G6" s="1">
        <v>1.2754646839999999</v>
      </c>
      <c r="H6" s="1">
        <v>0.1571928913</v>
      </c>
      <c r="I6" s="1">
        <v>88.352706859999998</v>
      </c>
      <c r="J6" s="1">
        <v>8.6857531209999994</v>
      </c>
      <c r="K6" s="1">
        <v>2.580431801</v>
      </c>
      <c r="L6" s="1">
        <v>0.38110821550000001</v>
      </c>
      <c r="M6" s="1">
        <v>95.490314699999999</v>
      </c>
      <c r="N6" s="1">
        <v>3.7061173169999999</v>
      </c>
      <c r="O6" s="1">
        <v>0.73851008510000005</v>
      </c>
      <c r="P6" s="1">
        <v>6.5057897530000006E-2</v>
      </c>
      <c r="Q6" s="2">
        <f t="shared" si="0"/>
        <v>5</v>
      </c>
      <c r="R6" s="1">
        <f t="shared" si="1"/>
        <v>0.20555368599999896</v>
      </c>
      <c r="S6" s="1">
        <f t="shared" si="2"/>
        <v>0.33696620999999993</v>
      </c>
      <c r="T6" s="1">
        <f t="shared" si="3"/>
        <v>0.10288423199999955</v>
      </c>
      <c r="U6" s="1">
        <f t="shared" si="4"/>
        <v>93</v>
      </c>
      <c r="V6" s="3">
        <f t="shared" si="5"/>
        <v>88</v>
      </c>
      <c r="W6" s="3">
        <f t="shared" si="6"/>
        <v>95</v>
      </c>
      <c r="X6" s="3" t="str">
        <f t="shared" si="7"/>
        <v/>
      </c>
      <c r="Y6" s="3" t="str">
        <f t="shared" si="8"/>
        <v/>
      </c>
      <c r="Z6" s="1" t="str">
        <f t="shared" si="9"/>
        <v/>
      </c>
      <c r="AA6" s="3">
        <f t="shared" si="10"/>
        <v>0.23408197800000038</v>
      </c>
    </row>
    <row r="7" spans="1:27">
      <c r="A7" s="1" t="s">
        <v>17</v>
      </c>
      <c r="B7" s="1">
        <v>2020</v>
      </c>
      <c r="C7" s="1">
        <v>43851.042970000002</v>
      </c>
      <c r="D7" s="1">
        <v>73.733001709999996</v>
      </c>
      <c r="E7" s="1">
        <v>94.43732996</v>
      </c>
      <c r="F7" s="1">
        <v>4.9858808420000003</v>
      </c>
      <c r="G7" s="1">
        <v>0.53183666380000005</v>
      </c>
      <c r="H7" s="1">
        <v>4.495253272E-2</v>
      </c>
      <c r="I7" s="1">
        <v>90.037537909999998</v>
      </c>
      <c r="J7" s="1">
        <v>8.79672214</v>
      </c>
      <c r="K7" s="1">
        <v>0.99460302810000001</v>
      </c>
      <c r="L7" s="1">
        <v>0.17113692580000001</v>
      </c>
      <c r="M7" s="1">
        <v>96.004735859999997</v>
      </c>
      <c r="N7" s="1">
        <v>3.628288591</v>
      </c>
      <c r="O7" s="1">
        <v>0.36697554780000002</v>
      </c>
      <c r="P7" s="1">
        <v>0</v>
      </c>
      <c r="Q7" s="2" t="str">
        <f t="shared" si="0"/>
        <v/>
      </c>
      <c r="R7" s="1" t="str">
        <f t="shared" si="1"/>
        <v/>
      </c>
      <c r="S7" s="1" t="str">
        <f t="shared" si="2"/>
        <v/>
      </c>
      <c r="T7" s="1" t="str">
        <f t="shared" si="3"/>
        <v/>
      </c>
      <c r="U7" s="1">
        <f t="shared" si="4"/>
        <v>94</v>
      </c>
      <c r="V7" s="3">
        <f t="shared" si="5"/>
        <v>90</v>
      </c>
      <c r="W7" s="3">
        <f t="shared" si="6"/>
        <v>96</v>
      </c>
      <c r="X7" s="3" t="str">
        <f t="shared" si="7"/>
        <v/>
      </c>
      <c r="Y7" s="3" t="str">
        <f t="shared" si="8"/>
        <v/>
      </c>
      <c r="Z7" s="1" t="str">
        <f t="shared" si="9"/>
        <v/>
      </c>
      <c r="AA7" s="3" t="str">
        <f t="shared" si="10"/>
        <v/>
      </c>
    </row>
    <row r="8" spans="1:27">
      <c r="A8" s="1" t="s">
        <v>20</v>
      </c>
      <c r="B8" s="1">
        <v>2015</v>
      </c>
      <c r="C8" s="1">
        <v>55.805999759999999</v>
      </c>
      <c r="D8" s="1">
        <v>87.238006589999998</v>
      </c>
      <c r="E8" s="1">
        <v>99.619103150000001</v>
      </c>
      <c r="F8" s="1">
        <v>0</v>
      </c>
      <c r="G8" s="1">
        <v>0.38089684610000002</v>
      </c>
      <c r="H8" s="1">
        <v>0</v>
      </c>
      <c r="I8" s="1" t="s">
        <v>272</v>
      </c>
      <c r="J8" s="1" t="s">
        <v>272</v>
      </c>
      <c r="K8" s="1" t="s">
        <v>272</v>
      </c>
      <c r="L8" s="1" t="s">
        <v>272</v>
      </c>
      <c r="M8" s="1" t="s">
        <v>272</v>
      </c>
      <c r="N8" s="1" t="s">
        <v>272</v>
      </c>
      <c r="O8" s="1" t="s">
        <v>272</v>
      </c>
      <c r="P8" s="1" t="s">
        <v>272</v>
      </c>
      <c r="Q8" s="2">
        <f t="shared" si="0"/>
        <v>5</v>
      </c>
      <c r="R8" s="1">
        <f t="shared" si="1"/>
        <v>3.0933701999998675E-2</v>
      </c>
      <c r="S8" s="1" t="str">
        <f t="shared" si="2"/>
        <v>null</v>
      </c>
      <c r="T8" s="1" t="str">
        <f t="shared" si="3"/>
        <v>null</v>
      </c>
      <c r="U8" s="1">
        <f t="shared" si="4"/>
        <v>100</v>
      </c>
      <c r="V8" s="3" t="str">
        <f t="shared" si="5"/>
        <v>null</v>
      </c>
      <c r="W8" s="3" t="str">
        <f t="shared" si="6"/>
        <v>null</v>
      </c>
      <c r="X8" s="3" t="str">
        <f t="shared" si="7"/>
        <v>fullaccesss</v>
      </c>
      <c r="Y8" s="3" t="str">
        <f t="shared" si="8"/>
        <v/>
      </c>
      <c r="Z8" s="1" t="str">
        <f t="shared" si="9"/>
        <v/>
      </c>
      <c r="AA8" s="3" t="str">
        <f t="shared" si="10"/>
        <v>null</v>
      </c>
    </row>
    <row r="9" spans="1:27">
      <c r="A9" s="1" t="s">
        <v>20</v>
      </c>
      <c r="B9" s="1">
        <v>2020</v>
      </c>
      <c r="C9" s="1">
        <v>55.196998600000001</v>
      </c>
      <c r="D9" s="1">
        <v>87.152999879999996</v>
      </c>
      <c r="E9" s="1">
        <v>99.773771659999994</v>
      </c>
      <c r="F9" s="1">
        <v>0</v>
      </c>
      <c r="G9" s="1">
        <v>0.22622834150000001</v>
      </c>
      <c r="H9" s="1">
        <v>0</v>
      </c>
      <c r="I9" s="1" t="s">
        <v>272</v>
      </c>
      <c r="J9" s="1" t="s">
        <v>272</v>
      </c>
      <c r="K9" s="1" t="s">
        <v>272</v>
      </c>
      <c r="L9" s="1" t="s">
        <v>272</v>
      </c>
      <c r="M9" s="1" t="s">
        <v>272</v>
      </c>
      <c r="N9" s="1" t="s">
        <v>272</v>
      </c>
      <c r="O9" s="1" t="s">
        <v>272</v>
      </c>
      <c r="P9" s="1" t="s">
        <v>272</v>
      </c>
      <c r="Q9" s="2" t="str">
        <f t="shared" si="0"/>
        <v/>
      </c>
      <c r="R9" s="1" t="str">
        <f t="shared" si="1"/>
        <v/>
      </c>
      <c r="S9" s="1" t="str">
        <f t="shared" si="2"/>
        <v/>
      </c>
      <c r="T9" s="1" t="str">
        <f t="shared" si="3"/>
        <v/>
      </c>
      <c r="U9" s="1">
        <f t="shared" si="4"/>
        <v>100</v>
      </c>
      <c r="V9" s="3" t="str">
        <f t="shared" si="5"/>
        <v>null</v>
      </c>
      <c r="W9" s="3" t="str">
        <f t="shared" si="6"/>
        <v>null</v>
      </c>
      <c r="X9" s="3" t="str">
        <f t="shared" si="7"/>
        <v/>
      </c>
      <c r="Y9" s="3" t="str">
        <f t="shared" si="8"/>
        <v/>
      </c>
      <c r="Z9" s="1" t="str">
        <f t="shared" si="9"/>
        <v/>
      </c>
      <c r="AA9" s="3" t="str">
        <f t="shared" si="10"/>
        <v/>
      </c>
    </row>
    <row r="10" spans="1:27">
      <c r="A10" s="1" t="s">
        <v>24</v>
      </c>
      <c r="B10" s="1">
        <v>2015</v>
      </c>
      <c r="C10" s="1">
        <v>77.992996219999995</v>
      </c>
      <c r="D10" s="1">
        <v>88.344993590000001</v>
      </c>
      <c r="E10" s="1">
        <v>99.999997550000003</v>
      </c>
      <c r="F10" s="1">
        <v>0</v>
      </c>
      <c r="G10" s="1">
        <v>2.4455383569999998E-6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100</v>
      </c>
      <c r="N10" s="1">
        <v>0</v>
      </c>
      <c r="O10" s="1">
        <v>0</v>
      </c>
      <c r="P10" s="1">
        <v>0</v>
      </c>
      <c r="Q10" s="2">
        <f t="shared" si="0"/>
        <v>5</v>
      </c>
      <c r="R10" s="1">
        <f t="shared" si="1"/>
        <v>1.229999998031417E-6</v>
      </c>
      <c r="S10" s="1">
        <f t="shared" si="2"/>
        <v>0</v>
      </c>
      <c r="T10" s="1">
        <f t="shared" si="3"/>
        <v>0</v>
      </c>
      <c r="U10" s="1">
        <f t="shared" si="4"/>
        <v>100</v>
      </c>
      <c r="V10" s="3">
        <f t="shared" si="5"/>
        <v>100</v>
      </c>
      <c r="W10" s="3">
        <f t="shared" si="6"/>
        <v>100</v>
      </c>
      <c r="X10" s="3" t="str">
        <f t="shared" si="7"/>
        <v>fullaccesss</v>
      </c>
      <c r="Y10" s="3" t="str">
        <f t="shared" si="8"/>
        <v>fullaccesss</v>
      </c>
      <c r="Z10" s="1" t="str">
        <f t="shared" si="9"/>
        <v>fullaccesss</v>
      </c>
      <c r="AA10" s="3">
        <f t="shared" si="10"/>
        <v>0</v>
      </c>
    </row>
    <row r="11" spans="1:27">
      <c r="A11" s="1" t="s">
        <v>24</v>
      </c>
      <c r="B11" s="1">
        <v>2020</v>
      </c>
      <c r="C11" s="1">
        <v>77.26499939</v>
      </c>
      <c r="D11" s="1">
        <v>87.916000370000006</v>
      </c>
      <c r="E11" s="1">
        <v>100.00000369999999</v>
      </c>
      <c r="F11" s="1">
        <v>0</v>
      </c>
      <c r="G11" s="1">
        <v>0</v>
      </c>
      <c r="H11" s="1">
        <v>0</v>
      </c>
      <c r="I11" s="1">
        <v>100</v>
      </c>
      <c r="J11" s="1">
        <v>0</v>
      </c>
      <c r="K11" s="1">
        <v>0</v>
      </c>
      <c r="L11" s="1">
        <v>0</v>
      </c>
      <c r="M11" s="1">
        <v>100</v>
      </c>
      <c r="N11" s="1">
        <v>0</v>
      </c>
      <c r="O11" s="1">
        <v>0</v>
      </c>
      <c r="P11" s="1">
        <v>0</v>
      </c>
      <c r="Q11" s="2" t="str">
        <f t="shared" si="0"/>
        <v/>
      </c>
      <c r="R11" s="1" t="str">
        <f t="shared" si="1"/>
        <v/>
      </c>
      <c r="S11" s="1" t="str">
        <f t="shared" si="2"/>
        <v/>
      </c>
      <c r="T11" s="1" t="str">
        <f t="shared" si="3"/>
        <v/>
      </c>
      <c r="U11" s="1">
        <f t="shared" si="4"/>
        <v>100</v>
      </c>
      <c r="V11" s="3">
        <f t="shared" si="5"/>
        <v>100</v>
      </c>
      <c r="W11" s="3">
        <f t="shared" si="6"/>
        <v>100</v>
      </c>
      <c r="X11" s="3" t="str">
        <f t="shared" si="7"/>
        <v/>
      </c>
      <c r="Y11" s="3" t="str">
        <f t="shared" si="8"/>
        <v/>
      </c>
      <c r="Z11" s="1" t="str">
        <f t="shared" si="9"/>
        <v/>
      </c>
      <c r="AA11" s="3" t="str">
        <f t="shared" si="10"/>
        <v/>
      </c>
    </row>
    <row r="12" spans="1:27">
      <c r="A12" s="1" t="s">
        <v>26</v>
      </c>
      <c r="B12" s="1">
        <v>2015</v>
      </c>
      <c r="C12" s="1">
        <v>27884.380860000001</v>
      </c>
      <c r="D12" s="1">
        <v>63.445995330000002</v>
      </c>
      <c r="E12" s="1">
        <v>54.316928349999998</v>
      </c>
      <c r="F12" s="1">
        <v>11.368618659999999</v>
      </c>
      <c r="G12" s="1">
        <v>17.37235635</v>
      </c>
      <c r="H12" s="1">
        <v>16.942096639999999</v>
      </c>
      <c r="I12" s="1">
        <v>26.714369399999999</v>
      </c>
      <c r="J12" s="1">
        <v>9.9310692879999998</v>
      </c>
      <c r="K12" s="1">
        <v>21.725307619999999</v>
      </c>
      <c r="L12" s="1">
        <v>41.629253689999999</v>
      </c>
      <c r="M12" s="1">
        <v>70.219965119999998</v>
      </c>
      <c r="N12" s="1">
        <v>12.196853490000001</v>
      </c>
      <c r="O12" s="1">
        <v>14.86443147</v>
      </c>
      <c r="P12" s="1">
        <v>2.7187499210000001</v>
      </c>
      <c r="Q12" s="2">
        <f t="shared" si="0"/>
        <v>5</v>
      </c>
      <c r="R12" s="1">
        <f t="shared" si="1"/>
        <v>0.57016185399999986</v>
      </c>
      <c r="S12" s="1">
        <f t="shared" si="2"/>
        <v>0.2187714419999999</v>
      </c>
      <c r="T12" s="1">
        <f t="shared" si="3"/>
        <v>0.30463670000000037</v>
      </c>
      <c r="U12" s="1">
        <f t="shared" si="4"/>
        <v>54</v>
      </c>
      <c r="V12" s="3">
        <f t="shared" si="5"/>
        <v>27</v>
      </c>
      <c r="W12" s="3">
        <f t="shared" si="6"/>
        <v>70</v>
      </c>
      <c r="X12" s="3" t="str">
        <f t="shared" si="7"/>
        <v/>
      </c>
      <c r="Y12" s="3" t="str">
        <f t="shared" si="8"/>
        <v/>
      </c>
      <c r="Z12" s="1" t="str">
        <f t="shared" si="9"/>
        <v/>
      </c>
      <c r="AA12" s="3">
        <f t="shared" si="10"/>
        <v>-8.5865258000000472E-2</v>
      </c>
    </row>
    <row r="13" spans="1:27">
      <c r="A13" s="1" t="s">
        <v>26</v>
      </c>
      <c r="B13" s="1">
        <v>2020</v>
      </c>
      <c r="C13" s="1">
        <v>32866.269529999998</v>
      </c>
      <c r="D13" s="1">
        <v>66.824996949999999</v>
      </c>
      <c r="E13" s="1">
        <v>57.167737619999997</v>
      </c>
      <c r="F13" s="1">
        <v>9.2873499190000004</v>
      </c>
      <c r="G13" s="1">
        <v>19.450825340000002</v>
      </c>
      <c r="H13" s="1">
        <v>14.094087119999999</v>
      </c>
      <c r="I13" s="1">
        <v>27.808226609999998</v>
      </c>
      <c r="J13" s="1">
        <v>8.7404883889999994</v>
      </c>
      <c r="K13" s="1">
        <v>22.933152580000002</v>
      </c>
      <c r="L13" s="1">
        <v>40.518132420000001</v>
      </c>
      <c r="M13" s="1">
        <v>71.743148619999999</v>
      </c>
      <c r="N13" s="1">
        <v>9.5588374890000001</v>
      </c>
      <c r="O13" s="1">
        <v>17.722034730000001</v>
      </c>
      <c r="P13" s="1">
        <v>0.97597916289999997</v>
      </c>
      <c r="Q13" s="2" t="str">
        <f t="shared" si="0"/>
        <v/>
      </c>
      <c r="R13" s="1" t="str">
        <f t="shared" si="1"/>
        <v/>
      </c>
      <c r="S13" s="1" t="str">
        <f t="shared" si="2"/>
        <v/>
      </c>
      <c r="T13" s="1" t="str">
        <f t="shared" si="3"/>
        <v/>
      </c>
      <c r="U13" s="1">
        <f t="shared" si="4"/>
        <v>57</v>
      </c>
      <c r="V13" s="3">
        <f t="shared" si="5"/>
        <v>28</v>
      </c>
      <c r="W13" s="3">
        <f t="shared" si="6"/>
        <v>72</v>
      </c>
      <c r="X13" s="3" t="str">
        <f t="shared" si="7"/>
        <v/>
      </c>
      <c r="Y13" s="3" t="str">
        <f t="shared" si="8"/>
        <v/>
      </c>
      <c r="Z13" s="1" t="str">
        <f t="shared" si="9"/>
        <v/>
      </c>
      <c r="AA13" s="3" t="str">
        <f t="shared" si="10"/>
        <v/>
      </c>
    </row>
    <row r="14" spans="1:27">
      <c r="A14" s="1" t="s">
        <v>29</v>
      </c>
      <c r="B14" s="1">
        <v>2015</v>
      </c>
      <c r="C14" s="1">
        <v>14.27900028</v>
      </c>
      <c r="D14" s="1">
        <v>100</v>
      </c>
      <c r="E14" s="1">
        <v>97.482274250000003</v>
      </c>
      <c r="F14" s="1">
        <v>0</v>
      </c>
      <c r="G14" s="1">
        <v>2.5177257530000001</v>
      </c>
      <c r="H14" s="1">
        <v>0</v>
      </c>
      <c r="I14" s="1" t="s">
        <v>272</v>
      </c>
      <c r="J14" s="1" t="s">
        <v>272</v>
      </c>
      <c r="K14" s="1" t="s">
        <v>272</v>
      </c>
      <c r="L14" s="1" t="s">
        <v>272</v>
      </c>
      <c r="M14" s="1">
        <v>97.482274250000003</v>
      </c>
      <c r="N14" s="1">
        <v>0</v>
      </c>
      <c r="O14" s="1">
        <v>2.5177257530000001</v>
      </c>
      <c r="P14" s="1">
        <v>0</v>
      </c>
      <c r="Q14" s="2">
        <f t="shared" si="0"/>
        <v>2</v>
      </c>
      <c r="R14" s="1">
        <f t="shared" si="1"/>
        <v>0</v>
      </c>
      <c r="S14" s="1" t="str">
        <f t="shared" si="2"/>
        <v>null</v>
      </c>
      <c r="T14" s="1">
        <f t="shared" si="3"/>
        <v>0</v>
      </c>
      <c r="U14" s="1">
        <f t="shared" si="4"/>
        <v>97</v>
      </c>
      <c r="V14" s="3" t="str">
        <f t="shared" si="5"/>
        <v>null</v>
      </c>
      <c r="W14" s="3">
        <f t="shared" si="6"/>
        <v>97</v>
      </c>
      <c r="X14" s="3" t="str">
        <f t="shared" si="7"/>
        <v/>
      </c>
      <c r="Y14" s="3" t="str">
        <f t="shared" si="8"/>
        <v/>
      </c>
      <c r="Z14" s="1" t="str">
        <f t="shared" si="9"/>
        <v/>
      </c>
      <c r="AA14" s="3" t="str">
        <f t="shared" si="10"/>
        <v>null</v>
      </c>
    </row>
    <row r="15" spans="1:27">
      <c r="A15" s="1" t="s">
        <v>29</v>
      </c>
      <c r="B15" s="1">
        <v>2017</v>
      </c>
      <c r="C15" s="1">
        <v>14.588000299999999</v>
      </c>
      <c r="D15" s="1">
        <v>100</v>
      </c>
      <c r="E15" s="1">
        <v>97.482274250000003</v>
      </c>
      <c r="F15" s="1">
        <v>0</v>
      </c>
      <c r="G15" s="1">
        <v>2.5177257530000001</v>
      </c>
      <c r="H15" s="1">
        <v>0</v>
      </c>
      <c r="I15" s="1" t="s">
        <v>272</v>
      </c>
      <c r="J15" s="1" t="s">
        <v>272</v>
      </c>
      <c r="K15" s="1" t="s">
        <v>272</v>
      </c>
      <c r="L15" s="1" t="s">
        <v>272</v>
      </c>
      <c r="M15" s="1">
        <v>97.482274250000003</v>
      </c>
      <c r="N15" s="1">
        <v>0</v>
      </c>
      <c r="O15" s="1">
        <v>2.5177257530000001</v>
      </c>
      <c r="P15" s="1">
        <v>0</v>
      </c>
      <c r="Q15" s="2" t="str">
        <f t="shared" si="0"/>
        <v/>
      </c>
      <c r="R15" s="1" t="str">
        <f t="shared" si="1"/>
        <v/>
      </c>
      <c r="S15" s="1" t="str">
        <f t="shared" si="2"/>
        <v/>
      </c>
      <c r="T15" s="1" t="str">
        <f t="shared" si="3"/>
        <v/>
      </c>
      <c r="U15" s="1">
        <f t="shared" si="4"/>
        <v>97</v>
      </c>
      <c r="V15" s="3" t="str">
        <f t="shared" si="5"/>
        <v>null</v>
      </c>
      <c r="W15" s="3">
        <f t="shared" si="6"/>
        <v>97</v>
      </c>
      <c r="X15" s="3" t="str">
        <f t="shared" si="7"/>
        <v/>
      </c>
      <c r="Y15" s="3" t="str">
        <f t="shared" si="8"/>
        <v/>
      </c>
      <c r="Z15" s="1" t="str">
        <f t="shared" si="9"/>
        <v/>
      </c>
      <c r="AA15" s="3" t="str">
        <f t="shared" si="10"/>
        <v/>
      </c>
    </row>
    <row r="16" spans="1:27">
      <c r="A16" s="1" t="s">
        <v>32</v>
      </c>
      <c r="B16" s="1">
        <v>2015</v>
      </c>
      <c r="C16" s="1">
        <v>93.570999150000006</v>
      </c>
      <c r="D16" s="1">
        <v>25</v>
      </c>
      <c r="E16" s="1">
        <v>96.739186279999998</v>
      </c>
      <c r="F16" s="1">
        <v>0</v>
      </c>
      <c r="G16" s="1">
        <v>3.1663476099999999</v>
      </c>
      <c r="H16" s="1">
        <v>9.4466114089999997E-2</v>
      </c>
      <c r="I16" s="1" t="s">
        <v>272</v>
      </c>
      <c r="J16" s="1" t="s">
        <v>272</v>
      </c>
      <c r="K16" s="1" t="s">
        <v>272</v>
      </c>
      <c r="L16" s="1" t="s">
        <v>272</v>
      </c>
      <c r="M16" s="1" t="s">
        <v>272</v>
      </c>
      <c r="N16" s="1" t="s">
        <v>272</v>
      </c>
      <c r="O16" s="1" t="s">
        <v>272</v>
      </c>
      <c r="P16" s="1" t="s">
        <v>272</v>
      </c>
      <c r="Q16" s="2">
        <f t="shared" si="0"/>
        <v>2</v>
      </c>
      <c r="R16" s="1">
        <f t="shared" si="1"/>
        <v>0</v>
      </c>
      <c r="S16" s="1" t="str">
        <f t="shared" si="2"/>
        <v>null</v>
      </c>
      <c r="T16" s="1" t="str">
        <f t="shared" si="3"/>
        <v>null</v>
      </c>
      <c r="U16" s="1">
        <f t="shared" si="4"/>
        <v>97</v>
      </c>
      <c r="V16" s="3" t="str">
        <f t="shared" si="5"/>
        <v>null</v>
      </c>
      <c r="W16" s="3" t="str">
        <f t="shared" si="6"/>
        <v>null</v>
      </c>
      <c r="X16" s="3" t="str">
        <f t="shared" si="7"/>
        <v/>
      </c>
      <c r="Y16" s="3" t="str">
        <f t="shared" si="8"/>
        <v/>
      </c>
      <c r="Z16" s="1" t="str">
        <f t="shared" si="9"/>
        <v/>
      </c>
      <c r="AA16" s="3" t="str">
        <f t="shared" si="10"/>
        <v>null</v>
      </c>
    </row>
    <row r="17" spans="1:27">
      <c r="A17" s="1" t="s">
        <v>32</v>
      </c>
      <c r="B17" s="1">
        <v>2017</v>
      </c>
      <c r="C17" s="1">
        <v>95.425003050000001</v>
      </c>
      <c r="D17" s="1">
        <v>24.713001250000001</v>
      </c>
      <c r="E17" s="1">
        <v>96.739186279999998</v>
      </c>
      <c r="F17" s="1">
        <v>0</v>
      </c>
      <c r="G17" s="1">
        <v>3.1663476099999999</v>
      </c>
      <c r="H17" s="1">
        <v>9.4466114089999997E-2</v>
      </c>
      <c r="I17" s="1" t="s">
        <v>272</v>
      </c>
      <c r="J17" s="1" t="s">
        <v>272</v>
      </c>
      <c r="K17" s="1" t="s">
        <v>272</v>
      </c>
      <c r="L17" s="1" t="s">
        <v>272</v>
      </c>
      <c r="M17" s="1" t="s">
        <v>272</v>
      </c>
      <c r="N17" s="1" t="s">
        <v>272</v>
      </c>
      <c r="O17" s="1" t="s">
        <v>272</v>
      </c>
      <c r="P17" s="1" t="s">
        <v>272</v>
      </c>
      <c r="Q17" s="2" t="str">
        <f t="shared" si="0"/>
        <v/>
      </c>
      <c r="R17" s="1" t="str">
        <f t="shared" si="1"/>
        <v/>
      </c>
      <c r="S17" s="1" t="str">
        <f t="shared" si="2"/>
        <v/>
      </c>
      <c r="T17" s="1" t="str">
        <f t="shared" si="3"/>
        <v/>
      </c>
      <c r="U17" s="1">
        <f t="shared" si="4"/>
        <v>97</v>
      </c>
      <c r="V17" s="3" t="str">
        <f t="shared" si="5"/>
        <v>null</v>
      </c>
      <c r="W17" s="3" t="str">
        <f t="shared" si="6"/>
        <v>null</v>
      </c>
      <c r="X17" s="3" t="str">
        <f t="shared" si="7"/>
        <v/>
      </c>
      <c r="Y17" s="3" t="str">
        <f t="shared" si="8"/>
        <v/>
      </c>
      <c r="Z17" s="1" t="str">
        <f t="shared" si="9"/>
        <v/>
      </c>
      <c r="AA17" s="3" t="str">
        <f t="shared" si="10"/>
        <v/>
      </c>
    </row>
    <row r="18" spans="1:27">
      <c r="A18" s="1" t="s">
        <v>33</v>
      </c>
      <c r="B18" s="1">
        <v>2015</v>
      </c>
      <c r="C18" s="1">
        <v>43075.414060000003</v>
      </c>
      <c r="D18" s="1">
        <v>91.502998349999999</v>
      </c>
      <c r="E18" s="1">
        <v>98.966588150000007</v>
      </c>
      <c r="F18" s="1">
        <v>0</v>
      </c>
      <c r="G18" s="1">
        <v>0.66491437909999995</v>
      </c>
      <c r="H18" s="1">
        <v>0.36849747420000001</v>
      </c>
      <c r="I18" s="1">
        <v>92.983660049999997</v>
      </c>
      <c r="J18" s="1">
        <v>0</v>
      </c>
      <c r="K18" s="1">
        <v>2.6795448990000001</v>
      </c>
      <c r="L18" s="1">
        <v>4.3367950510000002</v>
      </c>
      <c r="M18" s="1">
        <v>99.522163050000003</v>
      </c>
      <c r="N18" s="1">
        <v>0</v>
      </c>
      <c r="O18" s="1">
        <v>0.47783694729999998</v>
      </c>
      <c r="P18" s="1">
        <v>0</v>
      </c>
      <c r="Q18" s="2">
        <f t="shared" si="0"/>
        <v>5</v>
      </c>
      <c r="R18" s="1" t="str">
        <f t="shared" si="1"/>
        <v>null</v>
      </c>
      <c r="S18" s="1" t="str">
        <f t="shared" si="2"/>
        <v>null</v>
      </c>
      <c r="T18" s="1">
        <f t="shared" si="3"/>
        <v>5.3651519999999661E-2</v>
      </c>
      <c r="U18" s="1">
        <f t="shared" si="4"/>
        <v>99</v>
      </c>
      <c r="V18" s="3">
        <f t="shared" si="5"/>
        <v>93</v>
      </c>
      <c r="W18" s="3">
        <f t="shared" si="6"/>
        <v>100</v>
      </c>
      <c r="X18" s="3" t="str">
        <f t="shared" si="7"/>
        <v/>
      </c>
      <c r="Y18" s="3" t="str">
        <f t="shared" si="8"/>
        <v/>
      </c>
      <c r="Z18" s="1" t="str">
        <f t="shared" si="9"/>
        <v>fullaccesss</v>
      </c>
      <c r="AA18" s="3" t="str">
        <f t="shared" si="10"/>
        <v>null</v>
      </c>
    </row>
    <row r="19" spans="1:27">
      <c r="A19" s="1" t="s">
        <v>33</v>
      </c>
      <c r="B19" s="1">
        <v>2020</v>
      </c>
      <c r="C19" s="1">
        <v>45195.777340000001</v>
      </c>
      <c r="D19" s="1">
        <v>92.111000059999995</v>
      </c>
      <c r="E19" s="1" t="s">
        <v>272</v>
      </c>
      <c r="F19" s="1" t="s">
        <v>272</v>
      </c>
      <c r="G19" s="1" t="s">
        <v>272</v>
      </c>
      <c r="H19" s="1" t="s">
        <v>272</v>
      </c>
      <c r="I19" s="1" t="s">
        <v>272</v>
      </c>
      <c r="J19" s="1" t="s">
        <v>272</v>
      </c>
      <c r="K19" s="1" t="s">
        <v>272</v>
      </c>
      <c r="L19" s="1" t="s">
        <v>272</v>
      </c>
      <c r="M19" s="1">
        <v>99.790420650000002</v>
      </c>
      <c r="N19" s="1">
        <v>0</v>
      </c>
      <c r="O19" s="1">
        <v>0.20957935010000001</v>
      </c>
      <c r="P19" s="1">
        <v>0</v>
      </c>
      <c r="Q19" s="2" t="str">
        <f t="shared" si="0"/>
        <v/>
      </c>
      <c r="R19" s="1" t="str">
        <f t="shared" si="1"/>
        <v/>
      </c>
      <c r="S19" s="1" t="str">
        <f t="shared" si="2"/>
        <v/>
      </c>
      <c r="T19" s="1" t="str">
        <f t="shared" si="3"/>
        <v/>
      </c>
      <c r="U19" s="1" t="str">
        <f t="shared" si="4"/>
        <v>null</v>
      </c>
      <c r="V19" s="3" t="str">
        <f t="shared" si="5"/>
        <v>null</v>
      </c>
      <c r="W19" s="3">
        <f t="shared" si="6"/>
        <v>100</v>
      </c>
      <c r="X19" s="3" t="str">
        <f t="shared" si="7"/>
        <v/>
      </c>
      <c r="Y19" s="3" t="str">
        <f t="shared" si="8"/>
        <v/>
      </c>
      <c r="Z19" s="1" t="str">
        <f t="shared" si="9"/>
        <v/>
      </c>
      <c r="AA19" s="3" t="str">
        <f t="shared" si="10"/>
        <v/>
      </c>
    </row>
    <row r="20" spans="1:27">
      <c r="A20" s="1" t="s">
        <v>34</v>
      </c>
      <c r="B20" s="1">
        <v>2015</v>
      </c>
      <c r="C20" s="1">
        <v>2925.5590820000002</v>
      </c>
      <c r="D20" s="1">
        <v>63.085002899999999</v>
      </c>
      <c r="E20" s="1">
        <v>99.5525667</v>
      </c>
      <c r="F20" s="1">
        <v>0</v>
      </c>
      <c r="G20" s="1">
        <v>9.8505083660000006E-2</v>
      </c>
      <c r="H20" s="1">
        <v>0.3489282205</v>
      </c>
      <c r="I20" s="1">
        <v>99.054779269999997</v>
      </c>
      <c r="J20" s="1">
        <v>0</v>
      </c>
      <c r="K20" s="1">
        <v>0</v>
      </c>
      <c r="L20" s="1">
        <v>0.94522073470000001</v>
      </c>
      <c r="M20" s="1">
        <v>99.8438534</v>
      </c>
      <c r="N20" s="1">
        <v>0</v>
      </c>
      <c r="O20" s="1">
        <v>0.15614659810000001</v>
      </c>
      <c r="P20" s="1">
        <v>0</v>
      </c>
      <c r="Q20" s="2">
        <f t="shared" si="0"/>
        <v>5</v>
      </c>
      <c r="R20" s="1">
        <f t="shared" si="1"/>
        <v>8.3722797999999446E-2</v>
      </c>
      <c r="S20" s="1">
        <f t="shared" si="2"/>
        <v>0.18904414600000052</v>
      </c>
      <c r="T20" s="1">
        <f t="shared" si="3"/>
        <v>2.2125564000000965E-2</v>
      </c>
      <c r="U20" s="1">
        <f t="shared" si="4"/>
        <v>100</v>
      </c>
      <c r="V20" s="3">
        <f t="shared" si="5"/>
        <v>99</v>
      </c>
      <c r="W20" s="3">
        <f t="shared" si="6"/>
        <v>100</v>
      </c>
      <c r="X20" s="3" t="str">
        <f t="shared" si="7"/>
        <v>fullaccesss</v>
      </c>
      <c r="Y20" s="3" t="str">
        <f t="shared" si="8"/>
        <v/>
      </c>
      <c r="Z20" s="1" t="str">
        <f t="shared" si="9"/>
        <v>fullaccesss</v>
      </c>
      <c r="AA20" s="3">
        <f t="shared" si="10"/>
        <v>0.16691858199999957</v>
      </c>
    </row>
    <row r="21" spans="1:27">
      <c r="A21" s="1" t="s">
        <v>34</v>
      </c>
      <c r="B21" s="1">
        <v>2020</v>
      </c>
      <c r="C21" s="1">
        <v>2963.2338869999999</v>
      </c>
      <c r="D21" s="1">
        <v>63.312999730000001</v>
      </c>
      <c r="E21" s="1">
        <v>99.971180689999997</v>
      </c>
      <c r="F21" s="1">
        <v>0</v>
      </c>
      <c r="G21" s="1">
        <v>2.8819308009999999E-2</v>
      </c>
      <c r="H21" s="1">
        <v>0</v>
      </c>
      <c r="I21" s="1">
        <v>100</v>
      </c>
      <c r="J21" s="1">
        <v>0</v>
      </c>
      <c r="K21" s="1">
        <v>0</v>
      </c>
      <c r="L21" s="1">
        <v>0</v>
      </c>
      <c r="M21" s="1">
        <v>99.954481220000005</v>
      </c>
      <c r="N21" s="1">
        <v>0</v>
      </c>
      <c r="O21" s="1">
        <v>4.5518783639999998E-2</v>
      </c>
      <c r="P21" s="1">
        <v>0</v>
      </c>
      <c r="Q21" s="2" t="str">
        <f t="shared" si="0"/>
        <v/>
      </c>
      <c r="R21" s="1" t="str">
        <f t="shared" si="1"/>
        <v/>
      </c>
      <c r="S21" s="1" t="str">
        <f t="shared" si="2"/>
        <v/>
      </c>
      <c r="T21" s="1" t="str">
        <f t="shared" si="3"/>
        <v/>
      </c>
      <c r="U21" s="1">
        <f t="shared" si="4"/>
        <v>100</v>
      </c>
      <c r="V21" s="3">
        <f t="shared" si="5"/>
        <v>100</v>
      </c>
      <c r="W21" s="3">
        <f t="shared" si="6"/>
        <v>100</v>
      </c>
      <c r="X21" s="3" t="str">
        <f t="shared" si="7"/>
        <v/>
      </c>
      <c r="Y21" s="3" t="str">
        <f t="shared" si="8"/>
        <v/>
      </c>
      <c r="Z21" s="1" t="str">
        <f t="shared" si="9"/>
        <v/>
      </c>
      <c r="AA21" s="3" t="str">
        <f t="shared" si="10"/>
        <v/>
      </c>
    </row>
    <row r="22" spans="1:27">
      <c r="A22" s="1" t="s">
        <v>36</v>
      </c>
      <c r="B22" s="1">
        <v>2015</v>
      </c>
      <c r="C22" s="1">
        <v>104.3389969</v>
      </c>
      <c r="D22" s="1">
        <v>43.108001710000003</v>
      </c>
      <c r="E22" s="1">
        <v>97.869023380000002</v>
      </c>
      <c r="F22" s="1">
        <v>0</v>
      </c>
      <c r="G22" s="1">
        <v>1.95993621</v>
      </c>
      <c r="H22" s="1">
        <v>0.1710404089</v>
      </c>
      <c r="I22" s="1" t="s">
        <v>272</v>
      </c>
      <c r="J22" s="1" t="s">
        <v>272</v>
      </c>
      <c r="K22" s="1" t="s">
        <v>272</v>
      </c>
      <c r="L22" s="1" t="s">
        <v>272</v>
      </c>
      <c r="M22" s="1" t="s">
        <v>272</v>
      </c>
      <c r="N22" s="1" t="s">
        <v>272</v>
      </c>
      <c r="O22" s="1" t="s">
        <v>272</v>
      </c>
      <c r="P22" s="1" t="s">
        <v>272</v>
      </c>
      <c r="Q22" s="2">
        <f t="shared" si="0"/>
        <v>1</v>
      </c>
      <c r="R22" s="1">
        <f t="shared" si="1"/>
        <v>0</v>
      </c>
      <c r="S22" s="1" t="str">
        <f t="shared" si="2"/>
        <v>null</v>
      </c>
      <c r="T22" s="1" t="str">
        <f t="shared" si="3"/>
        <v>null</v>
      </c>
      <c r="U22" s="1">
        <f t="shared" si="4"/>
        <v>98</v>
      </c>
      <c r="V22" s="3" t="str">
        <f t="shared" si="5"/>
        <v>null</v>
      </c>
      <c r="W22" s="3" t="str">
        <f t="shared" si="6"/>
        <v>null</v>
      </c>
      <c r="X22" s="3" t="str">
        <f t="shared" si="7"/>
        <v/>
      </c>
      <c r="Y22" s="3" t="str">
        <f t="shared" si="8"/>
        <v/>
      </c>
      <c r="Z22" s="1" t="str">
        <f t="shared" si="9"/>
        <v/>
      </c>
      <c r="AA22" s="3" t="str">
        <f t="shared" si="10"/>
        <v>null</v>
      </c>
    </row>
    <row r="23" spans="1:27">
      <c r="A23" s="1" t="s">
        <v>36</v>
      </c>
      <c r="B23" s="1">
        <v>2016</v>
      </c>
      <c r="C23" s="1">
        <v>104.86499790000001</v>
      </c>
      <c r="D23" s="1">
        <v>43.191997530000002</v>
      </c>
      <c r="E23" s="1">
        <v>97.869023380000002</v>
      </c>
      <c r="F23" s="1">
        <v>0</v>
      </c>
      <c r="G23" s="1">
        <v>1.95993621</v>
      </c>
      <c r="H23" s="1">
        <v>0.1710404089</v>
      </c>
      <c r="I23" s="1" t="s">
        <v>272</v>
      </c>
      <c r="J23" s="1" t="s">
        <v>272</v>
      </c>
      <c r="K23" s="1" t="s">
        <v>272</v>
      </c>
      <c r="L23" s="1" t="s">
        <v>272</v>
      </c>
      <c r="M23" s="1" t="s">
        <v>272</v>
      </c>
      <c r="N23" s="1" t="s">
        <v>272</v>
      </c>
      <c r="O23" s="1" t="s">
        <v>272</v>
      </c>
      <c r="P23" s="1" t="s">
        <v>272</v>
      </c>
      <c r="Q23" s="2" t="str">
        <f t="shared" si="0"/>
        <v/>
      </c>
      <c r="R23" s="1" t="str">
        <f t="shared" si="1"/>
        <v/>
      </c>
      <c r="S23" s="1" t="str">
        <f t="shared" si="2"/>
        <v/>
      </c>
      <c r="T23" s="1" t="str">
        <f t="shared" si="3"/>
        <v/>
      </c>
      <c r="U23" s="1">
        <f t="shared" si="4"/>
        <v>98</v>
      </c>
      <c r="V23" s="3" t="str">
        <f t="shared" si="5"/>
        <v>null</v>
      </c>
      <c r="W23" s="3" t="str">
        <f t="shared" si="6"/>
        <v>null</v>
      </c>
      <c r="X23" s="3" t="str">
        <f t="shared" si="7"/>
        <v/>
      </c>
      <c r="Y23" s="3" t="str">
        <f t="shared" si="8"/>
        <v/>
      </c>
      <c r="Z23" s="1" t="str">
        <f t="shared" si="9"/>
        <v/>
      </c>
      <c r="AA23" s="3" t="str">
        <f t="shared" si="10"/>
        <v/>
      </c>
    </row>
    <row r="24" spans="1:27">
      <c r="A24" s="1" t="s">
        <v>38</v>
      </c>
      <c r="B24" s="1">
        <v>2015</v>
      </c>
      <c r="C24" s="1">
        <v>23932.498049999998</v>
      </c>
      <c r="D24" s="1">
        <v>85.701004030000007</v>
      </c>
      <c r="E24" s="1">
        <v>99.970005670000006</v>
      </c>
      <c r="F24" s="1">
        <v>0</v>
      </c>
      <c r="G24" s="1">
        <v>2.9994330570000002E-2</v>
      </c>
      <c r="H24" s="1">
        <v>0</v>
      </c>
      <c r="I24" s="1">
        <v>100</v>
      </c>
      <c r="J24" s="1">
        <v>0</v>
      </c>
      <c r="K24" s="1">
        <v>0</v>
      </c>
      <c r="L24" s="1">
        <v>0</v>
      </c>
      <c r="M24" s="1">
        <v>99.965000000000003</v>
      </c>
      <c r="N24" s="1">
        <v>0</v>
      </c>
      <c r="O24" s="1">
        <v>3.5000000000000003E-2</v>
      </c>
      <c r="P24" s="1">
        <v>0</v>
      </c>
      <c r="Q24" s="2">
        <f t="shared" si="0"/>
        <v>5</v>
      </c>
      <c r="R24" s="1">
        <f t="shared" si="1"/>
        <v>-3.8770000000454277E-5</v>
      </c>
      <c r="S24" s="1">
        <f t="shared" si="2"/>
        <v>0</v>
      </c>
      <c r="T24" s="1">
        <f t="shared" si="3"/>
        <v>0</v>
      </c>
      <c r="U24" s="1">
        <f t="shared" si="4"/>
        <v>100</v>
      </c>
      <c r="V24" s="3">
        <f t="shared" si="5"/>
        <v>100</v>
      </c>
      <c r="W24" s="3">
        <f t="shared" si="6"/>
        <v>100</v>
      </c>
      <c r="X24" s="3" t="str">
        <f t="shared" si="7"/>
        <v>fullaccesss</v>
      </c>
      <c r="Y24" s="3" t="str">
        <f t="shared" si="8"/>
        <v>fullaccesss</v>
      </c>
      <c r="Z24" s="1" t="str">
        <f t="shared" si="9"/>
        <v>fullaccesss</v>
      </c>
      <c r="AA24" s="3">
        <f t="shared" si="10"/>
        <v>0</v>
      </c>
    </row>
    <row r="25" spans="1:27">
      <c r="A25" s="1" t="s">
        <v>38</v>
      </c>
      <c r="B25" s="1">
        <v>2020</v>
      </c>
      <c r="C25" s="1">
        <v>25499.880860000001</v>
      </c>
      <c r="D25" s="1">
        <v>86.240997309999997</v>
      </c>
      <c r="E25" s="1">
        <v>99.969811820000004</v>
      </c>
      <c r="F25" s="1">
        <v>0</v>
      </c>
      <c r="G25" s="1">
        <v>3.0188178730000001E-2</v>
      </c>
      <c r="H25" s="1">
        <v>0</v>
      </c>
      <c r="I25" s="1">
        <v>100</v>
      </c>
      <c r="J25" s="1">
        <v>0</v>
      </c>
      <c r="K25" s="1">
        <v>0</v>
      </c>
      <c r="L25" s="1">
        <v>0</v>
      </c>
      <c r="M25" s="1">
        <v>99.965000000000003</v>
      </c>
      <c r="N25" s="1">
        <v>0</v>
      </c>
      <c r="O25" s="1">
        <v>3.5000000000000003E-2</v>
      </c>
      <c r="P25" s="1">
        <v>0</v>
      </c>
      <c r="Q25" s="2" t="str">
        <f t="shared" si="0"/>
        <v/>
      </c>
      <c r="R25" s="1" t="str">
        <f t="shared" si="1"/>
        <v/>
      </c>
      <c r="S25" s="1" t="str">
        <f t="shared" si="2"/>
        <v/>
      </c>
      <c r="T25" s="1" t="str">
        <f t="shared" si="3"/>
        <v/>
      </c>
      <c r="U25" s="1">
        <f t="shared" si="4"/>
        <v>100</v>
      </c>
      <c r="V25" s="3">
        <f t="shared" si="5"/>
        <v>100</v>
      </c>
      <c r="W25" s="3">
        <f t="shared" si="6"/>
        <v>100</v>
      </c>
      <c r="X25" s="3" t="str">
        <f t="shared" si="7"/>
        <v/>
      </c>
      <c r="Y25" s="3" t="str">
        <f t="shared" si="8"/>
        <v/>
      </c>
      <c r="Z25" s="1" t="str">
        <f t="shared" si="9"/>
        <v/>
      </c>
      <c r="AA25" s="3" t="str">
        <f t="shared" si="10"/>
        <v/>
      </c>
    </row>
    <row r="26" spans="1:27">
      <c r="A26" s="1" t="s">
        <v>40</v>
      </c>
      <c r="B26" s="1">
        <v>2015</v>
      </c>
      <c r="C26" s="1">
        <v>8678.6669920000004</v>
      </c>
      <c r="D26" s="1">
        <v>57.715000150000002</v>
      </c>
      <c r="E26" s="1">
        <v>100</v>
      </c>
      <c r="F26" s="1">
        <v>0</v>
      </c>
      <c r="G26" s="1">
        <v>0</v>
      </c>
      <c r="H26" s="1">
        <v>0</v>
      </c>
      <c r="I26" s="1">
        <v>100</v>
      </c>
      <c r="J26" s="1">
        <v>0</v>
      </c>
      <c r="K26" s="1">
        <v>0</v>
      </c>
      <c r="L26" s="1">
        <v>0</v>
      </c>
      <c r="M26" s="1">
        <v>100</v>
      </c>
      <c r="N26" s="1">
        <v>0</v>
      </c>
      <c r="O26" s="1">
        <v>0</v>
      </c>
      <c r="P26" s="1">
        <v>0</v>
      </c>
      <c r="Q26" s="2">
        <f t="shared" si="0"/>
        <v>5</v>
      </c>
      <c r="R26" s="1">
        <f t="shared" si="1"/>
        <v>0</v>
      </c>
      <c r="S26" s="1">
        <f t="shared" si="2"/>
        <v>0</v>
      </c>
      <c r="T26" s="1">
        <f t="shared" si="3"/>
        <v>0</v>
      </c>
      <c r="U26" s="1">
        <f t="shared" si="4"/>
        <v>100</v>
      </c>
      <c r="V26" s="3">
        <f t="shared" si="5"/>
        <v>100</v>
      </c>
      <c r="W26" s="3">
        <f t="shared" si="6"/>
        <v>100</v>
      </c>
      <c r="X26" s="3" t="str">
        <f t="shared" si="7"/>
        <v>fullaccesss</v>
      </c>
      <c r="Y26" s="3" t="str">
        <f t="shared" si="8"/>
        <v>fullaccesss</v>
      </c>
      <c r="Z26" s="1" t="str">
        <f t="shared" si="9"/>
        <v>fullaccesss</v>
      </c>
      <c r="AA26" s="3">
        <f t="shared" si="10"/>
        <v>0</v>
      </c>
    </row>
    <row r="27" spans="1:27">
      <c r="A27" s="1" t="s">
        <v>40</v>
      </c>
      <c r="B27" s="1">
        <v>2020</v>
      </c>
      <c r="C27" s="1">
        <v>9006.4003909999992</v>
      </c>
      <c r="D27" s="1">
        <v>58.748001100000003</v>
      </c>
      <c r="E27" s="1">
        <v>100</v>
      </c>
      <c r="F27" s="1">
        <v>0</v>
      </c>
      <c r="G27" s="1">
        <v>0</v>
      </c>
      <c r="H27" s="1">
        <v>0</v>
      </c>
      <c r="I27" s="1">
        <v>100</v>
      </c>
      <c r="J27" s="1">
        <v>0</v>
      </c>
      <c r="K27" s="1">
        <v>0</v>
      </c>
      <c r="L27" s="1">
        <v>0</v>
      </c>
      <c r="M27" s="1">
        <v>100</v>
      </c>
      <c r="N27" s="1">
        <v>0</v>
      </c>
      <c r="O27" s="1">
        <v>0</v>
      </c>
      <c r="P27" s="1">
        <v>0</v>
      </c>
      <c r="Q27" s="2" t="str">
        <f t="shared" si="0"/>
        <v/>
      </c>
      <c r="R27" s="1" t="str">
        <f t="shared" si="1"/>
        <v/>
      </c>
      <c r="S27" s="1" t="str">
        <f t="shared" si="2"/>
        <v/>
      </c>
      <c r="T27" s="1" t="str">
        <f t="shared" si="3"/>
        <v/>
      </c>
      <c r="U27" s="1">
        <f t="shared" si="4"/>
        <v>100</v>
      </c>
      <c r="V27" s="3">
        <f t="shared" si="5"/>
        <v>100</v>
      </c>
      <c r="W27" s="3">
        <f t="shared" si="6"/>
        <v>100</v>
      </c>
      <c r="X27" s="3" t="str">
        <f t="shared" si="7"/>
        <v/>
      </c>
      <c r="Y27" s="3" t="str">
        <f t="shared" si="8"/>
        <v/>
      </c>
      <c r="Z27" s="1" t="str">
        <f t="shared" si="9"/>
        <v/>
      </c>
      <c r="AA27" s="3" t="str">
        <f t="shared" si="10"/>
        <v/>
      </c>
    </row>
    <row r="28" spans="1:27">
      <c r="A28" s="1" t="s">
        <v>42</v>
      </c>
      <c r="B28" s="1">
        <v>2015</v>
      </c>
      <c r="C28" s="1">
        <v>9622.7412110000005</v>
      </c>
      <c r="D28" s="1">
        <v>54.7140007</v>
      </c>
      <c r="E28" s="1">
        <v>92.420313980000003</v>
      </c>
      <c r="F28" s="1">
        <v>1.002242415</v>
      </c>
      <c r="G28" s="1">
        <v>4.3650895219999999</v>
      </c>
      <c r="H28" s="1">
        <v>2.2123540799999999</v>
      </c>
      <c r="I28" s="1">
        <v>84.143213270000004</v>
      </c>
      <c r="J28" s="1">
        <v>2.2131397310000001</v>
      </c>
      <c r="K28" s="1">
        <v>8.9882060060000004</v>
      </c>
      <c r="L28" s="1">
        <v>4.6554409919999999</v>
      </c>
      <c r="M28" s="1">
        <v>99.271152029999996</v>
      </c>
      <c r="N28" s="1">
        <v>0</v>
      </c>
      <c r="O28" s="1">
        <v>0.53860203449999999</v>
      </c>
      <c r="P28" s="1">
        <v>0.1902459339</v>
      </c>
      <c r="Q28" s="2">
        <f t="shared" si="0"/>
        <v>5</v>
      </c>
      <c r="R28" s="1">
        <f t="shared" si="1"/>
        <v>0.72461242999999909</v>
      </c>
      <c r="S28" s="1">
        <f t="shared" si="2"/>
        <v>1.3565169359999998</v>
      </c>
      <c r="T28" s="1">
        <f t="shared" si="3"/>
        <v>0.14576959400000078</v>
      </c>
      <c r="U28" s="1">
        <f t="shared" si="4"/>
        <v>92</v>
      </c>
      <c r="V28" s="3">
        <f t="shared" si="5"/>
        <v>84</v>
      </c>
      <c r="W28" s="3">
        <f t="shared" si="6"/>
        <v>99</v>
      </c>
      <c r="X28" s="3" t="str">
        <f t="shared" si="7"/>
        <v/>
      </c>
      <c r="Y28" s="3" t="str">
        <f t="shared" si="8"/>
        <v/>
      </c>
      <c r="Z28" s="1" t="str">
        <f t="shared" si="9"/>
        <v/>
      </c>
      <c r="AA28" s="3">
        <f t="shared" si="10"/>
        <v>1.210747341999999</v>
      </c>
    </row>
    <row r="29" spans="1:27">
      <c r="A29" s="1" t="s">
        <v>42</v>
      </c>
      <c r="B29" s="1">
        <v>2020</v>
      </c>
      <c r="C29" s="1">
        <v>10139.174800000001</v>
      </c>
      <c r="D29" s="1">
        <v>56.397003169999998</v>
      </c>
      <c r="E29" s="1">
        <v>96.043376129999999</v>
      </c>
      <c r="F29" s="1">
        <v>1.04278118</v>
      </c>
      <c r="G29" s="1">
        <v>2.9138426879999999</v>
      </c>
      <c r="H29" s="1">
        <v>0</v>
      </c>
      <c r="I29" s="1">
        <v>90.925797950000003</v>
      </c>
      <c r="J29" s="1">
        <v>2.3915356710000002</v>
      </c>
      <c r="K29" s="1">
        <v>6.6826663770000003</v>
      </c>
      <c r="L29" s="1">
        <v>0</v>
      </c>
      <c r="M29" s="1">
        <v>100</v>
      </c>
      <c r="N29" s="1">
        <v>0</v>
      </c>
      <c r="O29" s="1">
        <v>0</v>
      </c>
      <c r="P29" s="1">
        <v>0</v>
      </c>
      <c r="Q29" s="2" t="str">
        <f t="shared" si="0"/>
        <v/>
      </c>
      <c r="R29" s="1" t="str">
        <f t="shared" si="1"/>
        <v/>
      </c>
      <c r="S29" s="1" t="str">
        <f t="shared" si="2"/>
        <v/>
      </c>
      <c r="T29" s="1" t="str">
        <f t="shared" si="3"/>
        <v/>
      </c>
      <c r="U29" s="1">
        <f t="shared" si="4"/>
        <v>96</v>
      </c>
      <c r="V29" s="3">
        <f t="shared" si="5"/>
        <v>91</v>
      </c>
      <c r="W29" s="3">
        <f t="shared" si="6"/>
        <v>100</v>
      </c>
      <c r="X29" s="3" t="str">
        <f t="shared" si="7"/>
        <v/>
      </c>
      <c r="Y29" s="3" t="str">
        <f t="shared" si="8"/>
        <v/>
      </c>
      <c r="Z29" s="1" t="str">
        <f t="shared" si="9"/>
        <v/>
      </c>
      <c r="AA29" s="3" t="str">
        <f t="shared" si="10"/>
        <v/>
      </c>
    </row>
    <row r="30" spans="1:27">
      <c r="A30" s="1" t="s">
        <v>44</v>
      </c>
      <c r="B30" s="1">
        <v>2015</v>
      </c>
      <c r="C30" s="1">
        <v>374.2000122</v>
      </c>
      <c r="D30" s="1">
        <v>82.745994569999993</v>
      </c>
      <c r="E30" s="1">
        <v>98.886960500000001</v>
      </c>
      <c r="F30" s="1">
        <v>0</v>
      </c>
      <c r="G30" s="1">
        <v>1.113039503</v>
      </c>
      <c r="H30" s="1">
        <v>0</v>
      </c>
      <c r="I30" s="1" t="s">
        <v>272</v>
      </c>
      <c r="J30" s="1" t="s">
        <v>272</v>
      </c>
      <c r="K30" s="1" t="s">
        <v>272</v>
      </c>
      <c r="L30" s="1" t="s">
        <v>272</v>
      </c>
      <c r="M30" s="1" t="s">
        <v>272</v>
      </c>
      <c r="N30" s="1" t="s">
        <v>272</v>
      </c>
      <c r="O30" s="1" t="s">
        <v>272</v>
      </c>
      <c r="P30" s="1" t="s">
        <v>272</v>
      </c>
      <c r="Q30" s="2">
        <f t="shared" si="0"/>
        <v>4</v>
      </c>
      <c r="R30" s="1">
        <f t="shared" si="1"/>
        <v>0</v>
      </c>
      <c r="S30" s="1" t="str">
        <f t="shared" si="2"/>
        <v>null</v>
      </c>
      <c r="T30" s="1" t="str">
        <f t="shared" si="3"/>
        <v>null</v>
      </c>
      <c r="U30" s="1">
        <f t="shared" si="4"/>
        <v>99</v>
      </c>
      <c r="V30" s="3" t="str">
        <f t="shared" si="5"/>
        <v>null</v>
      </c>
      <c r="W30" s="3" t="str">
        <f t="shared" si="6"/>
        <v>null</v>
      </c>
      <c r="X30" s="3" t="str">
        <f t="shared" si="7"/>
        <v/>
      </c>
      <c r="Y30" s="3" t="str">
        <f t="shared" si="8"/>
        <v/>
      </c>
      <c r="Z30" s="1" t="str">
        <f t="shared" si="9"/>
        <v/>
      </c>
      <c r="AA30" s="3" t="str">
        <f t="shared" si="10"/>
        <v>null</v>
      </c>
    </row>
    <row r="31" spans="1:27">
      <c r="A31" s="1" t="s">
        <v>44</v>
      </c>
      <c r="B31" s="1">
        <v>2019</v>
      </c>
      <c r="C31" s="1">
        <v>389.48599239999999</v>
      </c>
      <c r="D31" s="1">
        <v>83.131996150000006</v>
      </c>
      <c r="E31" s="1">
        <v>98.886960500000001</v>
      </c>
      <c r="F31" s="1">
        <v>0</v>
      </c>
      <c r="G31" s="1">
        <v>1.113039503</v>
      </c>
      <c r="H31" s="1">
        <v>0</v>
      </c>
      <c r="I31" s="1" t="s">
        <v>272</v>
      </c>
      <c r="J31" s="1" t="s">
        <v>272</v>
      </c>
      <c r="K31" s="1" t="s">
        <v>272</v>
      </c>
      <c r="L31" s="1" t="s">
        <v>272</v>
      </c>
      <c r="M31" s="1" t="s">
        <v>272</v>
      </c>
      <c r="N31" s="1" t="s">
        <v>272</v>
      </c>
      <c r="O31" s="1" t="s">
        <v>272</v>
      </c>
      <c r="P31" s="1" t="s">
        <v>272</v>
      </c>
      <c r="Q31" s="2" t="str">
        <f t="shared" si="0"/>
        <v/>
      </c>
      <c r="R31" s="1" t="str">
        <f t="shared" si="1"/>
        <v/>
      </c>
      <c r="S31" s="1" t="str">
        <f t="shared" si="2"/>
        <v/>
      </c>
      <c r="T31" s="1" t="str">
        <f t="shared" si="3"/>
        <v/>
      </c>
      <c r="U31" s="1">
        <f t="shared" si="4"/>
        <v>99</v>
      </c>
      <c r="V31" s="3" t="str">
        <f t="shared" si="5"/>
        <v>null</v>
      </c>
      <c r="W31" s="3" t="str">
        <f t="shared" si="6"/>
        <v>null</v>
      </c>
      <c r="X31" s="3" t="str">
        <f t="shared" si="7"/>
        <v/>
      </c>
      <c r="Y31" s="3" t="str">
        <f t="shared" si="8"/>
        <v/>
      </c>
      <c r="Z31" s="1" t="str">
        <f t="shared" si="9"/>
        <v/>
      </c>
      <c r="AA31" s="3" t="str">
        <f t="shared" si="10"/>
        <v/>
      </c>
    </row>
    <row r="32" spans="1:27">
      <c r="A32" s="1" t="s">
        <v>46</v>
      </c>
      <c r="B32" s="1">
        <v>2015</v>
      </c>
      <c r="C32" s="1">
        <v>1371.8530270000001</v>
      </c>
      <c r="D32" s="1">
        <v>88.998992920000006</v>
      </c>
      <c r="E32" s="1">
        <v>100</v>
      </c>
      <c r="F32" s="1">
        <v>0</v>
      </c>
      <c r="G32" s="1">
        <v>0</v>
      </c>
      <c r="H32" s="1">
        <v>0</v>
      </c>
      <c r="I32" s="1" t="s">
        <v>272</v>
      </c>
      <c r="J32" s="1" t="s">
        <v>272</v>
      </c>
      <c r="K32" s="1" t="s">
        <v>272</v>
      </c>
      <c r="L32" s="1" t="s">
        <v>272</v>
      </c>
      <c r="M32" s="1" t="s">
        <v>272</v>
      </c>
      <c r="N32" s="1" t="s">
        <v>272</v>
      </c>
      <c r="O32" s="1" t="s">
        <v>272</v>
      </c>
      <c r="P32" s="1" t="s">
        <v>272</v>
      </c>
      <c r="Q32" s="2">
        <f t="shared" si="0"/>
        <v>5</v>
      </c>
      <c r="R32" s="1">
        <f t="shared" si="1"/>
        <v>0</v>
      </c>
      <c r="S32" s="1" t="str">
        <f t="shared" si="2"/>
        <v>null</v>
      </c>
      <c r="T32" s="1" t="str">
        <f t="shared" si="3"/>
        <v>null</v>
      </c>
      <c r="U32" s="1">
        <f t="shared" si="4"/>
        <v>100</v>
      </c>
      <c r="V32" s="3" t="str">
        <f t="shared" si="5"/>
        <v>null</v>
      </c>
      <c r="W32" s="3" t="str">
        <f t="shared" si="6"/>
        <v>null</v>
      </c>
      <c r="X32" s="3" t="str">
        <f t="shared" si="7"/>
        <v>fullaccesss</v>
      </c>
      <c r="Y32" s="3" t="str">
        <f t="shared" si="8"/>
        <v/>
      </c>
      <c r="Z32" s="1" t="str">
        <f t="shared" si="9"/>
        <v/>
      </c>
      <c r="AA32" s="3" t="str">
        <f t="shared" si="10"/>
        <v>null</v>
      </c>
    </row>
    <row r="33" spans="1:27">
      <c r="A33" s="1" t="s">
        <v>46</v>
      </c>
      <c r="B33" s="1">
        <v>2020</v>
      </c>
      <c r="C33" s="1">
        <v>1701.5830080000001</v>
      </c>
      <c r="D33" s="1">
        <v>89.506004329999996</v>
      </c>
      <c r="E33" s="1">
        <v>100</v>
      </c>
      <c r="F33" s="1">
        <v>0</v>
      </c>
      <c r="G33" s="1">
        <v>0</v>
      </c>
      <c r="H33" s="1">
        <v>0</v>
      </c>
      <c r="I33" s="1" t="s">
        <v>272</v>
      </c>
      <c r="J33" s="1" t="s">
        <v>272</v>
      </c>
      <c r="K33" s="1" t="s">
        <v>272</v>
      </c>
      <c r="L33" s="1" t="s">
        <v>272</v>
      </c>
      <c r="M33" s="1" t="s">
        <v>272</v>
      </c>
      <c r="N33" s="1" t="s">
        <v>272</v>
      </c>
      <c r="O33" s="1" t="s">
        <v>272</v>
      </c>
      <c r="P33" s="1" t="s">
        <v>272</v>
      </c>
      <c r="Q33" s="2" t="str">
        <f t="shared" si="0"/>
        <v/>
      </c>
      <c r="R33" s="1" t="str">
        <f t="shared" si="1"/>
        <v/>
      </c>
      <c r="S33" s="1" t="str">
        <f t="shared" si="2"/>
        <v/>
      </c>
      <c r="T33" s="1" t="str">
        <f t="shared" si="3"/>
        <v/>
      </c>
      <c r="U33" s="1">
        <f t="shared" si="4"/>
        <v>100</v>
      </c>
      <c r="V33" s="3" t="str">
        <f t="shared" si="5"/>
        <v>null</v>
      </c>
      <c r="W33" s="3" t="str">
        <f t="shared" si="6"/>
        <v>null</v>
      </c>
      <c r="X33" s="3" t="str">
        <f t="shared" si="7"/>
        <v/>
      </c>
      <c r="Y33" s="3" t="str">
        <f t="shared" si="8"/>
        <v/>
      </c>
      <c r="Z33" s="1" t="str">
        <f t="shared" si="9"/>
        <v/>
      </c>
      <c r="AA33" s="3" t="str">
        <f t="shared" si="10"/>
        <v/>
      </c>
    </row>
    <row r="34" spans="1:27">
      <c r="A34" s="1" t="s">
        <v>48</v>
      </c>
      <c r="B34" s="1">
        <v>2015</v>
      </c>
      <c r="C34" s="1">
        <v>156256.2813</v>
      </c>
      <c r="D34" s="1">
        <v>34.308002469999998</v>
      </c>
      <c r="E34" s="1">
        <v>97.101602470000003</v>
      </c>
      <c r="F34" s="1">
        <v>1.087988961</v>
      </c>
      <c r="G34" s="1">
        <v>0.72156165819999996</v>
      </c>
      <c r="H34" s="1">
        <v>1.08884691</v>
      </c>
      <c r="I34" s="1">
        <v>96.773011280000006</v>
      </c>
      <c r="J34" s="1">
        <v>1.0462141620000001</v>
      </c>
      <c r="K34" s="1">
        <v>0.73174732170000001</v>
      </c>
      <c r="L34" s="1">
        <v>1.4490272369999999</v>
      </c>
      <c r="M34" s="1">
        <v>97.730779679999998</v>
      </c>
      <c r="N34" s="1">
        <v>1.167978177</v>
      </c>
      <c r="O34" s="1">
        <v>0.70205843499999998</v>
      </c>
      <c r="P34" s="1">
        <v>0.39918370739999998</v>
      </c>
      <c r="Q34" s="2">
        <f t="shared" si="0"/>
        <v>5</v>
      </c>
      <c r="R34" s="1">
        <f t="shared" si="1"/>
        <v>0.11927155599999821</v>
      </c>
      <c r="S34" s="1">
        <f t="shared" si="2"/>
        <v>0.22144529599999885</v>
      </c>
      <c r="T34" s="1">
        <f t="shared" si="3"/>
        <v>-6.5600341999999048E-2</v>
      </c>
      <c r="U34" s="1">
        <f t="shared" si="4"/>
        <v>97</v>
      </c>
      <c r="V34" s="3">
        <f t="shared" si="5"/>
        <v>97</v>
      </c>
      <c r="W34" s="3">
        <f t="shared" si="6"/>
        <v>98</v>
      </c>
      <c r="X34" s="3" t="str">
        <f t="shared" si="7"/>
        <v/>
      </c>
      <c r="Y34" s="3" t="str">
        <f t="shared" si="8"/>
        <v/>
      </c>
      <c r="Z34" s="1" t="str">
        <f t="shared" si="9"/>
        <v/>
      </c>
      <c r="AA34" s="3">
        <f t="shared" si="10"/>
        <v>0.28704563799999788</v>
      </c>
    </row>
    <row r="35" spans="1:27">
      <c r="A35" s="1" t="s">
        <v>48</v>
      </c>
      <c r="B35" s="1">
        <v>2020</v>
      </c>
      <c r="C35" s="1">
        <v>164689.39060000001</v>
      </c>
      <c r="D35" s="1">
        <v>38.177001949999998</v>
      </c>
      <c r="E35" s="1">
        <v>97.697960249999994</v>
      </c>
      <c r="F35" s="1">
        <v>1.1564258780000001</v>
      </c>
      <c r="G35" s="1">
        <v>0.46265570020000002</v>
      </c>
      <c r="H35" s="1">
        <v>0.68295817349999999</v>
      </c>
      <c r="I35" s="1">
        <v>97.88023776</v>
      </c>
      <c r="J35" s="1">
        <v>0.85810498040000005</v>
      </c>
      <c r="K35" s="1">
        <v>0.31648024139999997</v>
      </c>
      <c r="L35" s="1">
        <v>0.94517701509999996</v>
      </c>
      <c r="M35" s="1">
        <v>97.402777970000002</v>
      </c>
      <c r="N35" s="1">
        <v>1.6395201210000001</v>
      </c>
      <c r="O35" s="1">
        <v>0.69937521469999997</v>
      </c>
      <c r="P35" s="1">
        <v>0.25832669339999997</v>
      </c>
      <c r="Q35" s="2" t="str">
        <f t="shared" si="0"/>
        <v/>
      </c>
      <c r="R35" s="1" t="str">
        <f t="shared" si="1"/>
        <v/>
      </c>
      <c r="S35" s="1" t="str">
        <f t="shared" si="2"/>
        <v/>
      </c>
      <c r="T35" s="1" t="str">
        <f t="shared" si="3"/>
        <v/>
      </c>
      <c r="U35" s="1">
        <f t="shared" si="4"/>
        <v>98</v>
      </c>
      <c r="V35" s="3">
        <f t="shared" si="5"/>
        <v>98</v>
      </c>
      <c r="W35" s="3">
        <f t="shared" si="6"/>
        <v>97</v>
      </c>
      <c r="X35" s="3" t="str">
        <f t="shared" si="7"/>
        <v/>
      </c>
      <c r="Y35" s="3" t="str">
        <f t="shared" si="8"/>
        <v/>
      </c>
      <c r="Z35" s="1" t="str">
        <f t="shared" si="9"/>
        <v/>
      </c>
      <c r="AA35" s="3" t="str">
        <f t="shared" si="10"/>
        <v/>
      </c>
    </row>
    <row r="36" spans="1:27">
      <c r="A36" s="1" t="s">
        <v>50</v>
      </c>
      <c r="B36" s="1">
        <v>2015</v>
      </c>
      <c r="C36" s="1">
        <v>285.32699580000002</v>
      </c>
      <c r="D36" s="1">
        <v>31.24899864</v>
      </c>
      <c r="E36" s="1">
        <v>98.474444739999996</v>
      </c>
      <c r="F36" s="1">
        <v>0.26749190639999998</v>
      </c>
      <c r="G36" s="1">
        <v>1.2580633510000001</v>
      </c>
      <c r="H36" s="1">
        <v>0</v>
      </c>
      <c r="I36" s="1" t="s">
        <v>272</v>
      </c>
      <c r="J36" s="1" t="s">
        <v>272</v>
      </c>
      <c r="K36" s="1" t="s">
        <v>272</v>
      </c>
      <c r="L36" s="1" t="s">
        <v>272</v>
      </c>
      <c r="M36" s="1" t="s">
        <v>272</v>
      </c>
      <c r="N36" s="1" t="s">
        <v>272</v>
      </c>
      <c r="O36" s="1" t="s">
        <v>272</v>
      </c>
      <c r="P36" s="1" t="s">
        <v>272</v>
      </c>
      <c r="Q36" s="2">
        <f t="shared" si="0"/>
        <v>5</v>
      </c>
      <c r="R36" s="1">
        <f t="shared" si="1"/>
        <v>8.0011360000014527E-3</v>
      </c>
      <c r="S36" s="1" t="str">
        <f t="shared" si="2"/>
        <v>null</v>
      </c>
      <c r="T36" s="1" t="str">
        <f t="shared" si="3"/>
        <v>null</v>
      </c>
      <c r="U36" s="1">
        <f t="shared" si="4"/>
        <v>98</v>
      </c>
      <c r="V36" s="3" t="str">
        <f t="shared" si="5"/>
        <v>null</v>
      </c>
      <c r="W36" s="3" t="str">
        <f t="shared" si="6"/>
        <v>null</v>
      </c>
      <c r="X36" s="3" t="str">
        <f t="shared" si="7"/>
        <v/>
      </c>
      <c r="Y36" s="3" t="str">
        <f t="shared" si="8"/>
        <v/>
      </c>
      <c r="Z36" s="1" t="str">
        <f t="shared" si="9"/>
        <v/>
      </c>
      <c r="AA36" s="3" t="str">
        <f t="shared" si="10"/>
        <v>null</v>
      </c>
    </row>
    <row r="37" spans="1:27">
      <c r="A37" s="1" t="s">
        <v>50</v>
      </c>
      <c r="B37" s="1">
        <v>2020</v>
      </c>
      <c r="C37" s="1">
        <v>287.37100220000002</v>
      </c>
      <c r="D37" s="1">
        <v>31.190999980000001</v>
      </c>
      <c r="E37" s="1">
        <v>98.514450420000003</v>
      </c>
      <c r="F37" s="1">
        <v>0.26760057609999999</v>
      </c>
      <c r="G37" s="1">
        <v>1.2179490049999999</v>
      </c>
      <c r="H37" s="1">
        <v>0</v>
      </c>
      <c r="I37" s="1" t="s">
        <v>272</v>
      </c>
      <c r="J37" s="1" t="s">
        <v>272</v>
      </c>
      <c r="K37" s="1" t="s">
        <v>272</v>
      </c>
      <c r="L37" s="1" t="s">
        <v>272</v>
      </c>
      <c r="M37" s="1" t="s">
        <v>272</v>
      </c>
      <c r="N37" s="1" t="s">
        <v>272</v>
      </c>
      <c r="O37" s="1" t="s">
        <v>272</v>
      </c>
      <c r="P37" s="1" t="s">
        <v>272</v>
      </c>
      <c r="Q37" s="2" t="str">
        <f t="shared" si="0"/>
        <v/>
      </c>
      <c r="R37" s="1" t="str">
        <f t="shared" si="1"/>
        <v/>
      </c>
      <c r="S37" s="1" t="str">
        <f t="shared" si="2"/>
        <v/>
      </c>
      <c r="T37" s="1" t="str">
        <f t="shared" si="3"/>
        <v/>
      </c>
      <c r="U37" s="1">
        <f t="shared" si="4"/>
        <v>99</v>
      </c>
      <c r="V37" s="3" t="str">
        <f t="shared" si="5"/>
        <v>null</v>
      </c>
      <c r="W37" s="3" t="str">
        <f t="shared" si="6"/>
        <v>null</v>
      </c>
      <c r="X37" s="3" t="str">
        <f t="shared" si="7"/>
        <v/>
      </c>
      <c r="Y37" s="3" t="str">
        <f t="shared" si="8"/>
        <v/>
      </c>
      <c r="Z37" s="1" t="str">
        <f t="shared" si="9"/>
        <v/>
      </c>
      <c r="AA37" s="3" t="str">
        <f t="shared" si="10"/>
        <v/>
      </c>
    </row>
    <row r="38" spans="1:27">
      <c r="A38" s="1" t="s">
        <v>52</v>
      </c>
      <c r="B38" s="1">
        <v>2015</v>
      </c>
      <c r="C38" s="1">
        <v>9439.4238280000009</v>
      </c>
      <c r="D38" s="1">
        <v>77.180999760000006</v>
      </c>
      <c r="E38" s="1">
        <v>96.477067090000006</v>
      </c>
      <c r="F38" s="1">
        <v>3.3001301079999998</v>
      </c>
      <c r="G38" s="1">
        <v>0.22280279950000001</v>
      </c>
      <c r="H38" s="1">
        <v>0</v>
      </c>
      <c r="I38" s="1">
        <v>98.330671600000002</v>
      </c>
      <c r="J38" s="1">
        <v>0.99323910709999996</v>
      </c>
      <c r="K38" s="1">
        <v>0.67608928950000002</v>
      </c>
      <c r="L38" s="1">
        <v>0</v>
      </c>
      <c r="M38" s="1">
        <v>95.92903518</v>
      </c>
      <c r="N38" s="1">
        <v>3.9821753929999999</v>
      </c>
      <c r="O38" s="1">
        <v>8.8789423830000005E-2</v>
      </c>
      <c r="P38" s="1">
        <v>0</v>
      </c>
      <c r="Q38" s="2">
        <f t="shared" si="0"/>
        <v>5</v>
      </c>
      <c r="R38" s="1">
        <f t="shared" si="1"/>
        <v>1.1531797999998617E-2</v>
      </c>
      <c r="S38" s="1">
        <f t="shared" si="2"/>
        <v>4.6690141999999921E-2</v>
      </c>
      <c r="T38" s="1">
        <f t="shared" si="3"/>
        <v>1.6367687999999703E-2</v>
      </c>
      <c r="U38" s="1">
        <f t="shared" si="4"/>
        <v>96</v>
      </c>
      <c r="V38" s="3">
        <f t="shared" si="5"/>
        <v>98</v>
      </c>
      <c r="W38" s="3">
        <f t="shared" si="6"/>
        <v>96</v>
      </c>
      <c r="X38" s="3" t="str">
        <f t="shared" si="7"/>
        <v/>
      </c>
      <c r="Y38" s="3" t="str">
        <f t="shared" si="8"/>
        <v/>
      </c>
      <c r="Z38" s="1" t="str">
        <f t="shared" si="9"/>
        <v/>
      </c>
      <c r="AA38" s="3">
        <f t="shared" si="10"/>
        <v>3.0322454000000217E-2</v>
      </c>
    </row>
    <row r="39" spans="1:27">
      <c r="A39" s="1" t="s">
        <v>52</v>
      </c>
      <c r="B39" s="1">
        <v>2020</v>
      </c>
      <c r="C39" s="1">
        <v>9449.3212889999995</v>
      </c>
      <c r="D39" s="1">
        <v>79.483001709999996</v>
      </c>
      <c r="E39" s="1">
        <v>96.534726079999999</v>
      </c>
      <c r="F39" s="1">
        <v>3.3721195499999999</v>
      </c>
      <c r="G39" s="1">
        <v>9.3154368370000004E-2</v>
      </c>
      <c r="H39" s="1">
        <v>0</v>
      </c>
      <c r="I39" s="1">
        <v>98.564122310000002</v>
      </c>
      <c r="J39" s="1">
        <v>0.9955971951</v>
      </c>
      <c r="K39" s="1">
        <v>0.4402804931</v>
      </c>
      <c r="L39" s="1">
        <v>0</v>
      </c>
      <c r="M39" s="1">
        <v>96.010873619999998</v>
      </c>
      <c r="N39" s="1">
        <v>3.9855726439999999</v>
      </c>
      <c r="O39" s="1">
        <v>3.5537319770000001E-3</v>
      </c>
      <c r="P39" s="1">
        <v>0</v>
      </c>
      <c r="Q39" s="2" t="str">
        <f t="shared" si="0"/>
        <v/>
      </c>
      <c r="R39" s="1" t="str">
        <f t="shared" si="1"/>
        <v/>
      </c>
      <c r="S39" s="1" t="str">
        <f t="shared" si="2"/>
        <v/>
      </c>
      <c r="T39" s="1" t="str">
        <f t="shared" si="3"/>
        <v/>
      </c>
      <c r="U39" s="1">
        <f t="shared" si="4"/>
        <v>97</v>
      </c>
      <c r="V39" s="3">
        <f t="shared" si="5"/>
        <v>99</v>
      </c>
      <c r="W39" s="3">
        <f t="shared" si="6"/>
        <v>96</v>
      </c>
      <c r="X39" s="3" t="str">
        <f t="shared" si="7"/>
        <v/>
      </c>
      <c r="Y39" s="3" t="str">
        <f t="shared" si="8"/>
        <v/>
      </c>
      <c r="Z39" s="1" t="str">
        <f t="shared" si="9"/>
        <v/>
      </c>
      <c r="AA39" s="3" t="str">
        <f t="shared" si="10"/>
        <v/>
      </c>
    </row>
    <row r="40" spans="1:27">
      <c r="A40" s="1" t="s">
        <v>54</v>
      </c>
      <c r="B40" s="1">
        <v>2015</v>
      </c>
      <c r="C40" s="1">
        <v>11287.93066</v>
      </c>
      <c r="D40" s="1">
        <v>97.875999449999995</v>
      </c>
      <c r="E40" s="1">
        <v>99.999997699999994</v>
      </c>
      <c r="F40" s="1">
        <v>0</v>
      </c>
      <c r="G40" s="1">
        <v>2.2980245119999998E-6</v>
      </c>
      <c r="H40" s="1">
        <v>0</v>
      </c>
      <c r="I40" s="1">
        <v>100</v>
      </c>
      <c r="J40" s="1">
        <v>0</v>
      </c>
      <c r="K40" s="1">
        <v>0</v>
      </c>
      <c r="L40" s="1">
        <v>0</v>
      </c>
      <c r="M40" s="1">
        <v>100</v>
      </c>
      <c r="N40" s="1">
        <v>0</v>
      </c>
      <c r="O40" s="1">
        <v>0</v>
      </c>
      <c r="P40" s="1">
        <v>0</v>
      </c>
      <c r="Q40" s="2">
        <f t="shared" si="0"/>
        <v>5</v>
      </c>
      <c r="R40" s="1">
        <f t="shared" si="1"/>
        <v>-2.4999999936881068E-7</v>
      </c>
      <c r="S40" s="1">
        <f t="shared" si="2"/>
        <v>0</v>
      </c>
      <c r="T40" s="1">
        <f t="shared" si="3"/>
        <v>0</v>
      </c>
      <c r="U40" s="1">
        <f t="shared" si="4"/>
        <v>100</v>
      </c>
      <c r="V40" s="3">
        <f t="shared" si="5"/>
        <v>100</v>
      </c>
      <c r="W40" s="3">
        <f t="shared" si="6"/>
        <v>100</v>
      </c>
      <c r="X40" s="3" t="str">
        <f t="shared" si="7"/>
        <v>fullaccesss</v>
      </c>
      <c r="Y40" s="3" t="str">
        <f t="shared" si="8"/>
        <v>fullaccesss</v>
      </c>
      <c r="Z40" s="1" t="str">
        <f t="shared" si="9"/>
        <v>fullaccesss</v>
      </c>
      <c r="AA40" s="3">
        <f t="shared" si="10"/>
        <v>0</v>
      </c>
    </row>
    <row r="41" spans="1:27">
      <c r="A41" s="1" t="s">
        <v>54</v>
      </c>
      <c r="B41" s="1">
        <v>2020</v>
      </c>
      <c r="C41" s="1">
        <v>11589.61621</v>
      </c>
      <c r="D41" s="1">
        <v>98.078994750000007</v>
      </c>
      <c r="E41" s="1">
        <v>99.999996449999998</v>
      </c>
      <c r="F41" s="1">
        <v>0</v>
      </c>
      <c r="G41" s="1">
        <v>3.5547967910000002E-6</v>
      </c>
      <c r="H41" s="1">
        <v>0</v>
      </c>
      <c r="I41" s="1">
        <v>100</v>
      </c>
      <c r="J41" s="1">
        <v>0</v>
      </c>
      <c r="K41" s="1">
        <v>0</v>
      </c>
      <c r="L41" s="1">
        <v>0</v>
      </c>
      <c r="M41" s="1">
        <v>100</v>
      </c>
      <c r="N41" s="1">
        <v>0</v>
      </c>
      <c r="O41" s="1">
        <v>0</v>
      </c>
      <c r="P41" s="1">
        <v>0</v>
      </c>
      <c r="Q41" s="2" t="str">
        <f t="shared" si="0"/>
        <v/>
      </c>
      <c r="R41" s="1" t="str">
        <f t="shared" si="1"/>
        <v/>
      </c>
      <c r="S41" s="1" t="str">
        <f t="shared" si="2"/>
        <v/>
      </c>
      <c r="T41" s="1" t="str">
        <f t="shared" si="3"/>
        <v/>
      </c>
      <c r="U41" s="1">
        <f t="shared" si="4"/>
        <v>100</v>
      </c>
      <c r="V41" s="3">
        <f t="shared" si="5"/>
        <v>100</v>
      </c>
      <c r="W41" s="3">
        <f t="shared" si="6"/>
        <v>100</v>
      </c>
      <c r="X41" s="3" t="str">
        <f t="shared" si="7"/>
        <v/>
      </c>
      <c r="Y41" s="3" t="str">
        <f t="shared" si="8"/>
        <v/>
      </c>
      <c r="Z41" s="1" t="str">
        <f t="shared" si="9"/>
        <v/>
      </c>
      <c r="AA41" s="3" t="str">
        <f t="shared" si="10"/>
        <v/>
      </c>
    </row>
    <row r="42" spans="1:27">
      <c r="A42" s="1" t="s">
        <v>55</v>
      </c>
      <c r="B42" s="1">
        <v>2015</v>
      </c>
      <c r="C42" s="1">
        <v>360.92599489999998</v>
      </c>
      <c r="D42" s="1">
        <v>45.405998230000002</v>
      </c>
      <c r="E42" s="1">
        <v>97.17559498</v>
      </c>
      <c r="F42" s="1">
        <v>1.227940493</v>
      </c>
      <c r="G42" s="1">
        <v>1.5682225350000001</v>
      </c>
      <c r="H42" s="1">
        <v>2.8241988169999999E-2</v>
      </c>
      <c r="I42" s="1">
        <v>95.653832059999999</v>
      </c>
      <c r="J42" s="1">
        <v>1.4219190049999999</v>
      </c>
      <c r="K42" s="1">
        <v>2.8725179939999999</v>
      </c>
      <c r="L42" s="1">
        <v>5.1730935759999999E-2</v>
      </c>
      <c r="M42" s="1">
        <v>99.005290000000002</v>
      </c>
      <c r="N42" s="1">
        <v>0.99470999999999998</v>
      </c>
      <c r="O42" s="1">
        <v>0</v>
      </c>
      <c r="P42" s="1">
        <v>0</v>
      </c>
      <c r="Q42" s="2">
        <f t="shared" si="0"/>
        <v>5</v>
      </c>
      <c r="R42" s="1">
        <f t="shared" si="1"/>
        <v>0.24527193000000125</v>
      </c>
      <c r="S42" s="1">
        <f t="shared" si="2"/>
        <v>0.46827510399999994</v>
      </c>
      <c r="T42" s="1">
        <f t="shared" si="3"/>
        <v>-2.5265999999999168E-2</v>
      </c>
      <c r="U42" s="1">
        <f t="shared" si="4"/>
        <v>97</v>
      </c>
      <c r="V42" s="3">
        <f t="shared" si="5"/>
        <v>96</v>
      </c>
      <c r="W42" s="3">
        <f t="shared" si="6"/>
        <v>99</v>
      </c>
      <c r="X42" s="3" t="str">
        <f t="shared" si="7"/>
        <v/>
      </c>
      <c r="Y42" s="3" t="str">
        <f t="shared" si="8"/>
        <v/>
      </c>
      <c r="Z42" s="1" t="str">
        <f t="shared" si="9"/>
        <v/>
      </c>
      <c r="AA42" s="3">
        <f t="shared" si="10"/>
        <v>0.49354110399999912</v>
      </c>
    </row>
    <row r="43" spans="1:27">
      <c r="A43" s="1" t="s">
        <v>55</v>
      </c>
      <c r="B43" s="1">
        <v>2020</v>
      </c>
      <c r="C43" s="1">
        <v>397.62100220000002</v>
      </c>
      <c r="D43" s="1">
        <v>46.025001529999997</v>
      </c>
      <c r="E43" s="1">
        <v>98.401954630000006</v>
      </c>
      <c r="F43" s="1">
        <v>1.249110629</v>
      </c>
      <c r="G43" s="1">
        <v>0.3489347411</v>
      </c>
      <c r="H43" s="1">
        <v>0</v>
      </c>
      <c r="I43" s="1">
        <v>97.995207579999999</v>
      </c>
      <c r="J43" s="1">
        <v>1.358317682</v>
      </c>
      <c r="K43" s="1">
        <v>0.64647473929999999</v>
      </c>
      <c r="L43" s="1">
        <v>0</v>
      </c>
      <c r="M43" s="1">
        <v>98.878960000000006</v>
      </c>
      <c r="N43" s="1">
        <v>1.12104</v>
      </c>
      <c r="O43" s="1">
        <v>0</v>
      </c>
      <c r="P43" s="1">
        <v>0</v>
      </c>
      <c r="Q43" s="2" t="str">
        <f t="shared" si="0"/>
        <v/>
      </c>
      <c r="R43" s="1" t="str">
        <f t="shared" si="1"/>
        <v/>
      </c>
      <c r="S43" s="1" t="str">
        <f t="shared" si="2"/>
        <v/>
      </c>
      <c r="T43" s="1" t="str">
        <f t="shared" si="3"/>
        <v/>
      </c>
      <c r="U43" s="1">
        <f t="shared" si="4"/>
        <v>98</v>
      </c>
      <c r="V43" s="3">
        <f t="shared" si="5"/>
        <v>98</v>
      </c>
      <c r="W43" s="3">
        <f t="shared" si="6"/>
        <v>99</v>
      </c>
      <c r="X43" s="3" t="str">
        <f t="shared" si="7"/>
        <v/>
      </c>
      <c r="Y43" s="3" t="str">
        <f t="shared" si="8"/>
        <v/>
      </c>
      <c r="Z43" s="1" t="str">
        <f t="shared" si="9"/>
        <v/>
      </c>
      <c r="AA43" s="3" t="str">
        <f t="shared" si="10"/>
        <v/>
      </c>
    </row>
    <row r="44" spans="1:27">
      <c r="A44" s="1" t="s">
        <v>56</v>
      </c>
      <c r="B44" s="1">
        <v>2015</v>
      </c>
      <c r="C44" s="1">
        <v>10575.96191</v>
      </c>
      <c r="D44" s="1">
        <v>45.695003509999999</v>
      </c>
      <c r="E44" s="1">
        <v>64.786822299999997</v>
      </c>
      <c r="F44" s="1">
        <v>8.7154706540000006</v>
      </c>
      <c r="G44" s="1">
        <v>21.298464339999999</v>
      </c>
      <c r="H44" s="1">
        <v>5.1992427130000003</v>
      </c>
      <c r="I44" s="1">
        <v>56.784352470000002</v>
      </c>
      <c r="J44" s="1">
        <v>11.70337067</v>
      </c>
      <c r="K44" s="1">
        <v>23.774978569999998</v>
      </c>
      <c r="L44" s="1">
        <v>7.7372982859999997</v>
      </c>
      <c r="M44" s="1">
        <v>74.297142559999998</v>
      </c>
      <c r="N44" s="1">
        <v>5.1645811540000004</v>
      </c>
      <c r="O44" s="1">
        <v>18.355317530000001</v>
      </c>
      <c r="P44" s="1">
        <v>2.1829587560000001</v>
      </c>
      <c r="Q44" s="2">
        <f t="shared" si="0"/>
        <v>5</v>
      </c>
      <c r="R44" s="1">
        <f t="shared" si="1"/>
        <v>0.12546013799999969</v>
      </c>
      <c r="S44" s="1">
        <f t="shared" si="2"/>
        <v>0.25358310399999906</v>
      </c>
      <c r="T44" s="1">
        <f t="shared" si="3"/>
        <v>-0.20782850399999972</v>
      </c>
      <c r="U44" s="1">
        <f t="shared" si="4"/>
        <v>65</v>
      </c>
      <c r="V44" s="3">
        <f t="shared" si="5"/>
        <v>57</v>
      </c>
      <c r="W44" s="3">
        <f t="shared" si="6"/>
        <v>74</v>
      </c>
      <c r="X44" s="3" t="str">
        <f t="shared" si="7"/>
        <v/>
      </c>
      <c r="Y44" s="3" t="str">
        <f t="shared" si="8"/>
        <v/>
      </c>
      <c r="Z44" s="1" t="str">
        <f t="shared" si="9"/>
        <v/>
      </c>
      <c r="AA44" s="3">
        <f t="shared" si="10"/>
        <v>0.46141160799999881</v>
      </c>
    </row>
    <row r="45" spans="1:27">
      <c r="A45" s="1" t="s">
        <v>56</v>
      </c>
      <c r="B45" s="1">
        <v>2020</v>
      </c>
      <c r="C45" s="1">
        <v>12123.19824</v>
      </c>
      <c r="D45" s="1">
        <v>48.414997100000001</v>
      </c>
      <c r="E45" s="1">
        <v>65.414122989999996</v>
      </c>
      <c r="F45" s="1">
        <v>9.317535586</v>
      </c>
      <c r="G45" s="1">
        <v>21.97254088</v>
      </c>
      <c r="H45" s="1">
        <v>3.2958005469999998</v>
      </c>
      <c r="I45" s="1">
        <v>58.052267989999997</v>
      </c>
      <c r="J45" s="1">
        <v>12.705205039999999</v>
      </c>
      <c r="K45" s="1">
        <v>23.977968329999999</v>
      </c>
      <c r="L45" s="1">
        <v>5.2645586340000001</v>
      </c>
      <c r="M45" s="1">
        <v>73.258000039999999</v>
      </c>
      <c r="N45" s="1">
        <v>5.7080563529999999</v>
      </c>
      <c r="O45" s="1">
        <v>19.835806810000001</v>
      </c>
      <c r="P45" s="1">
        <v>1.1981367940000001</v>
      </c>
      <c r="Q45" s="2" t="str">
        <f t="shared" si="0"/>
        <v/>
      </c>
      <c r="R45" s="1" t="str">
        <f t="shared" si="1"/>
        <v/>
      </c>
      <c r="S45" s="1" t="str">
        <f t="shared" si="2"/>
        <v/>
      </c>
      <c r="T45" s="1" t="str">
        <f t="shared" si="3"/>
        <v/>
      </c>
      <c r="U45" s="1">
        <f t="shared" si="4"/>
        <v>65</v>
      </c>
      <c r="V45" s="3">
        <f t="shared" si="5"/>
        <v>58</v>
      </c>
      <c r="W45" s="3">
        <f t="shared" si="6"/>
        <v>73</v>
      </c>
      <c r="X45" s="3" t="str">
        <f t="shared" si="7"/>
        <v/>
      </c>
      <c r="Y45" s="3" t="str">
        <f t="shared" si="8"/>
        <v/>
      </c>
      <c r="Z45" s="1" t="str">
        <f t="shared" si="9"/>
        <v/>
      </c>
      <c r="AA45" s="3" t="str">
        <f t="shared" si="10"/>
        <v/>
      </c>
    </row>
    <row r="46" spans="1:27">
      <c r="A46" s="1" t="s">
        <v>57</v>
      </c>
      <c r="B46" s="1">
        <v>2015</v>
      </c>
      <c r="C46" s="1">
        <v>63.694999690000003</v>
      </c>
      <c r="D46" s="1">
        <v>100</v>
      </c>
      <c r="E46" s="1">
        <v>99.903140019999995</v>
      </c>
      <c r="F46" s="1">
        <v>0</v>
      </c>
      <c r="G46" s="1">
        <v>9.6859982940000006E-2</v>
      </c>
      <c r="H46" s="1">
        <v>0</v>
      </c>
      <c r="I46" s="1" t="s">
        <v>272</v>
      </c>
      <c r="J46" s="1" t="s">
        <v>272</v>
      </c>
      <c r="K46" s="1" t="s">
        <v>272</v>
      </c>
      <c r="L46" s="1" t="s">
        <v>272</v>
      </c>
      <c r="M46" s="1">
        <v>99.903140019999995</v>
      </c>
      <c r="N46" s="1">
        <v>0</v>
      </c>
      <c r="O46" s="1">
        <v>9.6859982940000006E-2</v>
      </c>
      <c r="P46" s="1">
        <v>0</v>
      </c>
      <c r="Q46" s="2">
        <f t="shared" si="0"/>
        <v>5</v>
      </c>
      <c r="R46" s="1">
        <f t="shared" si="1"/>
        <v>0</v>
      </c>
      <c r="S46" s="1" t="str">
        <f t="shared" si="2"/>
        <v>null</v>
      </c>
      <c r="T46" s="1">
        <f t="shared" si="3"/>
        <v>0</v>
      </c>
      <c r="U46" s="1">
        <f t="shared" si="4"/>
        <v>100</v>
      </c>
      <c r="V46" s="3" t="str">
        <f t="shared" si="5"/>
        <v>null</v>
      </c>
      <c r="W46" s="3">
        <f t="shared" si="6"/>
        <v>100</v>
      </c>
      <c r="X46" s="3" t="str">
        <f t="shared" si="7"/>
        <v>fullaccesss</v>
      </c>
      <c r="Y46" s="3" t="str">
        <f t="shared" si="8"/>
        <v/>
      </c>
      <c r="Z46" s="1" t="str">
        <f t="shared" si="9"/>
        <v>fullaccesss</v>
      </c>
      <c r="AA46" s="3" t="str">
        <f t="shared" si="10"/>
        <v>null</v>
      </c>
    </row>
    <row r="47" spans="1:27">
      <c r="A47" s="1" t="s">
        <v>57</v>
      </c>
      <c r="B47" s="1">
        <v>2020</v>
      </c>
      <c r="C47" s="1">
        <v>62.272998809999997</v>
      </c>
      <c r="D47" s="1">
        <v>100</v>
      </c>
      <c r="E47" s="1">
        <v>99.903140019999995</v>
      </c>
      <c r="F47" s="1">
        <v>0</v>
      </c>
      <c r="G47" s="1">
        <v>9.6859982940000006E-2</v>
      </c>
      <c r="H47" s="1">
        <v>0</v>
      </c>
      <c r="I47" s="1" t="s">
        <v>272</v>
      </c>
      <c r="J47" s="1" t="s">
        <v>272</v>
      </c>
      <c r="K47" s="1" t="s">
        <v>272</v>
      </c>
      <c r="L47" s="1" t="s">
        <v>272</v>
      </c>
      <c r="M47" s="1">
        <v>99.903140019999995</v>
      </c>
      <c r="N47" s="1">
        <v>0</v>
      </c>
      <c r="O47" s="1">
        <v>9.6859982940000006E-2</v>
      </c>
      <c r="P47" s="1">
        <v>0</v>
      </c>
      <c r="Q47" s="2" t="str">
        <f t="shared" si="0"/>
        <v/>
      </c>
      <c r="R47" s="1" t="str">
        <f t="shared" si="1"/>
        <v/>
      </c>
      <c r="S47" s="1" t="str">
        <f t="shared" si="2"/>
        <v/>
      </c>
      <c r="T47" s="1" t="str">
        <f t="shared" si="3"/>
        <v/>
      </c>
      <c r="U47" s="1">
        <f t="shared" si="4"/>
        <v>100</v>
      </c>
      <c r="V47" s="3" t="str">
        <f t="shared" si="5"/>
        <v>null</v>
      </c>
      <c r="W47" s="3">
        <f t="shared" si="6"/>
        <v>100</v>
      </c>
      <c r="X47" s="3" t="str">
        <f t="shared" si="7"/>
        <v/>
      </c>
      <c r="Y47" s="3" t="str">
        <f t="shared" si="8"/>
        <v/>
      </c>
      <c r="Z47" s="1" t="str">
        <f t="shared" si="9"/>
        <v/>
      </c>
      <c r="AA47" s="3" t="str">
        <f t="shared" si="10"/>
        <v/>
      </c>
    </row>
    <row r="48" spans="1:27">
      <c r="A48" s="1" t="s">
        <v>59</v>
      </c>
      <c r="B48" s="1">
        <v>2015</v>
      </c>
      <c r="C48" s="1">
        <v>727.88500980000003</v>
      </c>
      <c r="D48" s="1">
        <v>38.678001399999999</v>
      </c>
      <c r="E48" s="1">
        <v>96.221422590000003</v>
      </c>
      <c r="F48" s="1">
        <v>2.496596292</v>
      </c>
      <c r="G48" s="1">
        <v>0.29618737509999998</v>
      </c>
      <c r="H48" s="1">
        <v>0.98579373770000001</v>
      </c>
      <c r="I48" s="1">
        <v>95.164362949999997</v>
      </c>
      <c r="J48" s="1">
        <v>3.215858941</v>
      </c>
      <c r="K48" s="1">
        <v>0.1935987005</v>
      </c>
      <c r="L48" s="1">
        <v>1.4261794109999999</v>
      </c>
      <c r="M48" s="1">
        <v>97.897336780000003</v>
      </c>
      <c r="N48" s="1">
        <v>1.3562420319999999</v>
      </c>
      <c r="O48" s="1">
        <v>0.45883648849999997</v>
      </c>
      <c r="P48" s="1">
        <v>0.28758470349999998</v>
      </c>
      <c r="Q48" s="2">
        <f t="shared" si="0"/>
        <v>5</v>
      </c>
      <c r="R48" s="1">
        <f t="shared" si="1"/>
        <v>0.21836000799999908</v>
      </c>
      <c r="S48" s="1">
        <f t="shared" si="2"/>
        <v>0.3133661399999994</v>
      </c>
      <c r="T48" s="1">
        <f t="shared" si="3"/>
        <v>4.1858342000000451E-2</v>
      </c>
      <c r="U48" s="1">
        <f t="shared" si="4"/>
        <v>96</v>
      </c>
      <c r="V48" s="3">
        <f t="shared" si="5"/>
        <v>95</v>
      </c>
      <c r="W48" s="3">
        <f t="shared" si="6"/>
        <v>98</v>
      </c>
      <c r="X48" s="3" t="str">
        <f t="shared" si="7"/>
        <v/>
      </c>
      <c r="Y48" s="3" t="str">
        <f t="shared" si="8"/>
        <v/>
      </c>
      <c r="Z48" s="1" t="str">
        <f t="shared" si="9"/>
        <v/>
      </c>
      <c r="AA48" s="3">
        <f t="shared" si="10"/>
        <v>0.27150779799999897</v>
      </c>
    </row>
    <row r="49" spans="1:27">
      <c r="A49" s="1" t="s">
        <v>59</v>
      </c>
      <c r="B49" s="1">
        <v>2020</v>
      </c>
      <c r="C49" s="1">
        <v>771.61199950000002</v>
      </c>
      <c r="D49" s="1">
        <v>42.31599808</v>
      </c>
      <c r="E49" s="1">
        <v>97.313222629999999</v>
      </c>
      <c r="F49" s="1">
        <v>2.4607126070000001</v>
      </c>
      <c r="G49" s="1">
        <v>0.17642421829999999</v>
      </c>
      <c r="H49" s="1">
        <v>4.9640541420000003E-2</v>
      </c>
      <c r="I49" s="1">
        <v>96.731193649999994</v>
      </c>
      <c r="J49" s="1">
        <v>3.2688063509999998</v>
      </c>
      <c r="K49" s="1">
        <v>0</v>
      </c>
      <c r="L49" s="1">
        <v>0</v>
      </c>
      <c r="M49" s="1">
        <v>98.106628490000006</v>
      </c>
      <c r="N49" s="1">
        <v>1.3591415</v>
      </c>
      <c r="O49" s="1">
        <v>0.41692084750000002</v>
      </c>
      <c r="P49" s="1">
        <v>0.1173091586</v>
      </c>
      <c r="Q49" s="2" t="str">
        <f t="shared" si="0"/>
        <v/>
      </c>
      <c r="R49" s="1" t="str">
        <f t="shared" si="1"/>
        <v/>
      </c>
      <c r="S49" s="1" t="str">
        <f t="shared" si="2"/>
        <v/>
      </c>
      <c r="T49" s="1" t="str">
        <f t="shared" si="3"/>
        <v/>
      </c>
      <c r="U49" s="1">
        <f t="shared" si="4"/>
        <v>97</v>
      </c>
      <c r="V49" s="3">
        <f t="shared" si="5"/>
        <v>97</v>
      </c>
      <c r="W49" s="3">
        <f t="shared" si="6"/>
        <v>98</v>
      </c>
      <c r="X49" s="3" t="str">
        <f t="shared" si="7"/>
        <v/>
      </c>
      <c r="Y49" s="3" t="str">
        <f t="shared" si="8"/>
        <v/>
      </c>
      <c r="Z49" s="1" t="str">
        <f t="shared" si="9"/>
        <v/>
      </c>
      <c r="AA49" s="3" t="str">
        <f t="shared" si="10"/>
        <v/>
      </c>
    </row>
    <row r="50" spans="1:27">
      <c r="A50" s="1" t="s">
        <v>60</v>
      </c>
      <c r="B50" s="1">
        <v>2015</v>
      </c>
      <c r="C50" s="1">
        <v>10869.73242</v>
      </c>
      <c r="D50" s="1">
        <v>68.392997739999998</v>
      </c>
      <c r="E50" s="1">
        <v>90.462141009999996</v>
      </c>
      <c r="F50" s="1">
        <v>0.17289839809999999</v>
      </c>
      <c r="G50" s="1">
        <v>2.832457169</v>
      </c>
      <c r="H50" s="1">
        <v>6.5325034249999998</v>
      </c>
      <c r="I50" s="1">
        <v>73.740180199999998</v>
      </c>
      <c r="J50" s="1">
        <v>0.33996878380000001</v>
      </c>
      <c r="K50" s="1">
        <v>5.9118005360000003</v>
      </c>
      <c r="L50" s="1">
        <v>20.008050480000001</v>
      </c>
      <c r="M50" s="1">
        <v>98.189997079999998</v>
      </c>
      <c r="N50" s="1">
        <v>9.5688834099999995E-2</v>
      </c>
      <c r="O50" s="1">
        <v>1.4093724700000001</v>
      </c>
      <c r="P50" s="1">
        <v>0.304941615</v>
      </c>
      <c r="Q50" s="2">
        <f t="shared" si="0"/>
        <v>5</v>
      </c>
      <c r="R50" s="1">
        <f t="shared" si="1"/>
        <v>0.58558612399999954</v>
      </c>
      <c r="S50" s="1">
        <f t="shared" si="2"/>
        <v>1.2392925259999998</v>
      </c>
      <c r="T50" s="1">
        <f t="shared" si="3"/>
        <v>0.18642424800000015</v>
      </c>
      <c r="U50" s="1">
        <f t="shared" si="4"/>
        <v>90</v>
      </c>
      <c r="V50" s="3">
        <f t="shared" si="5"/>
        <v>74</v>
      </c>
      <c r="W50" s="3">
        <f t="shared" si="6"/>
        <v>98</v>
      </c>
      <c r="X50" s="3" t="str">
        <f t="shared" si="7"/>
        <v/>
      </c>
      <c r="Y50" s="3" t="str">
        <f t="shared" si="8"/>
        <v/>
      </c>
      <c r="Z50" s="1" t="str">
        <f t="shared" si="9"/>
        <v/>
      </c>
      <c r="AA50" s="3">
        <f t="shared" si="10"/>
        <v>1.0528682779999996</v>
      </c>
    </row>
    <row r="51" spans="1:27">
      <c r="A51" s="1" t="s">
        <v>60</v>
      </c>
      <c r="B51" s="1">
        <v>2020</v>
      </c>
      <c r="C51" s="1">
        <v>11673.0293</v>
      </c>
      <c r="D51" s="1">
        <v>70.123001099999996</v>
      </c>
      <c r="E51" s="1">
        <v>93.390071629999994</v>
      </c>
      <c r="F51" s="1">
        <v>0.13659052960000001</v>
      </c>
      <c r="G51" s="1">
        <v>1.575010843</v>
      </c>
      <c r="H51" s="1">
        <v>4.8983269969999998</v>
      </c>
      <c r="I51" s="1">
        <v>79.936642829999997</v>
      </c>
      <c r="J51" s="1">
        <v>0.24473640820000001</v>
      </c>
      <c r="K51" s="1">
        <v>3.9541336930000002</v>
      </c>
      <c r="L51" s="1">
        <v>15.864487069999999</v>
      </c>
      <c r="M51" s="1">
        <v>99.122118319999998</v>
      </c>
      <c r="N51" s="1">
        <v>9.0513289469999994E-2</v>
      </c>
      <c r="O51" s="1">
        <v>0.56134538079999996</v>
      </c>
      <c r="P51" s="1">
        <v>0.22602301120000001</v>
      </c>
      <c r="Q51" s="2" t="str">
        <f t="shared" si="0"/>
        <v/>
      </c>
      <c r="R51" s="1" t="str">
        <f t="shared" si="1"/>
        <v/>
      </c>
      <c r="S51" s="1" t="str">
        <f t="shared" si="2"/>
        <v/>
      </c>
      <c r="T51" s="1" t="str">
        <f t="shared" si="3"/>
        <v/>
      </c>
      <c r="U51" s="1">
        <f t="shared" si="4"/>
        <v>93</v>
      </c>
      <c r="V51" s="3">
        <f t="shared" si="5"/>
        <v>80</v>
      </c>
      <c r="W51" s="3">
        <f t="shared" si="6"/>
        <v>99</v>
      </c>
      <c r="X51" s="3" t="str">
        <f t="shared" si="7"/>
        <v/>
      </c>
      <c r="Y51" s="3" t="str">
        <f t="shared" si="8"/>
        <v/>
      </c>
      <c r="Z51" s="1" t="str">
        <f t="shared" si="9"/>
        <v/>
      </c>
      <c r="AA51" s="3" t="str">
        <f t="shared" si="10"/>
        <v/>
      </c>
    </row>
    <row r="52" spans="1:27">
      <c r="A52" s="1" t="s">
        <v>61</v>
      </c>
      <c r="B52" s="1">
        <v>2015</v>
      </c>
      <c r="C52" s="1">
        <v>3429.3620609999998</v>
      </c>
      <c r="D52" s="1">
        <v>47.172996519999998</v>
      </c>
      <c r="E52" s="1">
        <v>96.159844179999993</v>
      </c>
      <c r="F52" s="1">
        <v>3.780069975</v>
      </c>
      <c r="G52" s="1">
        <v>6.0085848570000003E-2</v>
      </c>
      <c r="H52" s="1">
        <v>0</v>
      </c>
      <c r="I52" s="1">
        <v>97.333333330000002</v>
      </c>
      <c r="J52" s="1">
        <v>2.6666666669999999</v>
      </c>
      <c r="K52" s="1">
        <v>0</v>
      </c>
      <c r="L52" s="1">
        <v>0</v>
      </c>
      <c r="M52" s="1">
        <v>94.845704400000002</v>
      </c>
      <c r="N52" s="1">
        <v>5.0269222060000001</v>
      </c>
      <c r="O52" s="1">
        <v>0.12737339280000001</v>
      </c>
      <c r="P52" s="1">
        <v>0</v>
      </c>
      <c r="Q52" s="2">
        <f t="shared" si="0"/>
        <v>5</v>
      </c>
      <c r="R52" s="1">
        <f t="shared" si="1"/>
        <v>-9.1893119999980396E-3</v>
      </c>
      <c r="S52" s="1">
        <f t="shared" si="2"/>
        <v>0</v>
      </c>
      <c r="T52" s="1">
        <f t="shared" si="3"/>
        <v>0</v>
      </c>
      <c r="U52" s="1">
        <f t="shared" si="4"/>
        <v>96</v>
      </c>
      <c r="V52" s="3">
        <f t="shared" si="5"/>
        <v>97</v>
      </c>
      <c r="W52" s="3">
        <f t="shared" si="6"/>
        <v>95</v>
      </c>
      <c r="X52" s="3" t="str">
        <f t="shared" si="7"/>
        <v/>
      </c>
      <c r="Y52" s="3" t="str">
        <f t="shared" si="8"/>
        <v/>
      </c>
      <c r="Z52" s="1" t="str">
        <f t="shared" si="9"/>
        <v/>
      </c>
      <c r="AA52" s="3">
        <f t="shared" si="10"/>
        <v>0</v>
      </c>
    </row>
    <row r="53" spans="1:27">
      <c r="A53" s="1" t="s">
        <v>61</v>
      </c>
      <c r="B53" s="1">
        <v>2020</v>
      </c>
      <c r="C53" s="1">
        <v>3280.8149410000001</v>
      </c>
      <c r="D53" s="1">
        <v>49.020000459999999</v>
      </c>
      <c r="E53" s="1">
        <v>96.113897620000003</v>
      </c>
      <c r="F53" s="1">
        <v>3.8236639380000002</v>
      </c>
      <c r="G53" s="1">
        <v>6.2438437520000001E-2</v>
      </c>
      <c r="H53" s="1">
        <v>0</v>
      </c>
      <c r="I53" s="1">
        <v>97.333333330000002</v>
      </c>
      <c r="J53" s="1">
        <v>2.6666666669999999</v>
      </c>
      <c r="K53" s="1">
        <v>0</v>
      </c>
      <c r="L53" s="1">
        <v>0</v>
      </c>
      <c r="M53" s="1">
        <v>94.845704400000002</v>
      </c>
      <c r="N53" s="1">
        <v>5.0269222060000001</v>
      </c>
      <c r="O53" s="1">
        <v>0.12737339280000001</v>
      </c>
      <c r="P53" s="1">
        <v>0</v>
      </c>
      <c r="Q53" s="2" t="str">
        <f t="shared" si="0"/>
        <v/>
      </c>
      <c r="R53" s="1" t="str">
        <f t="shared" si="1"/>
        <v/>
      </c>
      <c r="S53" s="1" t="str">
        <f t="shared" si="2"/>
        <v/>
      </c>
      <c r="T53" s="1" t="str">
        <f t="shared" si="3"/>
        <v/>
      </c>
      <c r="U53" s="1">
        <f t="shared" si="4"/>
        <v>96</v>
      </c>
      <c r="V53" s="3">
        <f t="shared" si="5"/>
        <v>97</v>
      </c>
      <c r="W53" s="3">
        <f t="shared" si="6"/>
        <v>95</v>
      </c>
      <c r="X53" s="3" t="str">
        <f t="shared" si="7"/>
        <v/>
      </c>
      <c r="Y53" s="3" t="str">
        <f t="shared" si="8"/>
        <v/>
      </c>
      <c r="Z53" s="1" t="str">
        <f t="shared" si="9"/>
        <v/>
      </c>
      <c r="AA53" s="3" t="str">
        <f t="shared" si="10"/>
        <v/>
      </c>
    </row>
    <row r="54" spans="1:27">
      <c r="A54" s="1" t="s">
        <v>62</v>
      </c>
      <c r="B54" s="1">
        <v>2015</v>
      </c>
      <c r="C54" s="1">
        <v>2120.7160640000002</v>
      </c>
      <c r="D54" s="1">
        <v>67.15499878</v>
      </c>
      <c r="E54" s="1">
        <v>88.446289530000001</v>
      </c>
      <c r="F54" s="1">
        <v>8.4106141599999997</v>
      </c>
      <c r="G54" s="1">
        <v>1.578349601</v>
      </c>
      <c r="H54" s="1">
        <v>1.5647467079999999</v>
      </c>
      <c r="I54" s="1">
        <v>71.892533830000005</v>
      </c>
      <c r="J54" s="1">
        <v>21.789327549999999</v>
      </c>
      <c r="K54" s="1">
        <v>1.854197906</v>
      </c>
      <c r="L54" s="1">
        <v>4.4639407090000001</v>
      </c>
      <c r="M54" s="1">
        <v>96.542602579999993</v>
      </c>
      <c r="N54" s="1">
        <v>1.867186166</v>
      </c>
      <c r="O54" s="1">
        <v>1.443438497</v>
      </c>
      <c r="P54" s="1">
        <v>0.1467727616</v>
      </c>
      <c r="Q54" s="2">
        <f t="shared" si="0"/>
        <v>5</v>
      </c>
      <c r="R54" s="1">
        <f t="shared" si="1"/>
        <v>0.75345470800000103</v>
      </c>
      <c r="S54" s="1">
        <f t="shared" si="2"/>
        <v>1.4302380059999991</v>
      </c>
      <c r="T54" s="1">
        <f t="shared" si="3"/>
        <v>0.21647560000000113</v>
      </c>
      <c r="U54" s="1">
        <f t="shared" si="4"/>
        <v>88</v>
      </c>
      <c r="V54" s="3">
        <f t="shared" si="5"/>
        <v>72</v>
      </c>
      <c r="W54" s="3">
        <f t="shared" si="6"/>
        <v>97</v>
      </c>
      <c r="X54" s="3" t="str">
        <f t="shared" si="7"/>
        <v/>
      </c>
      <c r="Y54" s="3" t="str">
        <f t="shared" si="8"/>
        <v/>
      </c>
      <c r="Z54" s="1" t="str">
        <f t="shared" si="9"/>
        <v/>
      </c>
      <c r="AA54" s="3">
        <f t="shared" si="10"/>
        <v>1.2137624059999979</v>
      </c>
    </row>
    <row r="55" spans="1:27">
      <c r="A55" s="1" t="s">
        <v>62</v>
      </c>
      <c r="B55" s="1">
        <v>2020</v>
      </c>
      <c r="C55" s="1">
        <v>2351.625</v>
      </c>
      <c r="D55" s="1">
        <v>70.876998900000004</v>
      </c>
      <c r="E55" s="1">
        <v>92.213563070000006</v>
      </c>
      <c r="F55" s="1">
        <v>4.7230389700000002</v>
      </c>
      <c r="G55" s="1">
        <v>1.7325264760000001</v>
      </c>
      <c r="H55" s="1">
        <v>1.330871481</v>
      </c>
      <c r="I55" s="1">
        <v>79.04372386</v>
      </c>
      <c r="J55" s="1">
        <v>15.154947180000001</v>
      </c>
      <c r="K55" s="1">
        <v>1.5961191560000001</v>
      </c>
      <c r="L55" s="1">
        <v>4.2052098100000004</v>
      </c>
      <c r="M55" s="1">
        <v>97.624980579999999</v>
      </c>
      <c r="N55" s="1">
        <v>0.43662003220000001</v>
      </c>
      <c r="O55" s="1">
        <v>1.788579159</v>
      </c>
      <c r="P55" s="1">
        <v>0.14982022810000001</v>
      </c>
      <c r="Q55" s="2" t="str">
        <f t="shared" si="0"/>
        <v/>
      </c>
      <c r="R55" s="1" t="str">
        <f t="shared" si="1"/>
        <v/>
      </c>
      <c r="S55" s="1" t="str">
        <f t="shared" si="2"/>
        <v/>
      </c>
      <c r="T55" s="1" t="str">
        <f t="shared" si="3"/>
        <v/>
      </c>
      <c r="U55" s="1">
        <f t="shared" si="4"/>
        <v>92</v>
      </c>
      <c r="V55" s="3">
        <f t="shared" si="5"/>
        <v>79</v>
      </c>
      <c r="W55" s="3">
        <f t="shared" si="6"/>
        <v>98</v>
      </c>
      <c r="X55" s="3" t="str">
        <f t="shared" si="7"/>
        <v/>
      </c>
      <c r="Y55" s="3" t="str">
        <f t="shared" si="8"/>
        <v/>
      </c>
      <c r="Z55" s="1" t="str">
        <f t="shared" si="9"/>
        <v/>
      </c>
      <c r="AA55" s="3" t="str">
        <f t="shared" si="10"/>
        <v/>
      </c>
    </row>
    <row r="56" spans="1:27">
      <c r="A56" s="1" t="s">
        <v>63</v>
      </c>
      <c r="B56" s="1">
        <v>2015</v>
      </c>
      <c r="C56" s="1">
        <v>204471.76560000001</v>
      </c>
      <c r="D56" s="1">
        <v>85.770004270000001</v>
      </c>
      <c r="E56" s="1">
        <v>97.80356759</v>
      </c>
      <c r="F56" s="1">
        <v>0.57950002290000002</v>
      </c>
      <c r="G56" s="1">
        <v>0.47496570910000002</v>
      </c>
      <c r="H56" s="1">
        <v>1.141966676</v>
      </c>
      <c r="I56" s="1">
        <v>88.756028180000001</v>
      </c>
      <c r="J56" s="1">
        <v>2.8537735780000002</v>
      </c>
      <c r="K56" s="1">
        <v>0.36513423810000001</v>
      </c>
      <c r="L56" s="1">
        <v>8.0250640079999993</v>
      </c>
      <c r="M56" s="1">
        <v>99.304631020000002</v>
      </c>
      <c r="N56" s="1">
        <v>0.20217793440000001</v>
      </c>
      <c r="O56" s="1">
        <v>0.49319104540000003</v>
      </c>
      <c r="P56" s="1">
        <v>0</v>
      </c>
      <c r="Q56" s="2">
        <f t="shared" si="0"/>
        <v>5</v>
      </c>
      <c r="R56" s="1">
        <f t="shared" si="1"/>
        <v>0.30345708000000116</v>
      </c>
      <c r="S56" s="1">
        <f t="shared" si="2"/>
        <v>1.4378462700000001</v>
      </c>
      <c r="T56" s="1">
        <f t="shared" si="3"/>
        <v>0.10347405800000047</v>
      </c>
      <c r="U56" s="1">
        <f t="shared" si="4"/>
        <v>98</v>
      </c>
      <c r="V56" s="3">
        <f t="shared" si="5"/>
        <v>89</v>
      </c>
      <c r="W56" s="3">
        <f t="shared" si="6"/>
        <v>99</v>
      </c>
      <c r="X56" s="3" t="str">
        <f t="shared" si="7"/>
        <v/>
      </c>
      <c r="Y56" s="3" t="str">
        <f t="shared" si="8"/>
        <v/>
      </c>
      <c r="Z56" s="1" t="str">
        <f t="shared" si="9"/>
        <v/>
      </c>
      <c r="AA56" s="3">
        <f t="shared" si="10"/>
        <v>1.3343722119999997</v>
      </c>
    </row>
    <row r="57" spans="1:27">
      <c r="A57" s="1" t="s">
        <v>63</v>
      </c>
      <c r="B57" s="1">
        <v>2020</v>
      </c>
      <c r="C57" s="1">
        <v>212559.4063</v>
      </c>
      <c r="D57" s="1">
        <v>87.072998049999995</v>
      </c>
      <c r="E57" s="1">
        <v>99.320852990000006</v>
      </c>
      <c r="F57" s="1">
        <v>0.12654900390000001</v>
      </c>
      <c r="G57" s="1">
        <v>0.55259800989999996</v>
      </c>
      <c r="H57" s="1" t="s">
        <v>272</v>
      </c>
      <c r="I57" s="1">
        <v>95.945259530000001</v>
      </c>
      <c r="J57" s="1">
        <v>0.97895091540000001</v>
      </c>
      <c r="K57" s="1">
        <v>3.0757895510000002</v>
      </c>
      <c r="L57" s="1" t="s">
        <v>272</v>
      </c>
      <c r="M57" s="1">
        <v>99.822001310000005</v>
      </c>
      <c r="N57" s="1">
        <v>0</v>
      </c>
      <c r="O57" s="1">
        <v>0.1779986949</v>
      </c>
      <c r="P57" s="1">
        <v>0</v>
      </c>
      <c r="Q57" s="2" t="str">
        <f t="shared" si="0"/>
        <v/>
      </c>
      <c r="R57" s="1" t="str">
        <f t="shared" si="1"/>
        <v/>
      </c>
      <c r="S57" s="1" t="str">
        <f t="shared" si="2"/>
        <v/>
      </c>
      <c r="T57" s="1" t="str">
        <f t="shared" si="3"/>
        <v/>
      </c>
      <c r="U57" s="1">
        <f t="shared" si="4"/>
        <v>99</v>
      </c>
      <c r="V57" s="3">
        <f t="shared" si="5"/>
        <v>96</v>
      </c>
      <c r="W57" s="3">
        <f t="shared" si="6"/>
        <v>100</v>
      </c>
      <c r="X57" s="3" t="str">
        <f t="shared" si="7"/>
        <v/>
      </c>
      <c r="Y57" s="3" t="str">
        <f t="shared" si="8"/>
        <v/>
      </c>
      <c r="Z57" s="1" t="str">
        <f t="shared" si="9"/>
        <v/>
      </c>
      <c r="AA57" s="3" t="str">
        <f t="shared" si="10"/>
        <v/>
      </c>
    </row>
    <row r="58" spans="1:27">
      <c r="A58" s="1" t="s">
        <v>64</v>
      </c>
      <c r="B58" s="1">
        <v>2015</v>
      </c>
      <c r="C58" s="1">
        <v>29.148000719999999</v>
      </c>
      <c r="D58" s="1">
        <v>46.583000179999999</v>
      </c>
      <c r="E58" s="1">
        <v>99.864383559999993</v>
      </c>
      <c r="F58" s="1">
        <v>0</v>
      </c>
      <c r="G58" s="1">
        <v>0.13561643840000001</v>
      </c>
      <c r="H58" s="1">
        <v>0</v>
      </c>
      <c r="I58" s="1" t="s">
        <v>272</v>
      </c>
      <c r="J58" s="1" t="s">
        <v>272</v>
      </c>
      <c r="K58" s="1" t="s">
        <v>272</v>
      </c>
      <c r="L58" s="1" t="s">
        <v>272</v>
      </c>
      <c r="M58" s="1" t="s">
        <v>272</v>
      </c>
      <c r="N58" s="1" t="s">
        <v>272</v>
      </c>
      <c r="O58" s="1" t="s">
        <v>272</v>
      </c>
      <c r="P58" s="1" t="s">
        <v>272</v>
      </c>
      <c r="Q58" s="2">
        <f t="shared" si="0"/>
        <v>5</v>
      </c>
      <c r="R58" s="1">
        <f t="shared" si="1"/>
        <v>0</v>
      </c>
      <c r="S58" s="1" t="str">
        <f t="shared" si="2"/>
        <v>null</v>
      </c>
      <c r="T58" s="1" t="str">
        <f t="shared" si="3"/>
        <v>null</v>
      </c>
      <c r="U58" s="1">
        <f t="shared" si="4"/>
        <v>100</v>
      </c>
      <c r="V58" s="3" t="str">
        <f t="shared" si="5"/>
        <v>null</v>
      </c>
      <c r="W58" s="3" t="str">
        <f t="shared" si="6"/>
        <v>null</v>
      </c>
      <c r="X58" s="3" t="str">
        <f t="shared" si="7"/>
        <v>fullaccesss</v>
      </c>
      <c r="Y58" s="3" t="str">
        <f t="shared" si="8"/>
        <v/>
      </c>
      <c r="Z58" s="1" t="str">
        <f t="shared" si="9"/>
        <v/>
      </c>
      <c r="AA58" s="3" t="str">
        <f t="shared" si="10"/>
        <v>null</v>
      </c>
    </row>
    <row r="59" spans="1:27">
      <c r="A59" s="1" t="s">
        <v>64</v>
      </c>
      <c r="B59" s="1">
        <v>2020</v>
      </c>
      <c r="C59" s="1">
        <v>30.23699951</v>
      </c>
      <c r="D59" s="1">
        <v>48.51499939</v>
      </c>
      <c r="E59" s="1">
        <v>99.864383559999993</v>
      </c>
      <c r="F59" s="1">
        <v>0</v>
      </c>
      <c r="G59" s="1">
        <v>0.13561643840000001</v>
      </c>
      <c r="H59" s="1">
        <v>0</v>
      </c>
      <c r="I59" s="1" t="s">
        <v>272</v>
      </c>
      <c r="J59" s="1" t="s">
        <v>272</v>
      </c>
      <c r="K59" s="1" t="s">
        <v>272</v>
      </c>
      <c r="L59" s="1" t="s">
        <v>272</v>
      </c>
      <c r="M59" s="1" t="s">
        <v>272</v>
      </c>
      <c r="N59" s="1" t="s">
        <v>272</v>
      </c>
      <c r="O59" s="1" t="s">
        <v>272</v>
      </c>
      <c r="P59" s="1" t="s">
        <v>272</v>
      </c>
      <c r="Q59" s="2" t="str">
        <f t="shared" si="0"/>
        <v/>
      </c>
      <c r="R59" s="1" t="str">
        <f t="shared" si="1"/>
        <v/>
      </c>
      <c r="S59" s="1" t="str">
        <f t="shared" si="2"/>
        <v/>
      </c>
      <c r="T59" s="1" t="str">
        <f t="shared" si="3"/>
        <v/>
      </c>
      <c r="U59" s="1">
        <f t="shared" si="4"/>
        <v>100</v>
      </c>
      <c r="V59" s="3" t="str">
        <f t="shared" si="5"/>
        <v>null</v>
      </c>
      <c r="W59" s="3" t="str">
        <f t="shared" si="6"/>
        <v>null</v>
      </c>
      <c r="X59" s="3" t="str">
        <f t="shared" si="7"/>
        <v/>
      </c>
      <c r="Y59" s="3" t="str">
        <f t="shared" si="8"/>
        <v/>
      </c>
      <c r="Z59" s="1" t="str">
        <f t="shared" si="9"/>
        <v/>
      </c>
      <c r="AA59" s="3" t="str">
        <f t="shared" si="10"/>
        <v/>
      </c>
    </row>
    <row r="60" spans="1:27">
      <c r="A60" s="1" t="s">
        <v>65</v>
      </c>
      <c r="B60" s="1">
        <v>2015</v>
      </c>
      <c r="C60" s="1">
        <v>414.91400149999998</v>
      </c>
      <c r="D60" s="1">
        <v>76.662994380000001</v>
      </c>
      <c r="E60" s="1">
        <v>99.509976159999994</v>
      </c>
      <c r="F60" s="1">
        <v>0</v>
      </c>
      <c r="G60" s="1">
        <v>0.39667583379999999</v>
      </c>
      <c r="H60" s="1">
        <v>9.3348002949999995E-2</v>
      </c>
      <c r="I60" s="1">
        <v>99.05</v>
      </c>
      <c r="J60" s="1">
        <v>0</v>
      </c>
      <c r="K60" s="1">
        <v>0.55000000000000004</v>
      </c>
      <c r="L60" s="1">
        <v>0.4</v>
      </c>
      <c r="M60" s="1">
        <v>99.65</v>
      </c>
      <c r="N60" s="1">
        <v>0</v>
      </c>
      <c r="O60" s="1">
        <v>0.35</v>
      </c>
      <c r="P60" s="1">
        <v>0</v>
      </c>
      <c r="Q60" s="2">
        <f t="shared" si="0"/>
        <v>5</v>
      </c>
      <c r="R60" s="1">
        <f t="shared" si="1"/>
        <v>7.8012128000000305E-2</v>
      </c>
      <c r="S60" s="1" t="str">
        <f t="shared" si="2"/>
        <v>null</v>
      </c>
      <c r="T60" s="1">
        <f t="shared" si="3"/>
        <v>0</v>
      </c>
      <c r="U60" s="1">
        <f t="shared" si="4"/>
        <v>100</v>
      </c>
      <c r="V60" s="3">
        <f t="shared" si="5"/>
        <v>99</v>
      </c>
      <c r="W60" s="3">
        <f t="shared" si="6"/>
        <v>100</v>
      </c>
      <c r="X60" s="3" t="str">
        <f t="shared" si="7"/>
        <v>fullaccesss</v>
      </c>
      <c r="Y60" s="3" t="str">
        <f t="shared" si="8"/>
        <v/>
      </c>
      <c r="Z60" s="1" t="str">
        <f t="shared" si="9"/>
        <v>fullaccesss</v>
      </c>
      <c r="AA60" s="3" t="str">
        <f t="shared" si="10"/>
        <v>null</v>
      </c>
    </row>
    <row r="61" spans="1:27">
      <c r="A61" s="1" t="s">
        <v>65</v>
      </c>
      <c r="B61" s="1">
        <v>2020</v>
      </c>
      <c r="C61" s="1">
        <v>437.48300169999999</v>
      </c>
      <c r="D61" s="1">
        <v>78.250007629999999</v>
      </c>
      <c r="E61" s="1">
        <v>99.900036799999995</v>
      </c>
      <c r="F61" s="1">
        <v>0</v>
      </c>
      <c r="G61" s="1">
        <v>9.9963200360000004E-2</v>
      </c>
      <c r="H61" s="1">
        <v>0</v>
      </c>
      <c r="I61" s="1" t="s">
        <v>272</v>
      </c>
      <c r="J61" s="1" t="s">
        <v>272</v>
      </c>
      <c r="K61" s="1" t="s">
        <v>272</v>
      </c>
      <c r="L61" s="1" t="s">
        <v>272</v>
      </c>
      <c r="M61" s="1">
        <v>99.65</v>
      </c>
      <c r="N61" s="1">
        <v>0</v>
      </c>
      <c r="O61" s="1">
        <v>0.35</v>
      </c>
      <c r="P61" s="1">
        <v>0</v>
      </c>
      <c r="Q61" s="2" t="str">
        <f t="shared" si="0"/>
        <v/>
      </c>
      <c r="R61" s="1" t="str">
        <f t="shared" si="1"/>
        <v/>
      </c>
      <c r="S61" s="1" t="str">
        <f t="shared" si="2"/>
        <v/>
      </c>
      <c r="T61" s="1" t="str">
        <f t="shared" si="3"/>
        <v/>
      </c>
      <c r="U61" s="1">
        <f t="shared" si="4"/>
        <v>100</v>
      </c>
      <c r="V61" s="3" t="str">
        <f t="shared" si="5"/>
        <v>null</v>
      </c>
      <c r="W61" s="3">
        <f t="shared" si="6"/>
        <v>100</v>
      </c>
      <c r="X61" s="3" t="str">
        <f t="shared" si="7"/>
        <v/>
      </c>
      <c r="Y61" s="3" t="str">
        <f t="shared" si="8"/>
        <v/>
      </c>
      <c r="Z61" s="1" t="str">
        <f t="shared" si="9"/>
        <v/>
      </c>
      <c r="AA61" s="3" t="str">
        <f t="shared" si="10"/>
        <v/>
      </c>
    </row>
    <row r="62" spans="1:27">
      <c r="A62" s="1" t="s">
        <v>66</v>
      </c>
      <c r="B62" s="1">
        <v>2015</v>
      </c>
      <c r="C62" s="1">
        <v>7199.7387699999999</v>
      </c>
      <c r="D62" s="1">
        <v>73.989997860000003</v>
      </c>
      <c r="E62" s="1">
        <v>99.196327310000001</v>
      </c>
      <c r="F62" s="1">
        <v>0</v>
      </c>
      <c r="G62" s="1">
        <v>0.80367269050000001</v>
      </c>
      <c r="H62" s="1">
        <v>0</v>
      </c>
      <c r="I62" s="1">
        <v>98.016140340000007</v>
      </c>
      <c r="J62" s="1">
        <v>0</v>
      </c>
      <c r="K62" s="1">
        <v>1.98385966</v>
      </c>
      <c r="L62" s="1">
        <v>0</v>
      </c>
      <c r="M62" s="1">
        <v>99.611207719999996</v>
      </c>
      <c r="N62" s="1">
        <v>0</v>
      </c>
      <c r="O62" s="1">
        <v>0.3887922761</v>
      </c>
      <c r="P62" s="1">
        <v>0</v>
      </c>
      <c r="Q62" s="2">
        <f t="shared" si="0"/>
        <v>5</v>
      </c>
      <c r="R62" s="1">
        <f t="shared" si="1"/>
        <v>-3.6982073999999442E-2</v>
      </c>
      <c r="S62" s="1">
        <f t="shared" si="2"/>
        <v>-0.12297047400000168</v>
      </c>
      <c r="T62" s="1">
        <f t="shared" si="3"/>
        <v>-1.6507464000000027E-2</v>
      </c>
      <c r="U62" s="1">
        <f t="shared" si="4"/>
        <v>99</v>
      </c>
      <c r="V62" s="3">
        <f t="shared" si="5"/>
        <v>98</v>
      </c>
      <c r="W62" s="3">
        <f t="shared" si="6"/>
        <v>100</v>
      </c>
      <c r="X62" s="3" t="str">
        <f t="shared" si="7"/>
        <v/>
      </c>
      <c r="Y62" s="3" t="str">
        <f t="shared" si="8"/>
        <v/>
      </c>
      <c r="Z62" s="1" t="str">
        <f t="shared" si="9"/>
        <v>fullaccesss</v>
      </c>
      <c r="AA62" s="3">
        <f t="shared" si="10"/>
        <v>-0.10646301000000165</v>
      </c>
    </row>
    <row r="63" spans="1:27">
      <c r="A63" s="1" t="s">
        <v>66</v>
      </c>
      <c r="B63" s="1">
        <v>2020</v>
      </c>
      <c r="C63" s="1">
        <v>6948.4448240000002</v>
      </c>
      <c r="D63" s="1">
        <v>75.685997009999994</v>
      </c>
      <c r="E63" s="1">
        <v>99.011416940000004</v>
      </c>
      <c r="F63" s="1">
        <v>0</v>
      </c>
      <c r="G63" s="1">
        <v>0.98858306070000002</v>
      </c>
      <c r="H63" s="1">
        <v>0</v>
      </c>
      <c r="I63" s="1">
        <v>97.401287969999998</v>
      </c>
      <c r="J63" s="1">
        <v>0</v>
      </c>
      <c r="K63" s="1">
        <v>2.5987120309999998</v>
      </c>
      <c r="L63" s="1">
        <v>0</v>
      </c>
      <c r="M63" s="1">
        <v>99.528670399999996</v>
      </c>
      <c r="N63" s="1">
        <v>0</v>
      </c>
      <c r="O63" s="1">
        <v>0.47132960070000002</v>
      </c>
      <c r="P63" s="1">
        <v>0</v>
      </c>
      <c r="Q63" s="2" t="str">
        <f t="shared" si="0"/>
        <v/>
      </c>
      <c r="R63" s="1" t="str">
        <f t="shared" si="1"/>
        <v/>
      </c>
      <c r="S63" s="1" t="str">
        <f t="shared" si="2"/>
        <v/>
      </c>
      <c r="T63" s="1" t="str">
        <f t="shared" si="3"/>
        <v/>
      </c>
      <c r="U63" s="1">
        <f t="shared" si="4"/>
        <v>99</v>
      </c>
      <c r="V63" s="3">
        <f t="shared" si="5"/>
        <v>97</v>
      </c>
      <c r="W63" s="3">
        <f t="shared" si="6"/>
        <v>100</v>
      </c>
      <c r="X63" s="3" t="str">
        <f t="shared" si="7"/>
        <v/>
      </c>
      <c r="Y63" s="3" t="str">
        <f t="shared" si="8"/>
        <v/>
      </c>
      <c r="Z63" s="1" t="str">
        <f t="shared" si="9"/>
        <v/>
      </c>
      <c r="AA63" s="3" t="str">
        <f t="shared" si="10"/>
        <v/>
      </c>
    </row>
    <row r="64" spans="1:27">
      <c r="A64" s="1" t="s">
        <v>67</v>
      </c>
      <c r="B64" s="1">
        <v>2015</v>
      </c>
      <c r="C64" s="1">
        <v>18110.615229999999</v>
      </c>
      <c r="D64" s="1">
        <v>27.530000690000001</v>
      </c>
      <c r="E64" s="1">
        <v>50.137131089999997</v>
      </c>
      <c r="F64" s="1">
        <v>25.67354095</v>
      </c>
      <c r="G64" s="1">
        <v>22.430178909999999</v>
      </c>
      <c r="H64" s="1">
        <v>1.7591490430000001</v>
      </c>
      <c r="I64" s="1">
        <v>38.855163699999999</v>
      </c>
      <c r="J64" s="1">
        <v>30.202184890000002</v>
      </c>
      <c r="K64" s="1">
        <v>28.648694299999999</v>
      </c>
      <c r="L64" s="1">
        <v>2.2939571060000001</v>
      </c>
      <c r="M64" s="1">
        <v>79.835792159999997</v>
      </c>
      <c r="N64" s="1">
        <v>13.75233459</v>
      </c>
      <c r="O64" s="1">
        <v>6.0605534319999999</v>
      </c>
      <c r="P64" s="1">
        <v>0.35131981779999999</v>
      </c>
      <c r="Q64" s="2">
        <f t="shared" si="0"/>
        <v>5</v>
      </c>
      <c r="R64" s="1">
        <f t="shared" si="1"/>
        <v>-0.58445532599999983</v>
      </c>
      <c r="S64" s="1">
        <f t="shared" si="2"/>
        <v>-1.2273809599999992</v>
      </c>
      <c r="T64" s="1">
        <f t="shared" si="3"/>
        <v>4.9225276000001372E-2</v>
      </c>
      <c r="U64" s="1">
        <f t="shared" si="4"/>
        <v>50</v>
      </c>
      <c r="V64" s="3">
        <f t="shared" si="5"/>
        <v>39</v>
      </c>
      <c r="W64" s="3">
        <f t="shared" si="6"/>
        <v>80</v>
      </c>
      <c r="X64" s="3" t="str">
        <f t="shared" si="7"/>
        <v/>
      </c>
      <c r="Y64" s="3" t="str">
        <f t="shared" si="8"/>
        <v/>
      </c>
      <c r="Z64" s="1" t="str">
        <f t="shared" si="9"/>
        <v/>
      </c>
      <c r="AA64" s="3">
        <f t="shared" si="10"/>
        <v>-1.2766062360000006</v>
      </c>
    </row>
    <row r="65" spans="1:27">
      <c r="A65" s="1" t="s">
        <v>67</v>
      </c>
      <c r="B65" s="1">
        <v>2020</v>
      </c>
      <c r="C65" s="1">
        <v>20903.277340000001</v>
      </c>
      <c r="D65" s="1">
        <v>30.60700035</v>
      </c>
      <c r="E65" s="1">
        <v>47.214854459999998</v>
      </c>
      <c r="F65" s="1">
        <v>31.2730034</v>
      </c>
      <c r="G65" s="1">
        <v>21.15863263</v>
      </c>
      <c r="H65" s="1">
        <v>0.35350950240000001</v>
      </c>
      <c r="I65" s="1">
        <v>32.718258900000002</v>
      </c>
      <c r="J65" s="1">
        <v>38.626902540000003</v>
      </c>
      <c r="K65" s="1">
        <v>28.3404457</v>
      </c>
      <c r="L65" s="1">
        <v>0.31439286259999999</v>
      </c>
      <c r="M65" s="1">
        <v>80.081918540000004</v>
      </c>
      <c r="N65" s="1">
        <v>14.60004919</v>
      </c>
      <c r="O65" s="1">
        <v>4.8758364869999999</v>
      </c>
      <c r="P65" s="1">
        <v>0.44219578050000002</v>
      </c>
      <c r="Q65" s="2" t="str">
        <f t="shared" si="0"/>
        <v/>
      </c>
      <c r="R65" s="1" t="str">
        <f t="shared" si="1"/>
        <v/>
      </c>
      <c r="S65" s="1" t="str">
        <f t="shared" si="2"/>
        <v/>
      </c>
      <c r="T65" s="1" t="str">
        <f t="shared" si="3"/>
        <v/>
      </c>
      <c r="U65" s="1">
        <f t="shared" si="4"/>
        <v>47</v>
      </c>
      <c r="V65" s="3">
        <f t="shared" si="5"/>
        <v>33</v>
      </c>
      <c r="W65" s="3">
        <f t="shared" si="6"/>
        <v>80</v>
      </c>
      <c r="X65" s="3" t="str">
        <f t="shared" si="7"/>
        <v/>
      </c>
      <c r="Y65" s="3" t="str">
        <f t="shared" si="8"/>
        <v/>
      </c>
      <c r="Z65" s="1" t="str">
        <f t="shared" si="9"/>
        <v/>
      </c>
      <c r="AA65" s="3" t="str">
        <f t="shared" si="10"/>
        <v/>
      </c>
    </row>
    <row r="66" spans="1:27">
      <c r="A66" s="1" t="s">
        <v>68</v>
      </c>
      <c r="B66" s="1">
        <v>2015</v>
      </c>
      <c r="C66" s="1">
        <v>10160.034180000001</v>
      </c>
      <c r="D66" s="1">
        <v>12.07800007</v>
      </c>
      <c r="E66" s="1">
        <v>59.581469249999998</v>
      </c>
      <c r="F66" s="1">
        <v>19.538891840000002</v>
      </c>
      <c r="G66" s="1">
        <v>14.864992579999999</v>
      </c>
      <c r="H66" s="1">
        <v>6.0146463399999996</v>
      </c>
      <c r="I66" s="1">
        <v>55.55826691</v>
      </c>
      <c r="J66" s="1">
        <v>21.166795570000001</v>
      </c>
      <c r="K66" s="1">
        <v>16.594144570000001</v>
      </c>
      <c r="L66" s="1">
        <v>6.6807929509999999</v>
      </c>
      <c r="M66" s="1">
        <v>88.868437589999999</v>
      </c>
      <c r="N66" s="1">
        <v>7.6885395340000002</v>
      </c>
      <c r="O66" s="1">
        <v>2.2776018659999999</v>
      </c>
      <c r="P66" s="1">
        <v>1.1654210119999999</v>
      </c>
      <c r="Q66" s="2">
        <f t="shared" si="0"/>
        <v>5</v>
      </c>
      <c r="R66" s="1">
        <f t="shared" si="1"/>
        <v>0.5251306</v>
      </c>
      <c r="S66" s="1">
        <f t="shared" si="2"/>
        <v>0.42549967199999938</v>
      </c>
      <c r="T66" s="1">
        <f t="shared" si="3"/>
        <v>0.36013465400000089</v>
      </c>
      <c r="U66" s="1">
        <f t="shared" si="4"/>
        <v>60</v>
      </c>
      <c r="V66" s="3">
        <f t="shared" si="5"/>
        <v>56</v>
      </c>
      <c r="W66" s="3">
        <f t="shared" si="6"/>
        <v>89</v>
      </c>
      <c r="X66" s="3" t="str">
        <f t="shared" si="7"/>
        <v/>
      </c>
      <c r="Y66" s="3" t="str">
        <f t="shared" si="8"/>
        <v/>
      </c>
      <c r="Z66" s="1" t="str">
        <f t="shared" si="9"/>
        <v/>
      </c>
      <c r="AA66" s="3">
        <f t="shared" si="10"/>
        <v>6.5365017999998498E-2</v>
      </c>
    </row>
    <row r="67" spans="1:27">
      <c r="A67" s="1" t="s">
        <v>68</v>
      </c>
      <c r="B67" s="1">
        <v>2020</v>
      </c>
      <c r="C67" s="1">
        <v>11890.78125</v>
      </c>
      <c r="D67" s="1">
        <v>13.708000180000001</v>
      </c>
      <c r="E67" s="1">
        <v>62.207122249999998</v>
      </c>
      <c r="F67" s="1">
        <v>19.439693139999999</v>
      </c>
      <c r="G67" s="1">
        <v>14.758259689999999</v>
      </c>
      <c r="H67" s="1">
        <v>3.5949249129999998</v>
      </c>
      <c r="I67" s="1">
        <v>57.685765269999997</v>
      </c>
      <c r="J67" s="1">
        <v>21.251482129999999</v>
      </c>
      <c r="K67" s="1">
        <v>16.896752379999999</v>
      </c>
      <c r="L67" s="1">
        <v>4.1660002189999998</v>
      </c>
      <c r="M67" s="1">
        <v>90.669110860000004</v>
      </c>
      <c r="N67" s="1">
        <v>8.0344628690000004</v>
      </c>
      <c r="O67" s="1">
        <v>1.2964262689999999</v>
      </c>
      <c r="P67" s="1">
        <v>0</v>
      </c>
      <c r="Q67" s="2" t="str">
        <f t="shared" si="0"/>
        <v/>
      </c>
      <c r="R67" s="1" t="str">
        <f t="shared" si="1"/>
        <v/>
      </c>
      <c r="S67" s="1" t="str">
        <f t="shared" si="2"/>
        <v/>
      </c>
      <c r="T67" s="1" t="str">
        <f t="shared" si="3"/>
        <v/>
      </c>
      <c r="U67" s="1">
        <f t="shared" si="4"/>
        <v>62</v>
      </c>
      <c r="V67" s="3">
        <f t="shared" si="5"/>
        <v>58</v>
      </c>
      <c r="W67" s="3">
        <f t="shared" si="6"/>
        <v>91</v>
      </c>
      <c r="X67" s="3" t="str">
        <f t="shared" si="7"/>
        <v/>
      </c>
      <c r="Y67" s="3" t="str">
        <f t="shared" si="8"/>
        <v/>
      </c>
      <c r="Z67" s="1" t="str">
        <f t="shared" si="9"/>
        <v/>
      </c>
      <c r="AA67" s="3" t="str">
        <f t="shared" si="10"/>
        <v/>
      </c>
    </row>
    <row r="68" spans="1:27">
      <c r="A68" s="1" t="s">
        <v>69</v>
      </c>
      <c r="B68" s="1">
        <v>2015</v>
      </c>
      <c r="C68" s="1">
        <v>524.73999019999997</v>
      </c>
      <c r="D68" s="1">
        <v>64.299995420000002</v>
      </c>
      <c r="E68" s="1">
        <v>85.443342369999996</v>
      </c>
      <c r="F68" s="1">
        <v>10.253077619999999</v>
      </c>
      <c r="G68" s="1">
        <v>4.1519483189999997</v>
      </c>
      <c r="H68" s="1">
        <v>0.15163169109999999</v>
      </c>
      <c r="I68" s="1">
        <v>72.832314109999999</v>
      </c>
      <c r="J68" s="1">
        <v>16.379794579999999</v>
      </c>
      <c r="K68" s="1">
        <v>10.436760769999999</v>
      </c>
      <c r="L68" s="1">
        <v>0.35113053970000002</v>
      </c>
      <c r="M68" s="1">
        <v>92.445114509999996</v>
      </c>
      <c r="N68" s="1">
        <v>6.8514639109999997</v>
      </c>
      <c r="O68" s="1">
        <v>0.66255362809999996</v>
      </c>
      <c r="P68" s="1">
        <v>4.0867953800000002E-2</v>
      </c>
      <c r="Q68" s="2">
        <f t="shared" si="0"/>
        <v>5</v>
      </c>
      <c r="R68" s="1">
        <f t="shared" si="1"/>
        <v>0.66525281000000125</v>
      </c>
      <c r="S68" s="1">
        <f t="shared" si="2"/>
        <v>1.4564422659999992</v>
      </c>
      <c r="T68" s="1">
        <f t="shared" si="3"/>
        <v>0.13097709799999963</v>
      </c>
      <c r="U68" s="1">
        <f t="shared" si="4"/>
        <v>85</v>
      </c>
      <c r="V68" s="3">
        <f t="shared" si="5"/>
        <v>73</v>
      </c>
      <c r="W68" s="3">
        <f t="shared" si="6"/>
        <v>92</v>
      </c>
      <c r="X68" s="3" t="str">
        <f t="shared" si="7"/>
        <v/>
      </c>
      <c r="Y68" s="3" t="str">
        <f t="shared" si="8"/>
        <v/>
      </c>
      <c r="Z68" s="1" t="str">
        <f t="shared" si="9"/>
        <v/>
      </c>
      <c r="AA68" s="3">
        <f t="shared" si="10"/>
        <v>1.3254651679999996</v>
      </c>
    </row>
    <row r="69" spans="1:27">
      <c r="A69" s="1" t="s">
        <v>69</v>
      </c>
      <c r="B69" s="1">
        <v>2020</v>
      </c>
      <c r="C69" s="1">
        <v>555.98797609999997</v>
      </c>
      <c r="D69" s="1">
        <v>66.652000430000001</v>
      </c>
      <c r="E69" s="1">
        <v>88.769606420000002</v>
      </c>
      <c r="F69" s="1">
        <v>7.9041508460000003</v>
      </c>
      <c r="G69" s="1">
        <v>3.2091477159999999</v>
      </c>
      <c r="H69" s="1">
        <v>0.1170950144</v>
      </c>
      <c r="I69" s="1">
        <v>80.114525439999994</v>
      </c>
      <c r="J69" s="1">
        <v>9.9111270220000005</v>
      </c>
      <c r="K69" s="1">
        <v>9.6232170030000006</v>
      </c>
      <c r="L69" s="1">
        <v>0.35113053970000002</v>
      </c>
      <c r="M69" s="1">
        <v>93.1</v>
      </c>
      <c r="N69" s="1">
        <v>6.9</v>
      </c>
      <c r="O69" s="1">
        <v>0</v>
      </c>
      <c r="P69" s="1">
        <v>0</v>
      </c>
      <c r="Q69" s="2" t="str">
        <f t="shared" si="0"/>
        <v/>
      </c>
      <c r="R69" s="1" t="str">
        <f t="shared" si="1"/>
        <v/>
      </c>
      <c r="S69" s="1" t="str">
        <f t="shared" si="2"/>
        <v/>
      </c>
      <c r="T69" s="1" t="str">
        <f t="shared" si="3"/>
        <v/>
      </c>
      <c r="U69" s="1">
        <f t="shared" si="4"/>
        <v>89</v>
      </c>
      <c r="V69" s="3">
        <f t="shared" si="5"/>
        <v>80</v>
      </c>
      <c r="W69" s="3">
        <f t="shared" si="6"/>
        <v>93</v>
      </c>
      <c r="X69" s="3" t="str">
        <f t="shared" si="7"/>
        <v/>
      </c>
      <c r="Y69" s="3" t="str">
        <f t="shared" si="8"/>
        <v/>
      </c>
      <c r="Z69" s="1" t="str">
        <f t="shared" si="9"/>
        <v/>
      </c>
      <c r="AA69" s="3" t="str">
        <f t="shared" si="10"/>
        <v/>
      </c>
    </row>
    <row r="70" spans="1:27">
      <c r="A70" s="1" t="s">
        <v>70</v>
      </c>
      <c r="B70" s="1">
        <v>2015</v>
      </c>
      <c r="C70" s="1">
        <v>15521.434569999999</v>
      </c>
      <c r="D70" s="1">
        <v>22.187999730000001</v>
      </c>
      <c r="E70" s="1">
        <v>68.443848959999997</v>
      </c>
      <c r="F70" s="1">
        <v>8.6032481930000007</v>
      </c>
      <c r="G70" s="1">
        <v>9.6029948170000008</v>
      </c>
      <c r="H70" s="1">
        <v>13.34990803</v>
      </c>
      <c r="I70" s="1">
        <v>62.711116680000003</v>
      </c>
      <c r="J70" s="1">
        <v>9.432045638</v>
      </c>
      <c r="K70" s="1">
        <v>11.750895959999999</v>
      </c>
      <c r="L70" s="1">
        <v>16.105941720000001</v>
      </c>
      <c r="M70" s="1">
        <v>88.548191439999997</v>
      </c>
      <c r="N70" s="1">
        <v>5.6967034720000003</v>
      </c>
      <c r="O70" s="1">
        <v>2.0704456869999999</v>
      </c>
      <c r="P70" s="1">
        <v>3.6846594000000001</v>
      </c>
      <c r="Q70" s="2">
        <f t="shared" si="0"/>
        <v>5</v>
      </c>
      <c r="R70" s="1">
        <f t="shared" si="1"/>
        <v>0.55520720199999973</v>
      </c>
      <c r="S70" s="1">
        <f t="shared" si="2"/>
        <v>0.47120783000000016</v>
      </c>
      <c r="T70" s="1">
        <f t="shared" si="3"/>
        <v>0.38197714599999982</v>
      </c>
      <c r="U70" s="1">
        <f t="shared" si="4"/>
        <v>68</v>
      </c>
      <c r="V70" s="3">
        <f t="shared" si="5"/>
        <v>63</v>
      </c>
      <c r="W70" s="3">
        <f t="shared" si="6"/>
        <v>89</v>
      </c>
      <c r="X70" s="3" t="str">
        <f t="shared" si="7"/>
        <v/>
      </c>
      <c r="Y70" s="3" t="str">
        <f t="shared" si="8"/>
        <v/>
      </c>
      <c r="Z70" s="1" t="str">
        <f t="shared" si="9"/>
        <v/>
      </c>
      <c r="AA70" s="3">
        <f t="shared" si="10"/>
        <v>8.9230684000000338E-2</v>
      </c>
    </row>
    <row r="71" spans="1:27">
      <c r="A71" s="1" t="s">
        <v>70</v>
      </c>
      <c r="B71" s="1">
        <v>2020</v>
      </c>
      <c r="C71" s="1">
        <v>16718.970700000002</v>
      </c>
      <c r="D71" s="1">
        <v>24.23200035</v>
      </c>
      <c r="E71" s="1">
        <v>71.219884969999995</v>
      </c>
      <c r="F71" s="1">
        <v>13.90222204</v>
      </c>
      <c r="G71" s="1">
        <v>5.6772185579999999</v>
      </c>
      <c r="H71" s="1">
        <v>9.2006744339999997</v>
      </c>
      <c r="I71" s="1">
        <v>65.067155830000004</v>
      </c>
      <c r="J71" s="1">
        <v>15.51772278</v>
      </c>
      <c r="K71" s="1">
        <v>7.4928993070000001</v>
      </c>
      <c r="L71" s="1">
        <v>11.92222209</v>
      </c>
      <c r="M71" s="1">
        <v>90.458077169999996</v>
      </c>
      <c r="N71" s="1">
        <v>8.8509147200000005</v>
      </c>
      <c r="O71" s="1">
        <v>0</v>
      </c>
      <c r="P71" s="1">
        <v>0.69100811439999998</v>
      </c>
      <c r="Q71" s="2" t="str">
        <f t="shared" si="0"/>
        <v/>
      </c>
      <c r="R71" s="1" t="str">
        <f t="shared" si="1"/>
        <v/>
      </c>
      <c r="S71" s="1" t="str">
        <f t="shared" si="2"/>
        <v/>
      </c>
      <c r="T71" s="1" t="str">
        <f t="shared" si="3"/>
        <v/>
      </c>
      <c r="U71" s="1">
        <f t="shared" si="4"/>
        <v>71</v>
      </c>
      <c r="V71" s="3">
        <f t="shared" si="5"/>
        <v>65</v>
      </c>
      <c r="W71" s="3">
        <f t="shared" si="6"/>
        <v>90</v>
      </c>
      <c r="X71" s="3" t="str">
        <f t="shared" si="7"/>
        <v/>
      </c>
      <c r="Y71" s="3" t="str">
        <f t="shared" si="8"/>
        <v/>
      </c>
      <c r="Z71" s="1" t="str">
        <f t="shared" si="9"/>
        <v/>
      </c>
      <c r="AA71" s="3" t="str">
        <f t="shared" si="10"/>
        <v/>
      </c>
    </row>
    <row r="72" spans="1:27">
      <c r="A72" s="1" t="s">
        <v>71</v>
      </c>
      <c r="B72" s="1">
        <v>2015</v>
      </c>
      <c r="C72" s="1">
        <v>23298.376950000002</v>
      </c>
      <c r="D72" s="1">
        <v>54.57799911</v>
      </c>
      <c r="E72" s="1">
        <v>63.973990120000003</v>
      </c>
      <c r="F72" s="1">
        <v>11.23827056</v>
      </c>
      <c r="G72" s="1">
        <v>17.651358330000001</v>
      </c>
      <c r="H72" s="1">
        <v>7.1363809839999996</v>
      </c>
      <c r="I72" s="1">
        <v>42.005669210000001</v>
      </c>
      <c r="J72" s="1">
        <v>11.073386409999999</v>
      </c>
      <c r="K72" s="1">
        <v>32.39404459</v>
      </c>
      <c r="L72" s="1">
        <v>14.52689979</v>
      </c>
      <c r="M72" s="1">
        <v>82.256907909999995</v>
      </c>
      <c r="N72" s="1">
        <v>11.37549377</v>
      </c>
      <c r="O72" s="1">
        <v>5.3819035130000001</v>
      </c>
      <c r="P72" s="1">
        <v>0.98569480279999999</v>
      </c>
      <c r="Q72" s="2">
        <f t="shared" si="0"/>
        <v>5</v>
      </c>
      <c r="R72" s="1">
        <f t="shared" si="1"/>
        <v>0.34928561199999847</v>
      </c>
      <c r="S72" s="1">
        <f t="shared" si="2"/>
        <v>0.30438238200000001</v>
      </c>
      <c r="T72" s="1">
        <f t="shared" si="3"/>
        <v>-3.4664609999998673E-2</v>
      </c>
      <c r="U72" s="1">
        <f t="shared" si="4"/>
        <v>64</v>
      </c>
      <c r="V72" s="3">
        <f t="shared" si="5"/>
        <v>42</v>
      </c>
      <c r="W72" s="3">
        <f t="shared" si="6"/>
        <v>82</v>
      </c>
      <c r="X72" s="3" t="str">
        <f t="shared" si="7"/>
        <v/>
      </c>
      <c r="Y72" s="3" t="str">
        <f t="shared" si="8"/>
        <v/>
      </c>
      <c r="Z72" s="1" t="str">
        <f t="shared" si="9"/>
        <v/>
      </c>
      <c r="AA72" s="3">
        <f t="shared" si="10"/>
        <v>0.33904699199999866</v>
      </c>
    </row>
    <row r="73" spans="1:27">
      <c r="A73" s="1" t="s">
        <v>71</v>
      </c>
      <c r="B73" s="1">
        <v>2020</v>
      </c>
      <c r="C73" s="1">
        <v>26545.863280000001</v>
      </c>
      <c r="D73" s="1">
        <v>57.560005189999998</v>
      </c>
      <c r="E73" s="1">
        <v>65.720418179999996</v>
      </c>
      <c r="F73" s="1">
        <v>12.874748629999999</v>
      </c>
      <c r="G73" s="1">
        <v>15.00100626</v>
      </c>
      <c r="H73" s="1">
        <v>6.4038269269999999</v>
      </c>
      <c r="I73" s="1">
        <v>43.527581120000001</v>
      </c>
      <c r="J73" s="1">
        <v>12.67259943</v>
      </c>
      <c r="K73" s="1">
        <v>30.12380645</v>
      </c>
      <c r="L73" s="1">
        <v>13.676012999999999</v>
      </c>
      <c r="M73" s="1">
        <v>82.083584860000002</v>
      </c>
      <c r="N73" s="1">
        <v>13.023796770000001</v>
      </c>
      <c r="O73" s="1">
        <v>3.8507013510000001</v>
      </c>
      <c r="P73" s="1">
        <v>1.041917019</v>
      </c>
      <c r="Q73" s="2" t="str">
        <f t="shared" si="0"/>
        <v/>
      </c>
      <c r="R73" s="1" t="str">
        <f t="shared" si="1"/>
        <v/>
      </c>
      <c r="S73" s="1" t="str">
        <f t="shared" si="2"/>
        <v/>
      </c>
      <c r="T73" s="1" t="str">
        <f t="shared" si="3"/>
        <v/>
      </c>
      <c r="U73" s="1">
        <f t="shared" si="4"/>
        <v>66</v>
      </c>
      <c r="V73" s="3">
        <f t="shared" si="5"/>
        <v>44</v>
      </c>
      <c r="W73" s="3">
        <f t="shared" si="6"/>
        <v>82</v>
      </c>
      <c r="X73" s="3" t="str">
        <f t="shared" si="7"/>
        <v/>
      </c>
      <c r="Y73" s="3" t="str">
        <f t="shared" si="8"/>
        <v/>
      </c>
      <c r="Z73" s="1" t="str">
        <f t="shared" si="9"/>
        <v/>
      </c>
      <c r="AA73" s="3" t="str">
        <f t="shared" si="10"/>
        <v/>
      </c>
    </row>
    <row r="74" spans="1:27">
      <c r="A74" s="1" t="s">
        <v>72</v>
      </c>
      <c r="B74" s="1">
        <v>2015</v>
      </c>
      <c r="C74" s="1">
        <v>36026.667970000002</v>
      </c>
      <c r="D74" s="1">
        <v>81.259002690000003</v>
      </c>
      <c r="E74" s="1">
        <v>99.229221390000006</v>
      </c>
      <c r="F74" s="1">
        <v>0</v>
      </c>
      <c r="G74" s="1">
        <v>0.77077860909999996</v>
      </c>
      <c r="H74" s="1">
        <v>0</v>
      </c>
      <c r="I74" s="1">
        <v>98.81619508</v>
      </c>
      <c r="J74" s="1">
        <v>0</v>
      </c>
      <c r="K74" s="1">
        <v>1.183804922</v>
      </c>
      <c r="L74" s="1">
        <v>0</v>
      </c>
      <c r="M74" s="1">
        <v>99.324478850000006</v>
      </c>
      <c r="N74" s="1">
        <v>0</v>
      </c>
      <c r="O74" s="1">
        <v>0.67552114730000001</v>
      </c>
      <c r="P74" s="1">
        <v>0</v>
      </c>
      <c r="Q74" s="2">
        <f t="shared" si="0"/>
        <v>5</v>
      </c>
      <c r="R74" s="1">
        <f t="shared" si="1"/>
        <v>-1.4821460000007391E-3</v>
      </c>
      <c r="S74" s="1">
        <f t="shared" si="2"/>
        <v>4.8860164000001302E-2</v>
      </c>
      <c r="T74" s="1">
        <f t="shared" si="3"/>
        <v>-1.3240238000000204E-2</v>
      </c>
      <c r="U74" s="1">
        <f t="shared" si="4"/>
        <v>99</v>
      </c>
      <c r="V74" s="3">
        <f t="shared" si="5"/>
        <v>99</v>
      </c>
      <c r="W74" s="3">
        <f t="shared" si="6"/>
        <v>99</v>
      </c>
      <c r="X74" s="3" t="str">
        <f t="shared" si="7"/>
        <v/>
      </c>
      <c r="Y74" s="3" t="str">
        <f t="shared" si="8"/>
        <v/>
      </c>
      <c r="Z74" s="1" t="str">
        <f t="shared" si="9"/>
        <v/>
      </c>
      <c r="AA74" s="3">
        <f t="shared" si="10"/>
        <v>6.2100402000001505E-2</v>
      </c>
    </row>
    <row r="75" spans="1:27">
      <c r="A75" s="1" t="s">
        <v>72</v>
      </c>
      <c r="B75" s="1">
        <v>2020</v>
      </c>
      <c r="C75" s="1">
        <v>37742.15625</v>
      </c>
      <c r="D75" s="1">
        <v>81.562004090000002</v>
      </c>
      <c r="E75" s="1">
        <v>99.221810660000003</v>
      </c>
      <c r="F75" s="1">
        <v>0</v>
      </c>
      <c r="G75" s="1">
        <v>0.77818933690000003</v>
      </c>
      <c r="H75" s="1">
        <v>0</v>
      </c>
      <c r="I75" s="1">
        <v>99.060495900000006</v>
      </c>
      <c r="J75" s="1">
        <v>0</v>
      </c>
      <c r="K75" s="1">
        <v>0.9395041006</v>
      </c>
      <c r="L75" s="1">
        <v>0</v>
      </c>
      <c r="M75" s="1">
        <v>99.258277660000005</v>
      </c>
      <c r="N75" s="1">
        <v>0</v>
      </c>
      <c r="O75" s="1">
        <v>0.74172233710000002</v>
      </c>
      <c r="P75" s="1">
        <v>0</v>
      </c>
      <c r="Q75" s="2" t="str">
        <f t="shared" si="0"/>
        <v/>
      </c>
      <c r="R75" s="1" t="str">
        <f t="shared" si="1"/>
        <v/>
      </c>
      <c r="S75" s="1" t="str">
        <f t="shared" si="2"/>
        <v/>
      </c>
      <c r="T75" s="1" t="str">
        <f t="shared" si="3"/>
        <v/>
      </c>
      <c r="U75" s="1">
        <f t="shared" si="4"/>
        <v>99</v>
      </c>
      <c r="V75" s="3">
        <f t="shared" si="5"/>
        <v>99</v>
      </c>
      <c r="W75" s="3">
        <f t="shared" si="6"/>
        <v>99</v>
      </c>
      <c r="X75" s="3" t="str">
        <f t="shared" si="7"/>
        <v/>
      </c>
      <c r="Y75" s="3" t="str">
        <f t="shared" si="8"/>
        <v/>
      </c>
      <c r="Z75" s="1" t="str">
        <f t="shared" si="9"/>
        <v/>
      </c>
      <c r="AA75" s="3" t="str">
        <f t="shared" si="10"/>
        <v/>
      </c>
    </row>
    <row r="76" spans="1:27">
      <c r="A76" s="1" t="s">
        <v>73</v>
      </c>
      <c r="B76" s="1">
        <v>2015</v>
      </c>
      <c r="C76" s="1">
        <v>61.721000670000002</v>
      </c>
      <c r="D76" s="1">
        <v>100</v>
      </c>
      <c r="E76" s="1">
        <v>96.125</v>
      </c>
      <c r="F76" s="1">
        <v>0</v>
      </c>
      <c r="G76" s="1">
        <v>3.875</v>
      </c>
      <c r="H76" s="1">
        <v>0</v>
      </c>
      <c r="I76" s="1" t="s">
        <v>272</v>
      </c>
      <c r="J76" s="1" t="s">
        <v>272</v>
      </c>
      <c r="K76" s="1" t="s">
        <v>272</v>
      </c>
      <c r="L76" s="1" t="s">
        <v>272</v>
      </c>
      <c r="M76" s="1">
        <v>96.125</v>
      </c>
      <c r="N76" s="1">
        <v>0</v>
      </c>
      <c r="O76" s="1">
        <v>3.875</v>
      </c>
      <c r="P76" s="1">
        <v>0</v>
      </c>
      <c r="Q76" s="2">
        <f t="shared" si="0"/>
        <v>1</v>
      </c>
      <c r="R76" s="1">
        <f t="shared" si="1"/>
        <v>0</v>
      </c>
      <c r="S76" s="1" t="str">
        <f t="shared" si="2"/>
        <v>null</v>
      </c>
      <c r="T76" s="1">
        <f t="shared" si="3"/>
        <v>0</v>
      </c>
      <c r="U76" s="1">
        <f t="shared" si="4"/>
        <v>96</v>
      </c>
      <c r="V76" s="3" t="str">
        <f t="shared" si="5"/>
        <v>null</v>
      </c>
      <c r="W76" s="3">
        <f t="shared" si="6"/>
        <v>96</v>
      </c>
      <c r="X76" s="3" t="str">
        <f t="shared" si="7"/>
        <v/>
      </c>
      <c r="Y76" s="3" t="str">
        <f t="shared" si="8"/>
        <v/>
      </c>
      <c r="Z76" s="1" t="str">
        <f t="shared" si="9"/>
        <v/>
      </c>
      <c r="AA76" s="3" t="str">
        <f t="shared" si="10"/>
        <v>null</v>
      </c>
    </row>
    <row r="77" spans="1:27">
      <c r="A77" s="1" t="s">
        <v>73</v>
      </c>
      <c r="B77" s="1">
        <v>2016</v>
      </c>
      <c r="C77" s="1">
        <v>62.563999180000003</v>
      </c>
      <c r="D77" s="1">
        <v>100</v>
      </c>
      <c r="E77" s="1">
        <v>96.125</v>
      </c>
      <c r="F77" s="1">
        <v>0</v>
      </c>
      <c r="G77" s="1">
        <v>3.875</v>
      </c>
      <c r="H77" s="1">
        <v>0</v>
      </c>
      <c r="I77" s="1" t="s">
        <v>272</v>
      </c>
      <c r="J77" s="1" t="s">
        <v>272</v>
      </c>
      <c r="K77" s="1" t="s">
        <v>272</v>
      </c>
      <c r="L77" s="1" t="s">
        <v>272</v>
      </c>
      <c r="M77" s="1">
        <v>96.125</v>
      </c>
      <c r="N77" s="1">
        <v>0</v>
      </c>
      <c r="O77" s="1">
        <v>3.875</v>
      </c>
      <c r="P77" s="1">
        <v>0</v>
      </c>
      <c r="Q77" s="2" t="str">
        <f t="shared" si="0"/>
        <v/>
      </c>
      <c r="R77" s="1" t="str">
        <f t="shared" si="1"/>
        <v/>
      </c>
      <c r="S77" s="1" t="str">
        <f t="shared" si="2"/>
        <v/>
      </c>
      <c r="T77" s="1" t="str">
        <f t="shared" si="3"/>
        <v/>
      </c>
      <c r="U77" s="1">
        <f t="shared" si="4"/>
        <v>96</v>
      </c>
      <c r="V77" s="3" t="str">
        <f t="shared" si="5"/>
        <v>null</v>
      </c>
      <c r="W77" s="3">
        <f t="shared" si="6"/>
        <v>96</v>
      </c>
      <c r="X77" s="3" t="str">
        <f t="shared" si="7"/>
        <v/>
      </c>
      <c r="Y77" s="3" t="str">
        <f t="shared" si="8"/>
        <v/>
      </c>
      <c r="Z77" s="1" t="str">
        <f t="shared" si="9"/>
        <v/>
      </c>
      <c r="AA77" s="3" t="str">
        <f t="shared" si="10"/>
        <v/>
      </c>
    </row>
    <row r="78" spans="1:27">
      <c r="A78" s="1" t="s">
        <v>74</v>
      </c>
      <c r="B78" s="1">
        <v>2015</v>
      </c>
      <c r="C78" s="1">
        <v>4493.1708980000003</v>
      </c>
      <c r="D78" s="1">
        <v>40.277000430000001</v>
      </c>
      <c r="E78" s="1">
        <v>42.311345420000002</v>
      </c>
      <c r="F78" s="1">
        <v>21.343997179999999</v>
      </c>
      <c r="G78" s="1">
        <v>32.010174079999999</v>
      </c>
      <c r="H78" s="1">
        <v>4.3344833180000002</v>
      </c>
      <c r="I78" s="1">
        <v>31.891407789999999</v>
      </c>
      <c r="J78" s="1">
        <v>17.35785358</v>
      </c>
      <c r="K78" s="1">
        <v>43.702609250000002</v>
      </c>
      <c r="L78" s="1">
        <v>7.0481293919999999</v>
      </c>
      <c r="M78" s="1">
        <v>57.76209901</v>
      </c>
      <c r="N78" s="1">
        <v>27.25467806</v>
      </c>
      <c r="O78" s="1">
        <v>14.67255123</v>
      </c>
      <c r="P78" s="1">
        <v>0.31067170900000002</v>
      </c>
      <c r="Q78" s="2">
        <f t="shared" si="0"/>
        <v>5</v>
      </c>
      <c r="R78" s="1">
        <f t="shared" si="1"/>
        <v>-1.0217886739999997</v>
      </c>
      <c r="S78" s="1">
        <f t="shared" si="2"/>
        <v>-0.75696272799999986</v>
      </c>
      <c r="T78" s="1">
        <f t="shared" si="3"/>
        <v>-1.6200868119999996</v>
      </c>
      <c r="U78" s="1">
        <f t="shared" si="4"/>
        <v>42</v>
      </c>
      <c r="V78" s="3">
        <f t="shared" si="5"/>
        <v>32</v>
      </c>
      <c r="W78" s="3">
        <f t="shared" si="6"/>
        <v>58</v>
      </c>
      <c r="X78" s="3" t="str">
        <f t="shared" si="7"/>
        <v/>
      </c>
      <c r="Y78" s="3" t="str">
        <f t="shared" si="8"/>
        <v/>
      </c>
      <c r="Z78" s="1" t="str">
        <f t="shared" si="9"/>
        <v/>
      </c>
      <c r="AA78" s="3">
        <f t="shared" si="10"/>
        <v>0.86312408399999974</v>
      </c>
    </row>
    <row r="79" spans="1:27">
      <c r="A79" s="1" t="s">
        <v>74</v>
      </c>
      <c r="B79" s="1">
        <v>2020</v>
      </c>
      <c r="C79" s="1">
        <v>4829.7641599999997</v>
      </c>
      <c r="D79" s="1">
        <v>42.197998050000002</v>
      </c>
      <c r="E79" s="1">
        <v>37.202402050000003</v>
      </c>
      <c r="F79" s="1">
        <v>25.682373479999999</v>
      </c>
      <c r="G79" s="1">
        <v>33.53911377</v>
      </c>
      <c r="H79" s="1">
        <v>3.5761107079999999</v>
      </c>
      <c r="I79" s="1">
        <v>28.106594149999999</v>
      </c>
      <c r="J79" s="1">
        <v>19.405889899999998</v>
      </c>
      <c r="K79" s="1">
        <v>46.373073009999999</v>
      </c>
      <c r="L79" s="1">
        <v>6.1144429440000003</v>
      </c>
      <c r="M79" s="1">
        <v>49.661664950000002</v>
      </c>
      <c r="N79" s="1">
        <v>34.279780090000003</v>
      </c>
      <c r="O79" s="1">
        <v>15.95940214</v>
      </c>
      <c r="P79" s="1">
        <v>9.915281712E-2</v>
      </c>
      <c r="Q79" s="2" t="str">
        <f t="shared" si="0"/>
        <v/>
      </c>
      <c r="R79" s="1" t="str">
        <f t="shared" si="1"/>
        <v/>
      </c>
      <c r="S79" s="1" t="str">
        <f t="shared" si="2"/>
        <v/>
      </c>
      <c r="T79" s="1" t="str">
        <f t="shared" si="3"/>
        <v/>
      </c>
      <c r="U79" s="1">
        <f t="shared" si="4"/>
        <v>37</v>
      </c>
      <c r="V79" s="3">
        <f t="shared" si="5"/>
        <v>28</v>
      </c>
      <c r="W79" s="3">
        <f t="shared" si="6"/>
        <v>50</v>
      </c>
      <c r="X79" s="3" t="str">
        <f t="shared" si="7"/>
        <v/>
      </c>
      <c r="Y79" s="3" t="str">
        <f t="shared" si="8"/>
        <v/>
      </c>
      <c r="Z79" s="1" t="str">
        <f t="shared" si="9"/>
        <v/>
      </c>
      <c r="AA79" s="3" t="str">
        <f t="shared" si="10"/>
        <v/>
      </c>
    </row>
    <row r="80" spans="1:27">
      <c r="A80" s="1" t="s">
        <v>75</v>
      </c>
      <c r="B80" s="1">
        <v>2015</v>
      </c>
      <c r="C80" s="1">
        <v>14110.9707</v>
      </c>
      <c r="D80" s="1">
        <v>22.515001300000002</v>
      </c>
      <c r="E80" s="1">
        <v>44.399096970000002</v>
      </c>
      <c r="F80" s="1">
        <v>13.51638311</v>
      </c>
      <c r="G80" s="1">
        <v>34.702739940000001</v>
      </c>
      <c r="H80" s="1">
        <v>7.3817799820000003</v>
      </c>
      <c r="I80" s="1">
        <v>35.578900740000002</v>
      </c>
      <c r="J80" s="1">
        <v>13.876413980000001</v>
      </c>
      <c r="K80" s="1">
        <v>41.266156469999999</v>
      </c>
      <c r="L80" s="1">
        <v>9.2785288060000006</v>
      </c>
      <c r="M80" s="1">
        <v>74.753651779999998</v>
      </c>
      <c r="N80" s="1">
        <v>12.27734182</v>
      </c>
      <c r="O80" s="1">
        <v>12.11485643</v>
      </c>
      <c r="P80" s="1">
        <v>0.85414997150000005</v>
      </c>
      <c r="Q80" s="2">
        <f t="shared" si="0"/>
        <v>5</v>
      </c>
      <c r="R80" s="1">
        <f t="shared" si="1"/>
        <v>0.35768756399999974</v>
      </c>
      <c r="S80" s="1">
        <f t="shared" si="2"/>
        <v>0.39926290199999953</v>
      </c>
      <c r="T80" s="1">
        <f t="shared" si="3"/>
        <v>-0.11228573799999993</v>
      </c>
      <c r="U80" s="1">
        <f t="shared" si="4"/>
        <v>44</v>
      </c>
      <c r="V80" s="3">
        <f t="shared" si="5"/>
        <v>36</v>
      </c>
      <c r="W80" s="3">
        <f t="shared" si="6"/>
        <v>75</v>
      </c>
      <c r="X80" s="3" t="str">
        <f t="shared" si="7"/>
        <v/>
      </c>
      <c r="Y80" s="3" t="str">
        <f t="shared" si="8"/>
        <v/>
      </c>
      <c r="Z80" s="1" t="str">
        <f t="shared" si="9"/>
        <v/>
      </c>
      <c r="AA80" s="3">
        <f t="shared" si="10"/>
        <v>0.51154863999999944</v>
      </c>
    </row>
    <row r="81" spans="1:27">
      <c r="A81" s="1" t="s">
        <v>75</v>
      </c>
      <c r="B81" s="1">
        <v>2020</v>
      </c>
      <c r="C81" s="1">
        <v>16425.859380000002</v>
      </c>
      <c r="D81" s="1">
        <v>23.520000459999999</v>
      </c>
      <c r="E81" s="1">
        <v>46.187534790000001</v>
      </c>
      <c r="F81" s="1">
        <v>14.74028929</v>
      </c>
      <c r="G81" s="1">
        <v>31.562457139999999</v>
      </c>
      <c r="H81" s="1">
        <v>7.5097187840000004</v>
      </c>
      <c r="I81" s="1">
        <v>37.575215249999999</v>
      </c>
      <c r="J81" s="1">
        <v>14.35396111</v>
      </c>
      <c r="K81" s="1">
        <v>38.524967609999997</v>
      </c>
      <c r="L81" s="1">
        <v>9.5458560269999992</v>
      </c>
      <c r="M81" s="1">
        <v>74.192223089999999</v>
      </c>
      <c r="N81" s="1">
        <v>15.99651381</v>
      </c>
      <c r="O81" s="1">
        <v>8.9224527210000009</v>
      </c>
      <c r="P81" s="1">
        <v>0.88881038430000003</v>
      </c>
      <c r="Q81" s="2" t="str">
        <f t="shared" si="0"/>
        <v/>
      </c>
      <c r="R81" s="1" t="str">
        <f t="shared" si="1"/>
        <v/>
      </c>
      <c r="S81" s="1" t="str">
        <f t="shared" si="2"/>
        <v/>
      </c>
      <c r="T81" s="1" t="str">
        <f t="shared" si="3"/>
        <v/>
      </c>
      <c r="U81" s="1">
        <f t="shared" si="4"/>
        <v>46</v>
      </c>
      <c r="V81" s="3">
        <f t="shared" si="5"/>
        <v>38</v>
      </c>
      <c r="W81" s="3">
        <f t="shared" si="6"/>
        <v>74</v>
      </c>
      <c r="X81" s="3" t="str">
        <f t="shared" si="7"/>
        <v/>
      </c>
      <c r="Y81" s="3" t="str">
        <f t="shared" si="8"/>
        <v/>
      </c>
      <c r="Z81" s="1" t="str">
        <f t="shared" si="9"/>
        <v/>
      </c>
      <c r="AA81" s="3" t="str">
        <f t="shared" si="10"/>
        <v/>
      </c>
    </row>
    <row r="82" spans="1:27">
      <c r="A82" s="1" t="s">
        <v>76</v>
      </c>
      <c r="B82" s="1">
        <v>2015</v>
      </c>
      <c r="C82" s="1">
        <v>165.38699339999999</v>
      </c>
      <c r="D82" s="1">
        <v>30.96199799</v>
      </c>
      <c r="E82" s="1">
        <v>94.15</v>
      </c>
      <c r="F82" s="1">
        <v>0</v>
      </c>
      <c r="G82" s="1">
        <v>5.85</v>
      </c>
      <c r="H82" s="1">
        <v>0</v>
      </c>
      <c r="I82" s="1" t="s">
        <v>272</v>
      </c>
      <c r="J82" s="1" t="s">
        <v>272</v>
      </c>
      <c r="K82" s="1" t="s">
        <v>272</v>
      </c>
      <c r="L82" s="1" t="s">
        <v>272</v>
      </c>
      <c r="M82" s="1" t="s">
        <v>272</v>
      </c>
      <c r="N82" s="1" t="s">
        <v>272</v>
      </c>
      <c r="O82" s="1" t="s">
        <v>272</v>
      </c>
      <c r="P82" s="1" t="s">
        <v>272</v>
      </c>
      <c r="Q82" s="2">
        <f t="shared" si="0"/>
        <v>2</v>
      </c>
      <c r="R82" s="1">
        <f t="shared" si="1"/>
        <v>0</v>
      </c>
      <c r="S82" s="1" t="str">
        <f t="shared" si="2"/>
        <v>null</v>
      </c>
      <c r="T82" s="1" t="str">
        <f t="shared" si="3"/>
        <v>null</v>
      </c>
      <c r="U82" s="1">
        <f t="shared" si="4"/>
        <v>94</v>
      </c>
      <c r="V82" s="3" t="str">
        <f t="shared" si="5"/>
        <v>null</v>
      </c>
      <c r="W82" s="3" t="str">
        <f t="shared" si="6"/>
        <v>null</v>
      </c>
      <c r="X82" s="3" t="str">
        <f t="shared" si="7"/>
        <v/>
      </c>
      <c r="Y82" s="3" t="str">
        <f t="shared" si="8"/>
        <v/>
      </c>
      <c r="Z82" s="1" t="str">
        <f t="shared" si="9"/>
        <v/>
      </c>
      <c r="AA82" s="3" t="str">
        <f t="shared" si="10"/>
        <v>null</v>
      </c>
    </row>
    <row r="83" spans="1:27">
      <c r="A83" s="1" t="s">
        <v>76</v>
      </c>
      <c r="B83" s="1">
        <v>2017</v>
      </c>
      <c r="C83" s="1">
        <v>168.6660004</v>
      </c>
      <c r="D83" s="1">
        <v>30.913999560000001</v>
      </c>
      <c r="E83" s="1">
        <v>94.15</v>
      </c>
      <c r="F83" s="1">
        <v>0</v>
      </c>
      <c r="G83" s="1">
        <v>5.85</v>
      </c>
      <c r="H83" s="1">
        <v>0</v>
      </c>
      <c r="I83" s="1" t="s">
        <v>272</v>
      </c>
      <c r="J83" s="1" t="s">
        <v>272</v>
      </c>
      <c r="K83" s="1" t="s">
        <v>272</v>
      </c>
      <c r="L83" s="1" t="s">
        <v>272</v>
      </c>
      <c r="M83" s="1" t="s">
        <v>272</v>
      </c>
      <c r="N83" s="1" t="s">
        <v>272</v>
      </c>
      <c r="O83" s="1" t="s">
        <v>272</v>
      </c>
      <c r="P83" s="1" t="s">
        <v>272</v>
      </c>
      <c r="Q83" s="2" t="str">
        <f t="shared" si="0"/>
        <v/>
      </c>
      <c r="R83" s="1" t="str">
        <f t="shared" si="1"/>
        <v/>
      </c>
      <c r="S83" s="1" t="str">
        <f t="shared" si="2"/>
        <v/>
      </c>
      <c r="T83" s="1" t="str">
        <f t="shared" si="3"/>
        <v/>
      </c>
      <c r="U83" s="1">
        <f t="shared" si="4"/>
        <v>94</v>
      </c>
      <c r="V83" s="3" t="str">
        <f t="shared" si="5"/>
        <v>null</v>
      </c>
      <c r="W83" s="3" t="str">
        <f t="shared" si="6"/>
        <v>null</v>
      </c>
      <c r="X83" s="3" t="str">
        <f t="shared" si="7"/>
        <v/>
      </c>
      <c r="Y83" s="3" t="str">
        <f t="shared" si="8"/>
        <v/>
      </c>
      <c r="Z83" s="1" t="str">
        <f t="shared" si="9"/>
        <v/>
      </c>
      <c r="AA83" s="3" t="str">
        <f t="shared" si="10"/>
        <v/>
      </c>
    </row>
    <row r="84" spans="1:27">
      <c r="A84" s="1" t="s">
        <v>77</v>
      </c>
      <c r="B84" s="1">
        <v>2015</v>
      </c>
      <c r="C84" s="1">
        <v>17969.355469999999</v>
      </c>
      <c r="D84" s="1">
        <v>87.36000061</v>
      </c>
      <c r="E84" s="1">
        <v>99.506492719999997</v>
      </c>
      <c r="F84" s="1">
        <v>0</v>
      </c>
      <c r="G84" s="1">
        <v>0.49350727579999998</v>
      </c>
      <c r="H84" s="1">
        <v>0</v>
      </c>
      <c r="I84" s="1">
        <v>97.067698500000006</v>
      </c>
      <c r="J84" s="1">
        <v>0</v>
      </c>
      <c r="K84" s="1">
        <v>2.9323014980000002</v>
      </c>
      <c r="L84" s="1">
        <v>0</v>
      </c>
      <c r="M84" s="1">
        <v>99.859356980000001</v>
      </c>
      <c r="N84" s="1">
        <v>0</v>
      </c>
      <c r="O84" s="1">
        <v>0.1406430186</v>
      </c>
      <c r="P84" s="1">
        <v>0</v>
      </c>
      <c r="Q84" s="2">
        <f t="shared" si="0"/>
        <v>5</v>
      </c>
      <c r="R84" s="1">
        <f t="shared" si="1"/>
        <v>9.8701199999999295E-2</v>
      </c>
      <c r="S84" s="1">
        <f t="shared" si="2"/>
        <v>0.58646029999999882</v>
      </c>
      <c r="T84" s="1">
        <f t="shared" si="3"/>
        <v>2.8128603999999769E-2</v>
      </c>
      <c r="U84" s="1">
        <f t="shared" si="4"/>
        <v>100</v>
      </c>
      <c r="V84" s="3">
        <f t="shared" si="5"/>
        <v>97</v>
      </c>
      <c r="W84" s="3">
        <f t="shared" si="6"/>
        <v>100</v>
      </c>
      <c r="X84" s="3" t="str">
        <f t="shared" si="7"/>
        <v>fullaccesss</v>
      </c>
      <c r="Y84" s="3" t="str">
        <f t="shared" si="8"/>
        <v/>
      </c>
      <c r="Z84" s="1" t="str">
        <f t="shared" si="9"/>
        <v>fullaccesss</v>
      </c>
      <c r="AA84" s="3">
        <f t="shared" si="10"/>
        <v>0.5583316959999991</v>
      </c>
    </row>
    <row r="85" spans="1:27">
      <c r="A85" s="1" t="s">
        <v>77</v>
      </c>
      <c r="B85" s="1">
        <v>2020</v>
      </c>
      <c r="C85" s="1">
        <v>19116.208979999999</v>
      </c>
      <c r="D85" s="1">
        <v>87.72699738</v>
      </c>
      <c r="E85" s="1">
        <v>99.999998719999994</v>
      </c>
      <c r="F85" s="1">
        <v>0</v>
      </c>
      <c r="G85" s="1">
        <v>1.2771393330000001E-6</v>
      </c>
      <c r="H85" s="1">
        <v>0</v>
      </c>
      <c r="I85" s="1">
        <v>100</v>
      </c>
      <c r="J85" s="1">
        <v>0</v>
      </c>
      <c r="K85" s="1">
        <v>0</v>
      </c>
      <c r="L85" s="1">
        <v>0</v>
      </c>
      <c r="M85" s="1">
        <v>100</v>
      </c>
      <c r="N85" s="1">
        <v>0</v>
      </c>
      <c r="O85" s="1">
        <v>0</v>
      </c>
      <c r="P85" s="1">
        <v>0</v>
      </c>
      <c r="Q85" s="2" t="str">
        <f t="shared" si="0"/>
        <v/>
      </c>
      <c r="R85" s="1" t="str">
        <f t="shared" si="1"/>
        <v/>
      </c>
      <c r="S85" s="1" t="str">
        <f t="shared" si="2"/>
        <v/>
      </c>
      <c r="T85" s="1" t="str">
        <f t="shared" si="3"/>
        <v/>
      </c>
      <c r="U85" s="1">
        <f t="shared" si="4"/>
        <v>100</v>
      </c>
      <c r="V85" s="3">
        <f t="shared" si="5"/>
        <v>100</v>
      </c>
      <c r="W85" s="3">
        <f t="shared" si="6"/>
        <v>100</v>
      </c>
      <c r="X85" s="3" t="str">
        <f t="shared" si="7"/>
        <v/>
      </c>
      <c r="Y85" s="3" t="str">
        <f t="shared" si="8"/>
        <v/>
      </c>
      <c r="Z85" s="1" t="str">
        <f t="shared" si="9"/>
        <v/>
      </c>
      <c r="AA85" s="3" t="str">
        <f t="shared" si="10"/>
        <v/>
      </c>
    </row>
    <row r="86" spans="1:27">
      <c r="A86" s="1" t="s">
        <v>78</v>
      </c>
      <c r="B86" s="1">
        <v>2015</v>
      </c>
      <c r="C86" s="1">
        <v>1430405.375</v>
      </c>
      <c r="D86" s="1">
        <v>55.852706910000002</v>
      </c>
      <c r="E86" s="1">
        <v>91.76264123</v>
      </c>
      <c r="F86" s="1">
        <v>0.81876266180000001</v>
      </c>
      <c r="G86" s="1">
        <v>6.7820774070000001</v>
      </c>
      <c r="H86" s="1">
        <v>0.63651870079999995</v>
      </c>
      <c r="I86" s="1">
        <v>84.479187920000001</v>
      </c>
      <c r="J86" s="1">
        <v>1.51186307</v>
      </c>
      <c r="K86" s="1">
        <v>12.952949009999999</v>
      </c>
      <c r="L86" s="1">
        <v>1.056</v>
      </c>
      <c r="M86" s="1">
        <v>97.519653969999993</v>
      </c>
      <c r="N86" s="1">
        <v>0.27091980389999998</v>
      </c>
      <c r="O86" s="1">
        <v>1.9044754100000001</v>
      </c>
      <c r="P86" s="1">
        <v>0.30495081969999999</v>
      </c>
      <c r="Q86" s="2">
        <f t="shared" si="0"/>
        <v>5</v>
      </c>
      <c r="R86" s="1">
        <f t="shared" si="1"/>
        <v>0.49969387200000026</v>
      </c>
      <c r="S86" s="1">
        <f t="shared" si="2"/>
        <v>1.0364091180000004</v>
      </c>
      <c r="T86" s="1">
        <f t="shared" si="3"/>
        <v>-8.0954259999998612E-2</v>
      </c>
      <c r="U86" s="1">
        <f t="shared" si="4"/>
        <v>92</v>
      </c>
      <c r="V86" s="3">
        <f t="shared" si="5"/>
        <v>84</v>
      </c>
      <c r="W86" s="3">
        <f t="shared" si="6"/>
        <v>98</v>
      </c>
      <c r="X86" s="3" t="str">
        <f t="shared" si="7"/>
        <v/>
      </c>
      <c r="Y86" s="3" t="str">
        <f t="shared" si="8"/>
        <v/>
      </c>
      <c r="Z86" s="1" t="str">
        <f t="shared" si="9"/>
        <v/>
      </c>
      <c r="AA86" s="3">
        <f t="shared" si="10"/>
        <v>1.117363377999999</v>
      </c>
    </row>
    <row r="87" spans="1:27">
      <c r="A87" s="1" t="s">
        <v>78</v>
      </c>
      <c r="B87" s="1">
        <v>2020</v>
      </c>
      <c r="C87" s="1">
        <v>1463140.5</v>
      </c>
      <c r="D87" s="1">
        <v>61.713088990000003</v>
      </c>
      <c r="E87" s="1">
        <v>94.261110590000001</v>
      </c>
      <c r="F87" s="1">
        <v>0.8147213297</v>
      </c>
      <c r="G87" s="1">
        <v>4.725451938</v>
      </c>
      <c r="H87" s="1">
        <v>0.19871614409999999</v>
      </c>
      <c r="I87" s="1">
        <v>89.661233510000002</v>
      </c>
      <c r="J87" s="1">
        <v>1.832679086</v>
      </c>
      <c r="K87" s="1">
        <v>8.5060874089999992</v>
      </c>
      <c r="L87" s="1">
        <v>0</v>
      </c>
      <c r="M87" s="1">
        <v>97.11488267</v>
      </c>
      <c r="N87" s="1">
        <v>0.1831784927</v>
      </c>
      <c r="O87" s="1">
        <v>2.3799388399999999</v>
      </c>
      <c r="P87" s="1">
        <v>0.32200000000000001</v>
      </c>
      <c r="Q87" s="2" t="str">
        <f t="shared" si="0"/>
        <v/>
      </c>
      <c r="R87" s="1" t="str">
        <f t="shared" si="1"/>
        <v/>
      </c>
      <c r="S87" s="1" t="str">
        <f t="shared" si="2"/>
        <v/>
      </c>
      <c r="T87" s="1" t="str">
        <f t="shared" si="3"/>
        <v/>
      </c>
      <c r="U87" s="1">
        <f t="shared" si="4"/>
        <v>94</v>
      </c>
      <c r="V87" s="3">
        <f t="shared" si="5"/>
        <v>90</v>
      </c>
      <c r="W87" s="3">
        <f t="shared" si="6"/>
        <v>97</v>
      </c>
      <c r="X87" s="3" t="str">
        <f t="shared" si="7"/>
        <v/>
      </c>
      <c r="Y87" s="3" t="str">
        <f t="shared" si="8"/>
        <v/>
      </c>
      <c r="Z87" s="1" t="str">
        <f t="shared" si="9"/>
        <v/>
      </c>
      <c r="AA87" s="3" t="str">
        <f t="shared" si="10"/>
        <v/>
      </c>
    </row>
    <row r="88" spans="1:27">
      <c r="A88" s="1" t="s">
        <v>79</v>
      </c>
      <c r="B88" s="1">
        <v>2015</v>
      </c>
      <c r="C88" s="1">
        <v>7185.9921880000002</v>
      </c>
      <c r="D88" s="1">
        <v>100</v>
      </c>
      <c r="E88" s="1">
        <v>100</v>
      </c>
      <c r="F88" s="1">
        <v>0</v>
      </c>
      <c r="G88" s="1">
        <v>0</v>
      </c>
      <c r="H88" s="1">
        <v>0</v>
      </c>
      <c r="I88" s="1" t="s">
        <v>272</v>
      </c>
      <c r="J88" s="1" t="s">
        <v>272</v>
      </c>
      <c r="K88" s="1" t="s">
        <v>272</v>
      </c>
      <c r="L88" s="1" t="s">
        <v>272</v>
      </c>
      <c r="M88" s="1">
        <v>100</v>
      </c>
      <c r="N88" s="1">
        <v>0</v>
      </c>
      <c r="O88" s="1">
        <v>0</v>
      </c>
      <c r="P88" s="1">
        <v>0</v>
      </c>
      <c r="Q88" s="2">
        <f t="shared" si="0"/>
        <v>5</v>
      </c>
      <c r="R88" s="1">
        <f t="shared" si="1"/>
        <v>0</v>
      </c>
      <c r="S88" s="1" t="str">
        <f t="shared" si="2"/>
        <v>null</v>
      </c>
      <c r="T88" s="1">
        <f t="shared" si="3"/>
        <v>0</v>
      </c>
      <c r="U88" s="1">
        <f t="shared" si="4"/>
        <v>100</v>
      </c>
      <c r="V88" s="3" t="str">
        <f t="shared" si="5"/>
        <v>null</v>
      </c>
      <c r="W88" s="3">
        <f t="shared" si="6"/>
        <v>100</v>
      </c>
      <c r="X88" s="3" t="str">
        <f t="shared" si="7"/>
        <v>fullaccesss</v>
      </c>
      <c r="Y88" s="3" t="str">
        <f t="shared" si="8"/>
        <v/>
      </c>
      <c r="Z88" s="1" t="str">
        <f t="shared" si="9"/>
        <v>fullaccesss</v>
      </c>
      <c r="AA88" s="3" t="str">
        <f t="shared" si="10"/>
        <v>null</v>
      </c>
    </row>
    <row r="89" spans="1:27">
      <c r="A89" s="1" t="s">
        <v>79</v>
      </c>
      <c r="B89" s="1">
        <v>2020</v>
      </c>
      <c r="C89" s="1">
        <v>7496.9877930000002</v>
      </c>
      <c r="D89" s="1">
        <v>100</v>
      </c>
      <c r="E89" s="1">
        <v>100</v>
      </c>
      <c r="F89" s="1">
        <v>0</v>
      </c>
      <c r="G89" s="1">
        <v>0</v>
      </c>
      <c r="H89" s="1">
        <v>0</v>
      </c>
      <c r="I89" s="1" t="s">
        <v>272</v>
      </c>
      <c r="J89" s="1" t="s">
        <v>272</v>
      </c>
      <c r="K89" s="1" t="s">
        <v>272</v>
      </c>
      <c r="L89" s="1" t="s">
        <v>272</v>
      </c>
      <c r="M89" s="1">
        <v>100</v>
      </c>
      <c r="N89" s="1">
        <v>0</v>
      </c>
      <c r="O89" s="1">
        <v>0</v>
      </c>
      <c r="P89" s="1">
        <v>0</v>
      </c>
      <c r="Q89" s="2" t="str">
        <f t="shared" si="0"/>
        <v/>
      </c>
      <c r="R89" s="1" t="str">
        <f t="shared" si="1"/>
        <v/>
      </c>
      <c r="S89" s="1" t="str">
        <f t="shared" si="2"/>
        <v/>
      </c>
      <c r="T89" s="1" t="str">
        <f t="shared" si="3"/>
        <v/>
      </c>
      <c r="U89" s="1">
        <f t="shared" si="4"/>
        <v>100</v>
      </c>
      <c r="V89" s="3" t="str">
        <f t="shared" si="5"/>
        <v>null</v>
      </c>
      <c r="W89" s="3">
        <f t="shared" si="6"/>
        <v>100</v>
      </c>
      <c r="X89" s="3" t="str">
        <f t="shared" si="7"/>
        <v/>
      </c>
      <c r="Y89" s="3" t="str">
        <f t="shared" si="8"/>
        <v/>
      </c>
      <c r="Z89" s="1" t="str">
        <f t="shared" si="9"/>
        <v/>
      </c>
      <c r="AA89" s="3" t="str">
        <f t="shared" si="10"/>
        <v/>
      </c>
    </row>
    <row r="90" spans="1:27">
      <c r="A90" s="1" t="s">
        <v>80</v>
      </c>
      <c r="B90" s="1">
        <v>2015</v>
      </c>
      <c r="C90" s="1">
        <v>602.09301760000005</v>
      </c>
      <c r="D90" s="1">
        <v>100</v>
      </c>
      <c r="E90" s="1">
        <v>100</v>
      </c>
      <c r="F90" s="1">
        <v>0</v>
      </c>
      <c r="G90" s="1">
        <v>0</v>
      </c>
      <c r="H90" s="1">
        <v>0</v>
      </c>
      <c r="I90" s="1" t="s">
        <v>272</v>
      </c>
      <c r="J90" s="1" t="s">
        <v>272</v>
      </c>
      <c r="K90" s="1" t="s">
        <v>272</v>
      </c>
      <c r="L90" s="1" t="s">
        <v>272</v>
      </c>
      <c r="M90" s="1">
        <v>100</v>
      </c>
      <c r="N90" s="1">
        <v>0</v>
      </c>
      <c r="O90" s="1">
        <v>0</v>
      </c>
      <c r="P90" s="1">
        <v>0</v>
      </c>
      <c r="Q90" s="2">
        <f t="shared" si="0"/>
        <v>5</v>
      </c>
      <c r="R90" s="1">
        <f t="shared" si="1"/>
        <v>0</v>
      </c>
      <c r="S90" s="1" t="str">
        <f t="shared" si="2"/>
        <v>null</v>
      </c>
      <c r="T90" s="1">
        <f t="shared" si="3"/>
        <v>0</v>
      </c>
      <c r="U90" s="1">
        <f t="shared" si="4"/>
        <v>100</v>
      </c>
      <c r="V90" s="3" t="str">
        <f t="shared" si="5"/>
        <v>null</v>
      </c>
      <c r="W90" s="3">
        <f t="shared" si="6"/>
        <v>100</v>
      </c>
      <c r="X90" s="3" t="str">
        <f t="shared" si="7"/>
        <v>fullaccesss</v>
      </c>
      <c r="Y90" s="3" t="str">
        <f t="shared" si="8"/>
        <v/>
      </c>
      <c r="Z90" s="1" t="str">
        <f t="shared" si="9"/>
        <v>fullaccesss</v>
      </c>
      <c r="AA90" s="3" t="str">
        <f t="shared" si="10"/>
        <v>null</v>
      </c>
    </row>
    <row r="91" spans="1:27">
      <c r="A91" s="1" t="s">
        <v>80</v>
      </c>
      <c r="B91" s="1">
        <v>2020</v>
      </c>
      <c r="C91" s="1">
        <v>649.34198000000004</v>
      </c>
      <c r="D91" s="1">
        <v>100</v>
      </c>
      <c r="E91" s="1">
        <v>100</v>
      </c>
      <c r="F91" s="1">
        <v>0</v>
      </c>
      <c r="G91" s="1">
        <v>0</v>
      </c>
      <c r="H91" s="1">
        <v>0</v>
      </c>
      <c r="I91" s="1" t="s">
        <v>272</v>
      </c>
      <c r="J91" s="1" t="s">
        <v>272</v>
      </c>
      <c r="K91" s="1" t="s">
        <v>272</v>
      </c>
      <c r="L91" s="1" t="s">
        <v>272</v>
      </c>
      <c r="M91" s="1">
        <v>100</v>
      </c>
      <c r="N91" s="1">
        <v>0</v>
      </c>
      <c r="O91" s="1">
        <v>0</v>
      </c>
      <c r="P91" s="1">
        <v>0</v>
      </c>
      <c r="Q91" s="2" t="str">
        <f t="shared" si="0"/>
        <v/>
      </c>
      <c r="R91" s="1" t="str">
        <f t="shared" si="1"/>
        <v/>
      </c>
      <c r="S91" s="1" t="str">
        <f t="shared" si="2"/>
        <v/>
      </c>
      <c r="T91" s="1" t="str">
        <f t="shared" si="3"/>
        <v/>
      </c>
      <c r="U91" s="1">
        <f t="shared" si="4"/>
        <v>100</v>
      </c>
      <c r="V91" s="3" t="str">
        <f t="shared" si="5"/>
        <v>null</v>
      </c>
      <c r="W91" s="3">
        <f t="shared" si="6"/>
        <v>100</v>
      </c>
      <c r="X91" s="3" t="str">
        <f t="shared" si="7"/>
        <v/>
      </c>
      <c r="Y91" s="3" t="str">
        <f t="shared" si="8"/>
        <v/>
      </c>
      <c r="Z91" s="1" t="str">
        <f t="shared" si="9"/>
        <v/>
      </c>
      <c r="AA91" s="3" t="str">
        <f t="shared" si="10"/>
        <v/>
      </c>
    </row>
    <row r="92" spans="1:27">
      <c r="A92" s="1" t="s">
        <v>81</v>
      </c>
      <c r="B92" s="1">
        <v>2015</v>
      </c>
      <c r="C92" s="1">
        <v>47520.667970000002</v>
      </c>
      <c r="D92" s="1">
        <v>79.763999940000005</v>
      </c>
      <c r="E92" s="1">
        <v>96.335868120000001</v>
      </c>
      <c r="F92" s="1">
        <v>0.1840519904</v>
      </c>
      <c r="G92" s="1">
        <v>1.7034450619999999</v>
      </c>
      <c r="H92" s="1">
        <v>1.7766348270000001</v>
      </c>
      <c r="I92" s="1">
        <v>83.273725850000005</v>
      </c>
      <c r="J92" s="1">
        <v>0.68766562610000004</v>
      </c>
      <c r="K92" s="1">
        <v>7.2590323550000004</v>
      </c>
      <c r="L92" s="1">
        <v>8.7795761720000005</v>
      </c>
      <c r="M92" s="1">
        <v>99.649712370000003</v>
      </c>
      <c r="N92" s="1">
        <v>5.6286030219999998E-2</v>
      </c>
      <c r="O92" s="1">
        <v>0.29400160289999999</v>
      </c>
      <c r="P92" s="1">
        <v>0</v>
      </c>
      <c r="Q92" s="2">
        <f t="shared" si="0"/>
        <v>5</v>
      </c>
      <c r="R92" s="1">
        <f t="shared" si="1"/>
        <v>0.23115779800000097</v>
      </c>
      <c r="S92" s="1">
        <f t="shared" si="2"/>
        <v>0.69866939399999806</v>
      </c>
      <c r="T92" s="1">
        <f t="shared" si="3"/>
        <v>5.7696085999998557E-2</v>
      </c>
      <c r="U92" s="1">
        <f t="shared" si="4"/>
        <v>96</v>
      </c>
      <c r="V92" s="3">
        <f t="shared" si="5"/>
        <v>83</v>
      </c>
      <c r="W92" s="3">
        <f t="shared" si="6"/>
        <v>100</v>
      </c>
      <c r="X92" s="3" t="str">
        <f t="shared" si="7"/>
        <v/>
      </c>
      <c r="Y92" s="3" t="str">
        <f t="shared" si="8"/>
        <v/>
      </c>
      <c r="Z92" s="1" t="str">
        <f t="shared" si="9"/>
        <v>fullaccesss</v>
      </c>
      <c r="AA92" s="3">
        <f t="shared" si="10"/>
        <v>0.64097330799999952</v>
      </c>
    </row>
    <row r="93" spans="1:27">
      <c r="A93" s="1" t="s">
        <v>81</v>
      </c>
      <c r="B93" s="1">
        <v>2020</v>
      </c>
      <c r="C93" s="1">
        <v>50882.882810000003</v>
      </c>
      <c r="D93" s="1">
        <v>81.424995420000002</v>
      </c>
      <c r="E93" s="1">
        <v>97.491657110000006</v>
      </c>
      <c r="F93" s="1">
        <v>0.18615215909999999</v>
      </c>
      <c r="G93" s="1">
        <v>0.95361622280000002</v>
      </c>
      <c r="H93" s="1">
        <v>1.3685745119999999</v>
      </c>
      <c r="I93" s="1">
        <v>86.767072819999996</v>
      </c>
      <c r="J93" s="1">
        <v>0.73122820160000002</v>
      </c>
      <c r="K93" s="1">
        <v>5.13386897</v>
      </c>
      <c r="L93" s="1">
        <v>7.3678300050000001</v>
      </c>
      <c r="M93" s="1">
        <v>99.938192799999996</v>
      </c>
      <c r="N93" s="1">
        <v>6.18072E-2</v>
      </c>
      <c r="O93" s="1">
        <v>0</v>
      </c>
      <c r="P93" s="1">
        <v>0</v>
      </c>
      <c r="Q93" s="2" t="str">
        <f t="shared" si="0"/>
        <v/>
      </c>
      <c r="R93" s="1" t="str">
        <f t="shared" si="1"/>
        <v/>
      </c>
      <c r="S93" s="1" t="str">
        <f t="shared" si="2"/>
        <v/>
      </c>
      <c r="T93" s="1" t="str">
        <f t="shared" si="3"/>
        <v/>
      </c>
      <c r="U93" s="1">
        <f t="shared" si="4"/>
        <v>97</v>
      </c>
      <c r="V93" s="3">
        <f t="shared" si="5"/>
        <v>87</v>
      </c>
      <c r="W93" s="3">
        <f t="shared" si="6"/>
        <v>100</v>
      </c>
      <c r="X93" s="3" t="str">
        <f t="shared" si="7"/>
        <v/>
      </c>
      <c r="Y93" s="3" t="str">
        <f t="shared" si="8"/>
        <v/>
      </c>
      <c r="Z93" s="1" t="str">
        <f t="shared" si="9"/>
        <v/>
      </c>
      <c r="AA93" s="3" t="str">
        <f t="shared" si="10"/>
        <v/>
      </c>
    </row>
    <row r="94" spans="1:27">
      <c r="A94" s="1" t="s">
        <v>82</v>
      </c>
      <c r="B94" s="1">
        <v>2015</v>
      </c>
      <c r="C94" s="1">
        <v>777.43499759999997</v>
      </c>
      <c r="D94" s="1">
        <v>28.47000122</v>
      </c>
      <c r="E94" s="1">
        <v>80.132000079999997</v>
      </c>
      <c r="F94" s="1">
        <v>10.877265</v>
      </c>
      <c r="G94" s="1">
        <v>8.3951934319999992</v>
      </c>
      <c r="H94" s="1">
        <v>0.59554149119999999</v>
      </c>
      <c r="I94" s="1">
        <v>76.911723449999997</v>
      </c>
      <c r="J94" s="1">
        <v>11.568647240000001</v>
      </c>
      <c r="K94" s="1">
        <v>10.82245445</v>
      </c>
      <c r="L94" s="1">
        <v>0.69717485830000003</v>
      </c>
      <c r="M94" s="1">
        <v>88.222845579999998</v>
      </c>
      <c r="N94" s="1">
        <v>9.1401884950000003</v>
      </c>
      <c r="O94" s="1">
        <v>2.2967751299999999</v>
      </c>
      <c r="P94" s="1">
        <v>0.34019079699999999</v>
      </c>
      <c r="Q94" s="2">
        <f t="shared" si="0"/>
        <v>4</v>
      </c>
      <c r="R94" s="1">
        <f t="shared" si="1"/>
        <v>1.9624432500002342E-2</v>
      </c>
      <c r="S94" s="1">
        <f t="shared" si="2"/>
        <v>0</v>
      </c>
      <c r="T94" s="1">
        <f t="shared" si="3"/>
        <v>0</v>
      </c>
      <c r="U94" s="1">
        <f t="shared" si="4"/>
        <v>80</v>
      </c>
      <c r="V94" s="3">
        <f t="shared" si="5"/>
        <v>77</v>
      </c>
      <c r="W94" s="3">
        <f t="shared" si="6"/>
        <v>88</v>
      </c>
      <c r="X94" s="3" t="str">
        <f t="shared" si="7"/>
        <v/>
      </c>
      <c r="Y94" s="3" t="str">
        <f t="shared" si="8"/>
        <v/>
      </c>
      <c r="Z94" s="1" t="str">
        <f t="shared" si="9"/>
        <v/>
      </c>
      <c r="AA94" s="3">
        <f t="shared" si="10"/>
        <v>0</v>
      </c>
    </row>
    <row r="95" spans="1:27">
      <c r="A95" s="1" t="s">
        <v>82</v>
      </c>
      <c r="B95" s="1">
        <v>2019</v>
      </c>
      <c r="C95" s="1">
        <v>850.89099120000003</v>
      </c>
      <c r="D95" s="1">
        <v>29.164001460000001</v>
      </c>
      <c r="E95" s="1">
        <v>80.210497810000007</v>
      </c>
      <c r="F95" s="1">
        <v>10.86041131</v>
      </c>
      <c r="G95" s="1">
        <v>8.9290908879999993</v>
      </c>
      <c r="H95" s="1" t="s">
        <v>272</v>
      </c>
      <c r="I95" s="1">
        <v>76.911723449999997</v>
      </c>
      <c r="J95" s="1">
        <v>11.568647240000001</v>
      </c>
      <c r="K95" s="1">
        <v>11.519629309999999</v>
      </c>
      <c r="L95" s="1" t="s">
        <v>272</v>
      </c>
      <c r="M95" s="1">
        <v>88.222845579999998</v>
      </c>
      <c r="N95" s="1">
        <v>9.1401884950000003</v>
      </c>
      <c r="O95" s="1">
        <v>2.2967751299999999</v>
      </c>
      <c r="P95" s="1">
        <v>0.34019079699999999</v>
      </c>
      <c r="Q95" s="2" t="str">
        <f t="shared" si="0"/>
        <v/>
      </c>
      <c r="R95" s="1" t="str">
        <f t="shared" si="1"/>
        <v/>
      </c>
      <c r="S95" s="1" t="str">
        <f t="shared" si="2"/>
        <v/>
      </c>
      <c r="T95" s="1" t="str">
        <f t="shared" si="3"/>
        <v/>
      </c>
      <c r="U95" s="1">
        <f t="shared" si="4"/>
        <v>80</v>
      </c>
      <c r="V95" s="3">
        <f t="shared" si="5"/>
        <v>77</v>
      </c>
      <c r="W95" s="3">
        <f t="shared" si="6"/>
        <v>88</v>
      </c>
      <c r="X95" s="3" t="str">
        <f t="shared" si="7"/>
        <v/>
      </c>
      <c r="Y95" s="3" t="str">
        <f t="shared" si="8"/>
        <v/>
      </c>
      <c r="Z95" s="1" t="str">
        <f t="shared" si="9"/>
        <v/>
      </c>
      <c r="AA95" s="3" t="str">
        <f t="shared" si="10"/>
        <v/>
      </c>
    </row>
    <row r="96" spans="1:27">
      <c r="A96" s="1" t="s">
        <v>83</v>
      </c>
      <c r="B96" s="1">
        <v>2015</v>
      </c>
      <c r="C96" s="1">
        <v>4856.0927730000003</v>
      </c>
      <c r="D96" s="1">
        <v>65.542999269999996</v>
      </c>
      <c r="E96" s="1">
        <v>71.149581769999998</v>
      </c>
      <c r="F96" s="1">
        <v>10.510526049999999</v>
      </c>
      <c r="G96" s="1">
        <v>11.662046309999999</v>
      </c>
      <c r="H96" s="1">
        <v>6.6778458760000001</v>
      </c>
      <c r="I96" s="1">
        <v>41.39183594</v>
      </c>
      <c r="J96" s="1">
        <v>10.739572649999999</v>
      </c>
      <c r="K96" s="1">
        <v>28.501848710000001</v>
      </c>
      <c r="L96" s="1">
        <v>19.366742689999999</v>
      </c>
      <c r="M96" s="1">
        <v>86.793705160000002</v>
      </c>
      <c r="N96" s="1">
        <v>10.390112999999999</v>
      </c>
      <c r="O96" s="1">
        <v>2.809090742</v>
      </c>
      <c r="P96" s="1">
        <v>7.0910958900000003E-3</v>
      </c>
      <c r="Q96" s="2">
        <f t="shared" si="0"/>
        <v>5</v>
      </c>
      <c r="R96" s="1">
        <f t="shared" si="1"/>
        <v>0.52698596200000059</v>
      </c>
      <c r="S96" s="1">
        <f t="shared" si="2"/>
        <v>0.8665154479999998</v>
      </c>
      <c r="T96" s="1">
        <f t="shared" si="3"/>
        <v>5.9918199999998478E-2</v>
      </c>
      <c r="U96" s="1">
        <f t="shared" si="4"/>
        <v>71</v>
      </c>
      <c r="V96" s="3">
        <f t="shared" si="5"/>
        <v>41</v>
      </c>
      <c r="W96" s="3">
        <f t="shared" si="6"/>
        <v>87</v>
      </c>
      <c r="X96" s="3" t="str">
        <f t="shared" si="7"/>
        <v/>
      </c>
      <c r="Y96" s="3" t="str">
        <f t="shared" si="8"/>
        <v/>
      </c>
      <c r="Z96" s="1" t="str">
        <f t="shared" si="9"/>
        <v/>
      </c>
      <c r="AA96" s="3">
        <f t="shared" si="10"/>
        <v>0.80659724800000132</v>
      </c>
    </row>
    <row r="97" spans="1:27">
      <c r="A97" s="1" t="s">
        <v>83</v>
      </c>
      <c r="B97" s="1">
        <v>2020</v>
      </c>
      <c r="C97" s="1">
        <v>5518.091797</v>
      </c>
      <c r="D97" s="1">
        <v>67.829002380000006</v>
      </c>
      <c r="E97" s="1">
        <v>73.78451158</v>
      </c>
      <c r="F97" s="1">
        <v>10.46117203</v>
      </c>
      <c r="G97" s="1">
        <v>9.5591807220000007</v>
      </c>
      <c r="H97" s="1">
        <v>6.1951356640000004</v>
      </c>
      <c r="I97" s="1">
        <v>45.724413179999999</v>
      </c>
      <c r="J97" s="1">
        <v>10.6323901</v>
      </c>
      <c r="K97" s="1">
        <v>24.405169730000001</v>
      </c>
      <c r="L97" s="1">
        <v>19.238026990000002</v>
      </c>
      <c r="M97" s="1">
        <v>87.093296159999994</v>
      </c>
      <c r="N97" s="1">
        <v>10.37996439</v>
      </c>
      <c r="O97" s="1">
        <v>2.5177899969999999</v>
      </c>
      <c r="P97" s="1">
        <v>8.9494520549999994E-3</v>
      </c>
      <c r="Q97" s="2" t="str">
        <f t="shared" si="0"/>
        <v/>
      </c>
      <c r="R97" s="1" t="str">
        <f t="shared" si="1"/>
        <v/>
      </c>
      <c r="S97" s="1" t="str">
        <f t="shared" si="2"/>
        <v/>
      </c>
      <c r="T97" s="1" t="str">
        <f t="shared" si="3"/>
        <v/>
      </c>
      <c r="U97" s="1">
        <f t="shared" si="4"/>
        <v>74</v>
      </c>
      <c r="V97" s="3">
        <f t="shared" si="5"/>
        <v>46</v>
      </c>
      <c r="W97" s="3">
        <f t="shared" si="6"/>
        <v>87</v>
      </c>
      <c r="X97" s="3" t="str">
        <f t="shared" si="7"/>
        <v/>
      </c>
      <c r="Y97" s="3" t="str">
        <f t="shared" si="8"/>
        <v/>
      </c>
      <c r="Z97" s="1" t="str">
        <f t="shared" si="9"/>
        <v/>
      </c>
      <c r="AA97" s="3" t="str">
        <f t="shared" si="10"/>
        <v/>
      </c>
    </row>
    <row r="98" spans="1:27">
      <c r="A98" s="1" t="s">
        <v>84</v>
      </c>
      <c r="B98" s="1">
        <v>2015</v>
      </c>
      <c r="C98" s="1">
        <v>17.580999370000001</v>
      </c>
      <c r="D98" s="1">
        <v>74.403999330000005</v>
      </c>
      <c r="E98" s="1">
        <v>99.953671020000002</v>
      </c>
      <c r="F98" s="1">
        <v>0</v>
      </c>
      <c r="G98" s="1">
        <v>4.6328976289999997E-2</v>
      </c>
      <c r="H98" s="1">
        <v>0</v>
      </c>
      <c r="I98" s="1" t="s">
        <v>272</v>
      </c>
      <c r="J98" s="1" t="s">
        <v>272</v>
      </c>
      <c r="K98" s="1" t="s">
        <v>272</v>
      </c>
      <c r="L98" s="1" t="s">
        <v>272</v>
      </c>
      <c r="M98" s="1" t="s">
        <v>272</v>
      </c>
      <c r="N98" s="1" t="s">
        <v>272</v>
      </c>
      <c r="O98" s="1" t="s">
        <v>272</v>
      </c>
      <c r="P98" s="1" t="s">
        <v>272</v>
      </c>
      <c r="Q98" s="2">
        <f t="shared" si="0"/>
        <v>5</v>
      </c>
      <c r="R98" s="1">
        <f t="shared" si="1"/>
        <v>3.5878400000001419E-3</v>
      </c>
      <c r="S98" s="1" t="str">
        <f t="shared" si="2"/>
        <v>null</v>
      </c>
      <c r="T98" s="1" t="str">
        <f t="shared" si="3"/>
        <v>null</v>
      </c>
      <c r="U98" s="1">
        <f t="shared" si="4"/>
        <v>100</v>
      </c>
      <c r="V98" s="3" t="str">
        <f t="shared" si="5"/>
        <v>null</v>
      </c>
      <c r="W98" s="3" t="str">
        <f t="shared" si="6"/>
        <v>null</v>
      </c>
      <c r="X98" s="3" t="str">
        <f t="shared" si="7"/>
        <v>fullaccesss</v>
      </c>
      <c r="Y98" s="3" t="str">
        <f t="shared" si="8"/>
        <v/>
      </c>
      <c r="Z98" s="1" t="str">
        <f t="shared" si="9"/>
        <v/>
      </c>
      <c r="AA98" s="3" t="str">
        <f t="shared" si="10"/>
        <v>null</v>
      </c>
    </row>
    <row r="99" spans="1:27">
      <c r="A99" s="1" t="s">
        <v>84</v>
      </c>
      <c r="B99" s="1">
        <v>2020</v>
      </c>
      <c r="C99" s="1">
        <v>17.56399918</v>
      </c>
      <c r="D99" s="1">
        <v>75.495002749999998</v>
      </c>
      <c r="E99" s="1">
        <v>99.971610220000002</v>
      </c>
      <c r="F99" s="1">
        <v>0</v>
      </c>
      <c r="G99" s="1">
        <v>2.8389782700000001E-2</v>
      </c>
      <c r="H99" s="1">
        <v>0</v>
      </c>
      <c r="I99" s="1" t="s">
        <v>272</v>
      </c>
      <c r="J99" s="1" t="s">
        <v>272</v>
      </c>
      <c r="K99" s="1" t="s">
        <v>272</v>
      </c>
      <c r="L99" s="1" t="s">
        <v>272</v>
      </c>
      <c r="M99" s="1" t="s">
        <v>272</v>
      </c>
      <c r="N99" s="1" t="s">
        <v>272</v>
      </c>
      <c r="O99" s="1" t="s">
        <v>272</v>
      </c>
      <c r="P99" s="1" t="s">
        <v>272</v>
      </c>
      <c r="Q99" s="2" t="str">
        <f t="shared" si="0"/>
        <v/>
      </c>
      <c r="R99" s="1" t="str">
        <f t="shared" si="1"/>
        <v/>
      </c>
      <c r="S99" s="1" t="str">
        <f t="shared" si="2"/>
        <v/>
      </c>
      <c r="T99" s="1" t="str">
        <f t="shared" si="3"/>
        <v/>
      </c>
      <c r="U99" s="1">
        <f t="shared" si="4"/>
        <v>100</v>
      </c>
      <c r="V99" s="3" t="str">
        <f t="shared" si="5"/>
        <v>null</v>
      </c>
      <c r="W99" s="3" t="str">
        <f t="shared" si="6"/>
        <v>null</v>
      </c>
      <c r="X99" s="3" t="str">
        <f t="shared" si="7"/>
        <v/>
      </c>
      <c r="Y99" s="3" t="str">
        <f t="shared" si="8"/>
        <v/>
      </c>
      <c r="Z99" s="1" t="str">
        <f t="shared" si="9"/>
        <v/>
      </c>
      <c r="AA99" s="3" t="str">
        <f t="shared" si="10"/>
        <v/>
      </c>
    </row>
    <row r="100" spans="1:27">
      <c r="A100" s="1" t="s">
        <v>85</v>
      </c>
      <c r="B100" s="1">
        <v>2015</v>
      </c>
      <c r="C100" s="1">
        <v>4847.8051759999998</v>
      </c>
      <c r="D100" s="1">
        <v>76.861999510000004</v>
      </c>
      <c r="E100" s="1">
        <v>99.378686819999999</v>
      </c>
      <c r="F100" s="1">
        <v>0.25413037840000002</v>
      </c>
      <c r="G100" s="1">
        <v>0.21133501860000001</v>
      </c>
      <c r="H100" s="1">
        <v>0.15584778429999999</v>
      </c>
      <c r="I100" s="1">
        <v>98.186032490000002</v>
      </c>
      <c r="J100" s="1">
        <v>0.4100611535</v>
      </c>
      <c r="K100" s="1">
        <v>0.73034857679999998</v>
      </c>
      <c r="L100" s="1">
        <v>0.67355777780000003</v>
      </c>
      <c r="M100" s="1">
        <v>99.737715109999996</v>
      </c>
      <c r="N100" s="1">
        <v>0.20719007179999999</v>
      </c>
      <c r="O100" s="1">
        <v>5.5094818300000001E-2</v>
      </c>
      <c r="P100" s="1">
        <v>0</v>
      </c>
      <c r="Q100" s="2">
        <f t="shared" si="0"/>
        <v>5</v>
      </c>
      <c r="R100" s="1">
        <f t="shared" si="1"/>
        <v>8.6370021999999838E-2</v>
      </c>
      <c r="S100" s="1">
        <f t="shared" si="2"/>
        <v>0.29204350199999851</v>
      </c>
      <c r="T100" s="1">
        <f t="shared" si="3"/>
        <v>2.2387550000001966E-2</v>
      </c>
      <c r="U100" s="1">
        <f t="shared" si="4"/>
        <v>99</v>
      </c>
      <c r="V100" s="3">
        <f t="shared" si="5"/>
        <v>98</v>
      </c>
      <c r="W100" s="3">
        <f t="shared" si="6"/>
        <v>100</v>
      </c>
      <c r="X100" s="3" t="str">
        <f t="shared" si="7"/>
        <v/>
      </c>
      <c r="Y100" s="3" t="str">
        <f t="shared" si="8"/>
        <v/>
      </c>
      <c r="Z100" s="1" t="str">
        <f t="shared" si="9"/>
        <v>fullaccesss</v>
      </c>
      <c r="AA100" s="3">
        <f t="shared" si="10"/>
        <v>0.26965595199999653</v>
      </c>
    </row>
    <row r="101" spans="1:27">
      <c r="A101" s="1" t="s">
        <v>85</v>
      </c>
      <c r="B101" s="1">
        <v>2020</v>
      </c>
      <c r="C101" s="1">
        <v>5094.1137699999999</v>
      </c>
      <c r="D101" s="1">
        <v>80.770996089999997</v>
      </c>
      <c r="E101" s="1">
        <v>99.810536929999998</v>
      </c>
      <c r="F101" s="1">
        <v>0.18945947460000001</v>
      </c>
      <c r="G101" s="1">
        <v>3.5944518969999999E-6</v>
      </c>
      <c r="H101" s="1">
        <v>0</v>
      </c>
      <c r="I101" s="1">
        <v>99.646249999999995</v>
      </c>
      <c r="J101" s="1">
        <v>0.35375000000000001</v>
      </c>
      <c r="K101" s="1">
        <v>0</v>
      </c>
      <c r="L101" s="1">
        <v>0</v>
      </c>
      <c r="M101" s="1">
        <v>99.849652860000006</v>
      </c>
      <c r="N101" s="1">
        <v>0.15034714290000001</v>
      </c>
      <c r="O101" s="1">
        <v>0</v>
      </c>
      <c r="P101" s="1">
        <v>0</v>
      </c>
      <c r="Q101" s="2" t="str">
        <f t="shared" si="0"/>
        <v/>
      </c>
      <c r="R101" s="1" t="str">
        <f t="shared" si="1"/>
        <v/>
      </c>
      <c r="S101" s="1" t="str">
        <f t="shared" si="2"/>
        <v/>
      </c>
      <c r="T101" s="1" t="str">
        <f t="shared" si="3"/>
        <v/>
      </c>
      <c r="U101" s="1">
        <f t="shared" si="4"/>
        <v>100</v>
      </c>
      <c r="V101" s="3">
        <f t="shared" si="5"/>
        <v>100</v>
      </c>
      <c r="W101" s="3">
        <f t="shared" si="6"/>
        <v>100</v>
      </c>
      <c r="X101" s="3" t="str">
        <f t="shared" si="7"/>
        <v/>
      </c>
      <c r="Y101" s="3" t="str">
        <f t="shared" si="8"/>
        <v/>
      </c>
      <c r="Z101" s="1" t="str">
        <f t="shared" si="9"/>
        <v/>
      </c>
      <c r="AA101" s="3" t="str">
        <f t="shared" si="10"/>
        <v/>
      </c>
    </row>
    <row r="102" spans="1:27">
      <c r="A102" s="1" t="s">
        <v>86</v>
      </c>
      <c r="B102" s="1">
        <v>2015</v>
      </c>
      <c r="C102" s="1">
        <v>23226.148440000001</v>
      </c>
      <c r="D102" s="1">
        <v>49.444000240000001</v>
      </c>
      <c r="E102" s="1">
        <v>71.075766900000005</v>
      </c>
      <c r="F102" s="1">
        <v>8.7671364589999996</v>
      </c>
      <c r="G102" s="1">
        <v>14.417680539999999</v>
      </c>
      <c r="H102" s="1">
        <v>5.7394160950000002</v>
      </c>
      <c r="I102" s="1">
        <v>55.843171720000001</v>
      </c>
      <c r="J102" s="1">
        <v>13.188467299999999</v>
      </c>
      <c r="K102" s="1">
        <v>22.631284709999999</v>
      </c>
      <c r="L102" s="1">
        <v>8.3370762729999992</v>
      </c>
      <c r="M102" s="1">
        <v>86.650945350000001</v>
      </c>
      <c r="N102" s="1">
        <v>4.2463692540000002</v>
      </c>
      <c r="O102" s="1">
        <v>6.0193512360000003</v>
      </c>
      <c r="P102" s="1">
        <v>3.083334164</v>
      </c>
      <c r="Q102" s="2">
        <f t="shared" si="0"/>
        <v>5</v>
      </c>
      <c r="R102" s="1">
        <f t="shared" si="1"/>
        <v>-3.333930200000168E-2</v>
      </c>
      <c r="S102" s="1">
        <f t="shared" si="2"/>
        <v>-2.4144972000000563E-2</v>
      </c>
      <c r="T102" s="1">
        <f t="shared" si="3"/>
        <v>-0.31147841199999959</v>
      </c>
      <c r="U102" s="1">
        <f t="shared" si="4"/>
        <v>71</v>
      </c>
      <c r="V102" s="3">
        <f t="shared" si="5"/>
        <v>56</v>
      </c>
      <c r="W102" s="3">
        <f t="shared" si="6"/>
        <v>87</v>
      </c>
      <c r="X102" s="3" t="str">
        <f t="shared" si="7"/>
        <v/>
      </c>
      <c r="Y102" s="3" t="str">
        <f t="shared" si="8"/>
        <v/>
      </c>
      <c r="Z102" s="1" t="str">
        <f t="shared" si="9"/>
        <v/>
      </c>
      <c r="AA102" s="3">
        <f t="shared" si="10"/>
        <v>0.28733343999999905</v>
      </c>
    </row>
    <row r="103" spans="1:27">
      <c r="A103" s="1" t="s">
        <v>86</v>
      </c>
      <c r="B103" s="1">
        <v>2020</v>
      </c>
      <c r="C103" s="1">
        <v>26378.275389999999</v>
      </c>
      <c r="D103" s="1">
        <v>51.70599747</v>
      </c>
      <c r="E103" s="1">
        <v>70.909070389999997</v>
      </c>
      <c r="F103" s="1">
        <v>8.9354217019999993</v>
      </c>
      <c r="G103" s="1">
        <v>14.192441609999999</v>
      </c>
      <c r="H103" s="1">
        <v>5.9630662929999998</v>
      </c>
      <c r="I103" s="1">
        <v>55.722446859999998</v>
      </c>
      <c r="J103" s="1">
        <v>13.343168289999999</v>
      </c>
      <c r="K103" s="1">
        <v>23.17527956</v>
      </c>
      <c r="L103" s="1">
        <v>7.7591052889999998</v>
      </c>
      <c r="M103" s="1">
        <v>85.093553290000003</v>
      </c>
      <c r="N103" s="1">
        <v>4.8185351560000003</v>
      </c>
      <c r="O103" s="1">
        <v>5.8023665600000003</v>
      </c>
      <c r="P103" s="1">
        <v>4.2855449940000003</v>
      </c>
      <c r="Q103" s="2" t="str">
        <f t="shared" si="0"/>
        <v/>
      </c>
      <c r="R103" s="1" t="str">
        <f t="shared" si="1"/>
        <v/>
      </c>
      <c r="S103" s="1" t="str">
        <f t="shared" si="2"/>
        <v/>
      </c>
      <c r="T103" s="1" t="str">
        <f t="shared" si="3"/>
        <v/>
      </c>
      <c r="U103" s="1">
        <f t="shared" si="4"/>
        <v>71</v>
      </c>
      <c r="V103" s="3">
        <f t="shared" si="5"/>
        <v>56</v>
      </c>
      <c r="W103" s="3">
        <f t="shared" si="6"/>
        <v>85</v>
      </c>
      <c r="X103" s="3" t="str">
        <f t="shared" si="7"/>
        <v/>
      </c>
      <c r="Y103" s="3" t="str">
        <f t="shared" si="8"/>
        <v/>
      </c>
      <c r="Z103" s="1" t="str">
        <f t="shared" si="9"/>
        <v/>
      </c>
      <c r="AA103" s="3" t="str">
        <f t="shared" si="10"/>
        <v/>
      </c>
    </row>
    <row r="104" spans="1:27">
      <c r="A104" s="1" t="s">
        <v>87</v>
      </c>
      <c r="B104" s="1">
        <v>2015</v>
      </c>
      <c r="C104" s="1">
        <v>4232.8740230000003</v>
      </c>
      <c r="D104" s="1">
        <v>56.155002590000002</v>
      </c>
      <c r="E104" s="1" t="s">
        <v>272</v>
      </c>
      <c r="F104" s="1" t="s">
        <v>272</v>
      </c>
      <c r="G104" s="1" t="s">
        <v>272</v>
      </c>
      <c r="H104" s="1" t="s">
        <v>272</v>
      </c>
      <c r="I104" s="1" t="s">
        <v>272</v>
      </c>
      <c r="J104" s="1" t="s">
        <v>272</v>
      </c>
      <c r="K104" s="1" t="s">
        <v>272</v>
      </c>
      <c r="L104" s="1" t="s">
        <v>272</v>
      </c>
      <c r="M104" s="1">
        <v>100</v>
      </c>
      <c r="N104" s="1">
        <v>0</v>
      </c>
      <c r="O104" s="1">
        <v>0</v>
      </c>
      <c r="P104" s="1">
        <v>0</v>
      </c>
      <c r="Q104" s="2">
        <f t="shared" si="0"/>
        <v>5</v>
      </c>
      <c r="R104" s="1" t="str">
        <f t="shared" si="1"/>
        <v>null</v>
      </c>
      <c r="S104" s="1" t="str">
        <f t="shared" si="2"/>
        <v>null</v>
      </c>
      <c r="T104" s="1">
        <f t="shared" si="3"/>
        <v>0</v>
      </c>
      <c r="U104" s="1" t="str">
        <f t="shared" si="4"/>
        <v>null</v>
      </c>
      <c r="V104" s="3" t="str">
        <f t="shared" si="5"/>
        <v>null</v>
      </c>
      <c r="W104" s="3">
        <f t="shared" si="6"/>
        <v>100</v>
      </c>
      <c r="X104" s="3" t="str">
        <f t="shared" si="7"/>
        <v/>
      </c>
      <c r="Y104" s="3" t="str">
        <f t="shared" si="8"/>
        <v/>
      </c>
      <c r="Z104" s="1" t="str">
        <f t="shared" si="9"/>
        <v>fullaccesss</v>
      </c>
      <c r="AA104" s="3" t="str">
        <f t="shared" si="10"/>
        <v>null</v>
      </c>
    </row>
    <row r="105" spans="1:27">
      <c r="A105" s="1" t="s">
        <v>87</v>
      </c>
      <c r="B105" s="1">
        <v>2020</v>
      </c>
      <c r="C105" s="1">
        <v>4105.2680659999996</v>
      </c>
      <c r="D105" s="1">
        <v>57.552997589999997</v>
      </c>
      <c r="E105" s="1" t="s">
        <v>272</v>
      </c>
      <c r="F105" s="1" t="s">
        <v>272</v>
      </c>
      <c r="G105" s="1" t="s">
        <v>272</v>
      </c>
      <c r="H105" s="1" t="s">
        <v>272</v>
      </c>
      <c r="I105" s="1" t="s">
        <v>272</v>
      </c>
      <c r="J105" s="1" t="s">
        <v>272</v>
      </c>
      <c r="K105" s="1" t="s">
        <v>272</v>
      </c>
      <c r="L105" s="1" t="s">
        <v>272</v>
      </c>
      <c r="M105" s="1">
        <v>100</v>
      </c>
      <c r="N105" s="1">
        <v>0</v>
      </c>
      <c r="O105" s="1">
        <v>0</v>
      </c>
      <c r="P105" s="1">
        <v>0</v>
      </c>
      <c r="Q105" s="2" t="str">
        <f t="shared" si="0"/>
        <v/>
      </c>
      <c r="R105" s="1" t="str">
        <f t="shared" si="1"/>
        <v/>
      </c>
      <c r="S105" s="1" t="str">
        <f t="shared" si="2"/>
        <v/>
      </c>
      <c r="T105" s="1" t="str">
        <f t="shared" si="3"/>
        <v/>
      </c>
      <c r="U105" s="1" t="str">
        <f t="shared" si="4"/>
        <v>null</v>
      </c>
      <c r="V105" s="3" t="str">
        <f t="shared" si="5"/>
        <v>null</v>
      </c>
      <c r="W105" s="3">
        <f t="shared" si="6"/>
        <v>100</v>
      </c>
      <c r="X105" s="3" t="str">
        <f t="shared" si="7"/>
        <v/>
      </c>
      <c r="Y105" s="3" t="str">
        <f t="shared" si="8"/>
        <v/>
      </c>
      <c r="Z105" s="1" t="str">
        <f t="shared" si="9"/>
        <v/>
      </c>
      <c r="AA105" s="3" t="str">
        <f t="shared" si="10"/>
        <v/>
      </c>
    </row>
    <row r="106" spans="1:27">
      <c r="A106" s="1" t="s">
        <v>88</v>
      </c>
      <c r="B106" s="1">
        <v>2015</v>
      </c>
      <c r="C106" s="1">
        <v>11324.777340000001</v>
      </c>
      <c r="D106" s="1">
        <v>76.896003719999996</v>
      </c>
      <c r="E106" s="1">
        <v>95.871796470000007</v>
      </c>
      <c r="F106" s="1">
        <v>1.7502537890000001</v>
      </c>
      <c r="G106" s="1">
        <v>1.99464</v>
      </c>
      <c r="H106" s="1">
        <v>0.38330973619999997</v>
      </c>
      <c r="I106" s="1">
        <v>90.445060659999996</v>
      </c>
      <c r="J106" s="1">
        <v>3.3621971309999998</v>
      </c>
      <c r="K106" s="1">
        <v>4.747322467</v>
      </c>
      <c r="L106" s="1">
        <v>1.445419738</v>
      </c>
      <c r="M106" s="1">
        <v>97.502301369999998</v>
      </c>
      <c r="N106" s="1">
        <v>1.2659328999999999</v>
      </c>
      <c r="O106" s="1">
        <v>1.167575187</v>
      </c>
      <c r="P106" s="1">
        <v>6.4190542059999994E-2</v>
      </c>
      <c r="Q106" s="2">
        <f t="shared" si="0"/>
        <v>5</v>
      </c>
      <c r="R106" s="1">
        <f t="shared" si="1"/>
        <v>0.22617993799999853</v>
      </c>
      <c r="S106" s="1">
        <f t="shared" si="2"/>
        <v>0.78831809600000047</v>
      </c>
      <c r="T106" s="1">
        <f t="shared" si="3"/>
        <v>5.4655053999999835E-2</v>
      </c>
      <c r="U106" s="1">
        <f t="shared" si="4"/>
        <v>96</v>
      </c>
      <c r="V106" s="3">
        <f t="shared" si="5"/>
        <v>90</v>
      </c>
      <c r="W106" s="3">
        <f t="shared" si="6"/>
        <v>98</v>
      </c>
      <c r="X106" s="3" t="str">
        <f t="shared" si="7"/>
        <v/>
      </c>
      <c r="Y106" s="3" t="str">
        <f t="shared" si="8"/>
        <v/>
      </c>
      <c r="Z106" s="1" t="str">
        <f t="shared" si="9"/>
        <v/>
      </c>
      <c r="AA106" s="3">
        <f t="shared" si="10"/>
        <v>0.73366304200000065</v>
      </c>
    </row>
    <row r="107" spans="1:27">
      <c r="A107" s="1" t="s">
        <v>88</v>
      </c>
      <c r="B107" s="1">
        <v>2020</v>
      </c>
      <c r="C107" s="1">
        <v>11326.61621</v>
      </c>
      <c r="D107" s="1">
        <v>77.194000239999994</v>
      </c>
      <c r="E107" s="1">
        <v>97.002696159999999</v>
      </c>
      <c r="F107" s="1">
        <v>1.471384542</v>
      </c>
      <c r="G107" s="1">
        <v>1.252811506</v>
      </c>
      <c r="H107" s="1">
        <v>0.27310779629999998</v>
      </c>
      <c r="I107" s="1">
        <v>94.386651139999998</v>
      </c>
      <c r="J107" s="1">
        <v>2.591752445</v>
      </c>
      <c r="K107" s="1">
        <v>1.9059729350000001</v>
      </c>
      <c r="L107" s="1">
        <v>1.115623477</v>
      </c>
      <c r="M107" s="1">
        <v>97.775576639999997</v>
      </c>
      <c r="N107" s="1">
        <v>1.1403859000000001</v>
      </c>
      <c r="O107" s="1">
        <v>1.059840374</v>
      </c>
      <c r="P107" s="1">
        <v>2.4197084109999999E-2</v>
      </c>
      <c r="Q107" s="2" t="str">
        <f t="shared" si="0"/>
        <v/>
      </c>
      <c r="R107" s="1" t="str">
        <f t="shared" si="1"/>
        <v/>
      </c>
      <c r="S107" s="1" t="str">
        <f t="shared" si="2"/>
        <v/>
      </c>
      <c r="T107" s="1" t="str">
        <f t="shared" si="3"/>
        <v/>
      </c>
      <c r="U107" s="1">
        <f t="shared" si="4"/>
        <v>97</v>
      </c>
      <c r="V107" s="3">
        <f t="shared" si="5"/>
        <v>94</v>
      </c>
      <c r="W107" s="3">
        <f t="shared" si="6"/>
        <v>98</v>
      </c>
      <c r="X107" s="3" t="str">
        <f t="shared" si="7"/>
        <v/>
      </c>
      <c r="Y107" s="3" t="str">
        <f t="shared" si="8"/>
        <v/>
      </c>
      <c r="Z107" s="1" t="str">
        <f t="shared" si="9"/>
        <v/>
      </c>
      <c r="AA107" s="3" t="str">
        <f t="shared" si="10"/>
        <v/>
      </c>
    </row>
    <row r="108" spans="1:27">
      <c r="A108" s="1" t="s">
        <v>89</v>
      </c>
      <c r="B108" s="1">
        <v>2015</v>
      </c>
      <c r="C108" s="1">
        <v>159.8500061</v>
      </c>
      <c r="D108" s="1">
        <v>89.35199738</v>
      </c>
      <c r="E108" s="1">
        <v>99.49775185</v>
      </c>
      <c r="F108" s="1">
        <v>0</v>
      </c>
      <c r="G108" s="1">
        <v>0.50224815249999999</v>
      </c>
      <c r="H108" s="1">
        <v>0</v>
      </c>
      <c r="I108" s="1" t="s">
        <v>272</v>
      </c>
      <c r="J108" s="1" t="s">
        <v>272</v>
      </c>
      <c r="K108" s="1" t="s">
        <v>272</v>
      </c>
      <c r="L108" s="1" t="s">
        <v>272</v>
      </c>
      <c r="M108" s="1" t="s">
        <v>272</v>
      </c>
      <c r="N108" s="1" t="s">
        <v>272</v>
      </c>
      <c r="O108" s="1" t="s">
        <v>272</v>
      </c>
      <c r="P108" s="1" t="s">
        <v>272</v>
      </c>
      <c r="Q108" s="2">
        <f t="shared" si="0"/>
        <v>2</v>
      </c>
      <c r="R108" s="1">
        <f t="shared" si="1"/>
        <v>0</v>
      </c>
      <c r="S108" s="1" t="str">
        <f t="shared" si="2"/>
        <v>null</v>
      </c>
      <c r="T108" s="1" t="str">
        <f t="shared" si="3"/>
        <v>null</v>
      </c>
      <c r="U108" s="1">
        <f t="shared" si="4"/>
        <v>99</v>
      </c>
      <c r="V108" s="3" t="str">
        <f t="shared" si="5"/>
        <v>null</v>
      </c>
      <c r="W108" s="3" t="str">
        <f t="shared" si="6"/>
        <v>null</v>
      </c>
      <c r="X108" s="3" t="str">
        <f t="shared" si="7"/>
        <v/>
      </c>
      <c r="Y108" s="3" t="str">
        <f t="shared" si="8"/>
        <v/>
      </c>
      <c r="Z108" s="1" t="str">
        <f t="shared" si="9"/>
        <v/>
      </c>
      <c r="AA108" s="3" t="str">
        <f t="shared" si="10"/>
        <v>null</v>
      </c>
    </row>
    <row r="109" spans="1:27">
      <c r="A109" s="1" t="s">
        <v>89</v>
      </c>
      <c r="B109" s="1">
        <v>2017</v>
      </c>
      <c r="C109" s="1">
        <v>161.98599239999999</v>
      </c>
      <c r="D109" s="1">
        <v>89.203002929999997</v>
      </c>
      <c r="E109" s="1">
        <v>99.49775185</v>
      </c>
      <c r="F109" s="1">
        <v>0</v>
      </c>
      <c r="G109" s="1">
        <v>0.50224815249999999</v>
      </c>
      <c r="H109" s="1">
        <v>0</v>
      </c>
      <c r="I109" s="1" t="s">
        <v>272</v>
      </c>
      <c r="J109" s="1" t="s">
        <v>272</v>
      </c>
      <c r="K109" s="1" t="s">
        <v>272</v>
      </c>
      <c r="L109" s="1" t="s">
        <v>272</v>
      </c>
      <c r="M109" s="1" t="s">
        <v>272</v>
      </c>
      <c r="N109" s="1" t="s">
        <v>272</v>
      </c>
      <c r="O109" s="1" t="s">
        <v>272</v>
      </c>
      <c r="P109" s="1" t="s">
        <v>272</v>
      </c>
      <c r="Q109" s="2" t="str">
        <f t="shared" si="0"/>
        <v/>
      </c>
      <c r="R109" s="1" t="str">
        <f t="shared" si="1"/>
        <v/>
      </c>
      <c r="S109" s="1" t="str">
        <f t="shared" si="2"/>
        <v/>
      </c>
      <c r="T109" s="1" t="str">
        <f t="shared" si="3"/>
        <v/>
      </c>
      <c r="U109" s="1">
        <f t="shared" si="4"/>
        <v>99</v>
      </c>
      <c r="V109" s="3" t="str">
        <f t="shared" si="5"/>
        <v>null</v>
      </c>
      <c r="W109" s="3" t="str">
        <f t="shared" si="6"/>
        <v>null</v>
      </c>
      <c r="X109" s="3" t="str">
        <f t="shared" si="7"/>
        <v/>
      </c>
      <c r="Y109" s="3" t="str">
        <f t="shared" si="8"/>
        <v/>
      </c>
      <c r="Z109" s="1" t="str">
        <f t="shared" si="9"/>
        <v/>
      </c>
      <c r="AA109" s="3" t="str">
        <f t="shared" si="10"/>
        <v/>
      </c>
    </row>
    <row r="110" spans="1:27">
      <c r="A110" s="1" t="s">
        <v>90</v>
      </c>
      <c r="B110" s="1">
        <v>2015</v>
      </c>
      <c r="C110" s="1">
        <v>1160.987061</v>
      </c>
      <c r="D110" s="1">
        <v>66.945999150000006</v>
      </c>
      <c r="E110" s="1">
        <v>99.788517569999996</v>
      </c>
      <c r="F110" s="1">
        <v>0</v>
      </c>
      <c r="G110" s="1">
        <v>0.21148243489999999</v>
      </c>
      <c r="H110" s="1">
        <v>0</v>
      </c>
      <c r="I110" s="1">
        <v>99.861185539999994</v>
      </c>
      <c r="J110" s="1">
        <v>0</v>
      </c>
      <c r="K110" s="1">
        <v>0.1388144553</v>
      </c>
      <c r="L110" s="1">
        <v>0</v>
      </c>
      <c r="M110" s="1">
        <v>99.752642309999999</v>
      </c>
      <c r="N110" s="1">
        <v>0</v>
      </c>
      <c r="O110" s="1">
        <v>0.24735769429999999</v>
      </c>
      <c r="P110" s="1">
        <v>0</v>
      </c>
      <c r="Q110" s="2">
        <f t="shared" si="0"/>
        <v>5</v>
      </c>
      <c r="R110" s="1">
        <f t="shared" si="1"/>
        <v>-4.668877999998244E-3</v>
      </c>
      <c r="S110" s="1">
        <f t="shared" si="2"/>
        <v>-3.0847639999990405E-3</v>
      </c>
      <c r="T110" s="1">
        <f t="shared" si="3"/>
        <v>-5.4968379999991157E-3</v>
      </c>
      <c r="U110" s="1">
        <f t="shared" si="4"/>
        <v>100</v>
      </c>
      <c r="V110" s="3">
        <f t="shared" si="5"/>
        <v>100</v>
      </c>
      <c r="W110" s="3">
        <f t="shared" si="6"/>
        <v>100</v>
      </c>
      <c r="X110" s="3" t="str">
        <f t="shared" si="7"/>
        <v>fullaccesss</v>
      </c>
      <c r="Y110" s="3" t="str">
        <f t="shared" si="8"/>
        <v>fullaccesss</v>
      </c>
      <c r="Z110" s="1" t="str">
        <f t="shared" si="9"/>
        <v>fullaccesss</v>
      </c>
      <c r="AA110" s="3">
        <f t="shared" si="10"/>
        <v>2.4120740000000752E-3</v>
      </c>
    </row>
    <row r="111" spans="1:27">
      <c r="A111" s="1" t="s">
        <v>90</v>
      </c>
      <c r="B111" s="1">
        <v>2020</v>
      </c>
      <c r="C111" s="1">
        <v>1207.360962</v>
      </c>
      <c r="D111" s="1">
        <v>66.820999150000006</v>
      </c>
      <c r="E111" s="1">
        <v>99.765173180000005</v>
      </c>
      <c r="F111" s="1">
        <v>0</v>
      </c>
      <c r="G111" s="1">
        <v>0.2348268167</v>
      </c>
      <c r="H111" s="1">
        <v>0</v>
      </c>
      <c r="I111" s="1">
        <v>99.845761719999999</v>
      </c>
      <c r="J111" s="1">
        <v>0</v>
      </c>
      <c r="K111" s="1">
        <v>0.1542382836</v>
      </c>
      <c r="L111" s="1">
        <v>0</v>
      </c>
      <c r="M111" s="1">
        <v>99.725158120000003</v>
      </c>
      <c r="N111" s="1">
        <v>0</v>
      </c>
      <c r="O111" s="1">
        <v>0.27484188250000002</v>
      </c>
      <c r="P111" s="1">
        <v>0</v>
      </c>
      <c r="Q111" s="2" t="str">
        <f t="shared" si="0"/>
        <v/>
      </c>
      <c r="R111" s="1" t="str">
        <f t="shared" si="1"/>
        <v/>
      </c>
      <c r="S111" s="1" t="str">
        <f t="shared" si="2"/>
        <v/>
      </c>
      <c r="T111" s="1" t="str">
        <f t="shared" si="3"/>
        <v/>
      </c>
      <c r="U111" s="1">
        <f t="shared" si="4"/>
        <v>100</v>
      </c>
      <c r="V111" s="3">
        <f t="shared" si="5"/>
        <v>100</v>
      </c>
      <c r="W111" s="3">
        <f t="shared" si="6"/>
        <v>100</v>
      </c>
      <c r="X111" s="3" t="str">
        <f t="shared" si="7"/>
        <v/>
      </c>
      <c r="Y111" s="3" t="str">
        <f t="shared" si="8"/>
        <v/>
      </c>
      <c r="Z111" s="1" t="str">
        <f t="shared" si="9"/>
        <v/>
      </c>
      <c r="AA111" s="3" t="str">
        <f t="shared" si="10"/>
        <v/>
      </c>
    </row>
    <row r="112" spans="1:27">
      <c r="A112" s="1" t="s">
        <v>91</v>
      </c>
      <c r="B112" s="1">
        <v>2015</v>
      </c>
      <c r="C112" s="1">
        <v>10601.389649999999</v>
      </c>
      <c r="D112" s="1">
        <v>73.47699738</v>
      </c>
      <c r="E112" s="1">
        <v>99.880092689999998</v>
      </c>
      <c r="F112" s="1">
        <v>0</v>
      </c>
      <c r="G112" s="1">
        <v>0.11990731189999999</v>
      </c>
      <c r="H112" s="1">
        <v>0</v>
      </c>
      <c r="I112" s="1">
        <v>99.817599299999998</v>
      </c>
      <c r="J112" s="1">
        <v>0</v>
      </c>
      <c r="K112" s="1">
        <v>0.18240069649999999</v>
      </c>
      <c r="L112" s="1">
        <v>0</v>
      </c>
      <c r="M112" s="1">
        <v>99.902650929999993</v>
      </c>
      <c r="N112" s="1">
        <v>0</v>
      </c>
      <c r="O112" s="1">
        <v>9.7349067900000003E-2</v>
      </c>
      <c r="P112" s="1">
        <v>0</v>
      </c>
      <c r="Q112" s="2">
        <f t="shared" si="0"/>
        <v>5</v>
      </c>
      <c r="R112" s="1">
        <f t="shared" si="1"/>
        <v>9.9796000000651475E-5</v>
      </c>
      <c r="S112" s="1">
        <f t="shared" si="2"/>
        <v>0</v>
      </c>
      <c r="T112" s="1">
        <f t="shared" si="3"/>
        <v>0</v>
      </c>
      <c r="U112" s="1">
        <f t="shared" si="4"/>
        <v>100</v>
      </c>
      <c r="V112" s="3">
        <f t="shared" si="5"/>
        <v>100</v>
      </c>
      <c r="W112" s="3">
        <f t="shared" si="6"/>
        <v>100</v>
      </c>
      <c r="X112" s="3" t="str">
        <f t="shared" si="7"/>
        <v>fullaccesss</v>
      </c>
      <c r="Y112" s="3" t="str">
        <f t="shared" si="8"/>
        <v>fullaccesss</v>
      </c>
      <c r="Z112" s="1" t="str">
        <f t="shared" si="9"/>
        <v>fullaccesss</v>
      </c>
      <c r="AA112" s="3">
        <f t="shared" si="10"/>
        <v>0</v>
      </c>
    </row>
    <row r="113" spans="1:27">
      <c r="A113" s="1" t="s">
        <v>91</v>
      </c>
      <c r="B113" s="1">
        <v>2020</v>
      </c>
      <c r="C113" s="1">
        <v>10708.98242</v>
      </c>
      <c r="D113" s="1">
        <v>74.061004639999993</v>
      </c>
      <c r="E113" s="1">
        <v>99.880591670000001</v>
      </c>
      <c r="F113" s="1">
        <v>0</v>
      </c>
      <c r="G113" s="1">
        <v>0.11940833250000001</v>
      </c>
      <c r="H113" s="1">
        <v>0</v>
      </c>
      <c r="I113" s="1">
        <v>99.817599299999998</v>
      </c>
      <c r="J113" s="1">
        <v>0</v>
      </c>
      <c r="K113" s="1">
        <v>0.18240069649999999</v>
      </c>
      <c r="L113" s="1">
        <v>0</v>
      </c>
      <c r="M113" s="1">
        <v>99.902650929999993</v>
      </c>
      <c r="N113" s="1">
        <v>0</v>
      </c>
      <c r="O113" s="1">
        <v>9.7349067900000003E-2</v>
      </c>
      <c r="P113" s="1">
        <v>0</v>
      </c>
      <c r="Q113" s="2" t="str">
        <f t="shared" si="0"/>
        <v/>
      </c>
      <c r="R113" s="1" t="str">
        <f t="shared" si="1"/>
        <v/>
      </c>
      <c r="S113" s="1" t="str">
        <f t="shared" si="2"/>
        <v/>
      </c>
      <c r="T113" s="1" t="str">
        <f t="shared" si="3"/>
        <v/>
      </c>
      <c r="U113" s="1">
        <f t="shared" si="4"/>
        <v>100</v>
      </c>
      <c r="V113" s="3">
        <f t="shared" si="5"/>
        <v>100</v>
      </c>
      <c r="W113" s="3">
        <f t="shared" si="6"/>
        <v>100</v>
      </c>
      <c r="X113" s="3" t="str">
        <f t="shared" si="7"/>
        <v/>
      </c>
      <c r="Y113" s="3" t="str">
        <f t="shared" si="8"/>
        <v/>
      </c>
      <c r="Z113" s="1" t="str">
        <f t="shared" si="9"/>
        <v/>
      </c>
      <c r="AA113" s="3" t="str">
        <f t="shared" si="10"/>
        <v/>
      </c>
    </row>
    <row r="114" spans="1:27">
      <c r="A114" s="1" t="s">
        <v>92</v>
      </c>
      <c r="B114" s="1">
        <v>2015</v>
      </c>
      <c r="C114" s="1">
        <v>25183.832030000001</v>
      </c>
      <c r="D114" s="1">
        <v>61.277004239999997</v>
      </c>
      <c r="E114" s="1">
        <v>95.21488171</v>
      </c>
      <c r="F114" s="1">
        <v>0.68500239009999997</v>
      </c>
      <c r="G114" s="1">
        <v>3.8290549180000002</v>
      </c>
      <c r="H114" s="1">
        <v>0.27106098029999998</v>
      </c>
      <c r="I114" s="1">
        <v>91.616968420000006</v>
      </c>
      <c r="J114" s="1">
        <v>0.36793963219999998</v>
      </c>
      <c r="K114" s="1">
        <v>7.3150919439999997</v>
      </c>
      <c r="L114" s="1">
        <v>0.7</v>
      </c>
      <c r="M114" s="1">
        <v>97.48852402</v>
      </c>
      <c r="N114" s="1">
        <v>0.88536500119999995</v>
      </c>
      <c r="O114" s="1">
        <v>1.626110978</v>
      </c>
      <c r="P114" s="1">
        <v>0</v>
      </c>
      <c r="Q114" s="2">
        <f t="shared" si="0"/>
        <v>5</v>
      </c>
      <c r="R114" s="1">
        <f t="shared" si="1"/>
        <v>-0.27420773599999959</v>
      </c>
      <c r="S114" s="1">
        <f t="shared" si="2"/>
        <v>-0.57266870800000047</v>
      </c>
      <c r="T114" s="1">
        <f t="shared" si="3"/>
        <v>-0.11500271600000075</v>
      </c>
      <c r="U114" s="1">
        <f t="shared" si="4"/>
        <v>95</v>
      </c>
      <c r="V114" s="3">
        <f t="shared" si="5"/>
        <v>92</v>
      </c>
      <c r="W114" s="3">
        <f t="shared" si="6"/>
        <v>97</v>
      </c>
      <c r="X114" s="3" t="str">
        <f t="shared" si="7"/>
        <v/>
      </c>
      <c r="Y114" s="3" t="str">
        <f t="shared" si="8"/>
        <v/>
      </c>
      <c r="Z114" s="1" t="str">
        <f t="shared" si="9"/>
        <v/>
      </c>
      <c r="AA114" s="3">
        <f t="shared" si="10"/>
        <v>-0.45766599199999969</v>
      </c>
    </row>
    <row r="115" spans="1:27">
      <c r="A115" s="1" t="s">
        <v>92</v>
      </c>
      <c r="B115" s="1">
        <v>2020</v>
      </c>
      <c r="C115" s="1">
        <v>25778.814450000002</v>
      </c>
      <c r="D115" s="1">
        <v>62.381000520000001</v>
      </c>
      <c r="E115" s="1">
        <v>93.843843030000002</v>
      </c>
      <c r="F115" s="1">
        <v>0.68313118719999999</v>
      </c>
      <c r="G115" s="1">
        <v>5.2096927800000001</v>
      </c>
      <c r="H115" s="1">
        <v>0.26333300580000002</v>
      </c>
      <c r="I115" s="1">
        <v>88.753624880000004</v>
      </c>
      <c r="J115" s="1">
        <v>0.3564402606</v>
      </c>
      <c r="K115" s="1">
        <v>10.189934859999999</v>
      </c>
      <c r="L115" s="1">
        <v>0.7</v>
      </c>
      <c r="M115" s="1">
        <v>96.913510439999996</v>
      </c>
      <c r="N115" s="1">
        <v>0.88014287989999995</v>
      </c>
      <c r="O115" s="1">
        <v>2.206346677</v>
      </c>
      <c r="P115" s="1">
        <v>0</v>
      </c>
      <c r="Q115" s="2" t="str">
        <f t="shared" si="0"/>
        <v/>
      </c>
      <c r="R115" s="1" t="str">
        <f t="shared" si="1"/>
        <v/>
      </c>
      <c r="S115" s="1" t="str">
        <f t="shared" si="2"/>
        <v/>
      </c>
      <c r="T115" s="1" t="str">
        <f t="shared" si="3"/>
        <v/>
      </c>
      <c r="U115" s="1">
        <f t="shared" si="4"/>
        <v>94</v>
      </c>
      <c r="V115" s="3">
        <f t="shared" si="5"/>
        <v>89</v>
      </c>
      <c r="W115" s="3">
        <f t="shared" si="6"/>
        <v>97</v>
      </c>
      <c r="X115" s="3" t="str">
        <f t="shared" si="7"/>
        <v/>
      </c>
      <c r="Y115" s="3" t="str">
        <f t="shared" si="8"/>
        <v/>
      </c>
      <c r="Z115" s="1" t="str">
        <f t="shared" si="9"/>
        <v/>
      </c>
      <c r="AA115" s="3" t="str">
        <f t="shared" si="10"/>
        <v/>
      </c>
    </row>
    <row r="116" spans="1:27">
      <c r="A116" s="1" t="s">
        <v>93</v>
      </c>
      <c r="B116" s="1">
        <v>2015</v>
      </c>
      <c r="C116" s="1">
        <v>76244.53125</v>
      </c>
      <c r="D116" s="1">
        <v>42.739997860000003</v>
      </c>
      <c r="E116" s="1">
        <v>42.718179970000001</v>
      </c>
      <c r="F116" s="1">
        <v>12.68729907</v>
      </c>
      <c r="G116" s="1">
        <v>34.284024770000002</v>
      </c>
      <c r="H116" s="1">
        <v>10.31049619</v>
      </c>
      <c r="I116" s="1">
        <v>20.6225138</v>
      </c>
      <c r="J116" s="1">
        <v>11.51689397</v>
      </c>
      <c r="K116" s="1">
        <v>51.009840029999999</v>
      </c>
      <c r="L116" s="1">
        <v>16.850752199999999</v>
      </c>
      <c r="M116" s="1">
        <v>72.320377789999995</v>
      </c>
      <c r="N116" s="1">
        <v>14.255324979999999</v>
      </c>
      <c r="O116" s="1">
        <v>11.87596826</v>
      </c>
      <c r="P116" s="1">
        <v>1.548328967</v>
      </c>
      <c r="Q116" s="2">
        <f t="shared" si="0"/>
        <v>5</v>
      </c>
      <c r="R116" s="1">
        <f t="shared" si="1"/>
        <v>0.6467893979999999</v>
      </c>
      <c r="S116" s="1">
        <f t="shared" si="2"/>
        <v>0.2720557079999999</v>
      </c>
      <c r="T116" s="1">
        <f t="shared" si="3"/>
        <v>0.43659539800000002</v>
      </c>
      <c r="U116" s="1">
        <f t="shared" si="4"/>
        <v>43</v>
      </c>
      <c r="V116" s="3">
        <f t="shared" si="5"/>
        <v>21</v>
      </c>
      <c r="W116" s="3">
        <f t="shared" si="6"/>
        <v>72</v>
      </c>
      <c r="X116" s="3" t="str">
        <f t="shared" si="7"/>
        <v/>
      </c>
      <c r="Y116" s="3" t="str">
        <f t="shared" si="8"/>
        <v/>
      </c>
      <c r="Z116" s="1" t="str">
        <f t="shared" si="9"/>
        <v/>
      </c>
      <c r="AA116" s="3">
        <f t="shared" si="10"/>
        <v>-0.16453969000000013</v>
      </c>
    </row>
    <row r="117" spans="1:27">
      <c r="A117" s="1" t="s">
        <v>93</v>
      </c>
      <c r="B117" s="1">
        <v>2020</v>
      </c>
      <c r="C117" s="1">
        <v>89561.40625</v>
      </c>
      <c r="D117" s="1">
        <v>45.638000490000003</v>
      </c>
      <c r="E117" s="1">
        <v>45.952126960000001</v>
      </c>
      <c r="F117" s="1">
        <v>13.44122447</v>
      </c>
      <c r="G117" s="1">
        <v>32.542316069999998</v>
      </c>
      <c r="H117" s="1">
        <v>8.0643324950000004</v>
      </c>
      <c r="I117" s="1">
        <v>21.98279234</v>
      </c>
      <c r="J117" s="1">
        <v>12.68294146</v>
      </c>
      <c r="K117" s="1">
        <v>51.215981669999998</v>
      </c>
      <c r="L117" s="1">
        <v>14.11828453</v>
      </c>
      <c r="M117" s="1">
        <v>74.503354779999995</v>
      </c>
      <c r="N117" s="1">
        <v>14.34445818</v>
      </c>
      <c r="O117" s="1">
        <v>10.29905862</v>
      </c>
      <c r="P117" s="1">
        <v>0.85312841309999998</v>
      </c>
      <c r="Q117" s="2" t="str">
        <f t="shared" si="0"/>
        <v/>
      </c>
      <c r="R117" s="1" t="str">
        <f t="shared" si="1"/>
        <v/>
      </c>
      <c r="S117" s="1" t="str">
        <f t="shared" si="2"/>
        <v/>
      </c>
      <c r="T117" s="1" t="str">
        <f t="shared" si="3"/>
        <v/>
      </c>
      <c r="U117" s="1">
        <f t="shared" si="4"/>
        <v>46</v>
      </c>
      <c r="V117" s="3">
        <f t="shared" si="5"/>
        <v>22</v>
      </c>
      <c r="W117" s="3">
        <f t="shared" si="6"/>
        <v>75</v>
      </c>
      <c r="X117" s="3" t="str">
        <f t="shared" si="7"/>
        <v/>
      </c>
      <c r="Y117" s="3" t="str">
        <f t="shared" si="8"/>
        <v/>
      </c>
      <c r="Z117" s="1" t="str">
        <f t="shared" si="9"/>
        <v/>
      </c>
      <c r="AA117" s="3" t="str">
        <f t="shared" si="10"/>
        <v/>
      </c>
    </row>
    <row r="118" spans="1:27">
      <c r="A118" s="1" t="s">
        <v>94</v>
      </c>
      <c r="B118" s="1">
        <v>2015</v>
      </c>
      <c r="C118" s="1">
        <v>5688.6948240000002</v>
      </c>
      <c r="D118" s="1">
        <v>87.526000980000006</v>
      </c>
      <c r="E118" s="1">
        <v>99.99999785</v>
      </c>
      <c r="F118" s="1">
        <v>0</v>
      </c>
      <c r="G118" s="1">
        <v>2.1458404119999999E-6</v>
      </c>
      <c r="H118" s="1">
        <v>0</v>
      </c>
      <c r="I118" s="1">
        <v>100</v>
      </c>
      <c r="J118" s="1">
        <v>0</v>
      </c>
      <c r="K118" s="1">
        <v>0</v>
      </c>
      <c r="L118" s="1">
        <v>0</v>
      </c>
      <c r="M118" s="1">
        <v>100</v>
      </c>
      <c r="N118" s="1">
        <v>0</v>
      </c>
      <c r="O118" s="1">
        <v>0</v>
      </c>
      <c r="P118" s="1">
        <v>0</v>
      </c>
      <c r="Q118" s="2">
        <f t="shared" si="0"/>
        <v>5</v>
      </c>
      <c r="R118" s="1">
        <f t="shared" si="1"/>
        <v>6.5000000120107866E-7</v>
      </c>
      <c r="S118" s="1">
        <f t="shared" si="2"/>
        <v>0</v>
      </c>
      <c r="T118" s="1">
        <f t="shared" si="3"/>
        <v>0</v>
      </c>
      <c r="U118" s="1">
        <f t="shared" si="4"/>
        <v>100</v>
      </c>
      <c r="V118" s="3">
        <f t="shared" si="5"/>
        <v>100</v>
      </c>
      <c r="W118" s="3">
        <f t="shared" si="6"/>
        <v>100</v>
      </c>
      <c r="X118" s="3" t="str">
        <f t="shared" si="7"/>
        <v>fullaccesss</v>
      </c>
      <c r="Y118" s="3" t="str">
        <f t="shared" si="8"/>
        <v>fullaccesss</v>
      </c>
      <c r="Z118" s="1" t="str">
        <f t="shared" si="9"/>
        <v>fullaccesss</v>
      </c>
      <c r="AA118" s="3">
        <f t="shared" si="10"/>
        <v>0</v>
      </c>
    </row>
    <row r="119" spans="1:27">
      <c r="A119" s="1" t="s">
        <v>94</v>
      </c>
      <c r="B119" s="1">
        <v>2020</v>
      </c>
      <c r="C119" s="1">
        <v>5792.203125</v>
      </c>
      <c r="D119" s="1">
        <v>88.116004939999996</v>
      </c>
      <c r="E119" s="1">
        <v>100.00000110000001</v>
      </c>
      <c r="F119" s="1">
        <v>0</v>
      </c>
      <c r="G119" s="1">
        <v>0</v>
      </c>
      <c r="H119" s="1">
        <v>0</v>
      </c>
      <c r="I119" s="1">
        <v>100</v>
      </c>
      <c r="J119" s="1">
        <v>0</v>
      </c>
      <c r="K119" s="1">
        <v>0</v>
      </c>
      <c r="L119" s="1">
        <v>0</v>
      </c>
      <c r="M119" s="1">
        <v>100</v>
      </c>
      <c r="N119" s="1">
        <v>0</v>
      </c>
      <c r="O119" s="1">
        <v>0</v>
      </c>
      <c r="P119" s="1">
        <v>0</v>
      </c>
      <c r="Q119" s="2" t="str">
        <f t="shared" si="0"/>
        <v/>
      </c>
      <c r="R119" s="1" t="str">
        <f t="shared" si="1"/>
        <v/>
      </c>
      <c r="S119" s="1" t="str">
        <f t="shared" si="2"/>
        <v/>
      </c>
      <c r="T119" s="1" t="str">
        <f t="shared" si="3"/>
        <v/>
      </c>
      <c r="U119" s="1">
        <f t="shared" si="4"/>
        <v>100</v>
      </c>
      <c r="V119" s="3">
        <f t="shared" si="5"/>
        <v>100</v>
      </c>
      <c r="W119" s="3">
        <f t="shared" si="6"/>
        <v>100</v>
      </c>
      <c r="X119" s="3" t="str">
        <f t="shared" si="7"/>
        <v/>
      </c>
      <c r="Y119" s="3" t="str">
        <f t="shared" si="8"/>
        <v/>
      </c>
      <c r="Z119" s="1" t="str">
        <f t="shared" si="9"/>
        <v/>
      </c>
      <c r="AA119" s="3" t="str">
        <f t="shared" si="10"/>
        <v/>
      </c>
    </row>
    <row r="120" spans="1:27">
      <c r="A120" s="1" t="s">
        <v>95</v>
      </c>
      <c r="B120" s="1">
        <v>2015</v>
      </c>
      <c r="C120" s="1">
        <v>913.99798580000004</v>
      </c>
      <c r="D120" s="1">
        <v>77.416992190000002</v>
      </c>
      <c r="E120" s="1">
        <v>75.787045030000002</v>
      </c>
      <c r="F120" s="1">
        <v>14.754171189999999</v>
      </c>
      <c r="G120" s="1">
        <v>7.3949239499999999</v>
      </c>
      <c r="H120" s="1">
        <v>2.0638598250000002</v>
      </c>
      <c r="I120" s="1">
        <v>48.759205090000002</v>
      </c>
      <c r="J120" s="1">
        <v>12.43877762</v>
      </c>
      <c r="K120" s="1">
        <v>30.377002539999999</v>
      </c>
      <c r="L120" s="1">
        <v>8.4250147539999993</v>
      </c>
      <c r="M120" s="1">
        <v>83.671229850000003</v>
      </c>
      <c r="N120" s="1">
        <v>15.42958572</v>
      </c>
      <c r="O120" s="1">
        <v>0.69091164790000004</v>
      </c>
      <c r="P120" s="1">
        <v>0.20827278539999999</v>
      </c>
      <c r="Q120" s="2">
        <f t="shared" si="0"/>
        <v>5</v>
      </c>
      <c r="R120" s="1">
        <f t="shared" si="1"/>
        <v>5.257503599999893E-2</v>
      </c>
      <c r="S120" s="1">
        <f t="shared" si="2"/>
        <v>-0.29569443200000051</v>
      </c>
      <c r="T120" s="1">
        <f t="shared" si="3"/>
        <v>9.2757015999998776E-2</v>
      </c>
      <c r="U120" s="1">
        <f t="shared" si="4"/>
        <v>76</v>
      </c>
      <c r="V120" s="3">
        <f t="shared" si="5"/>
        <v>49</v>
      </c>
      <c r="W120" s="3">
        <f t="shared" si="6"/>
        <v>84</v>
      </c>
      <c r="X120" s="3" t="str">
        <f t="shared" si="7"/>
        <v/>
      </c>
      <c r="Y120" s="3" t="str">
        <f t="shared" si="8"/>
        <v/>
      </c>
      <c r="Z120" s="1" t="str">
        <f t="shared" si="9"/>
        <v/>
      </c>
      <c r="AA120" s="3">
        <f t="shared" si="10"/>
        <v>-0.38845144799999931</v>
      </c>
    </row>
    <row r="121" spans="1:27">
      <c r="A121" s="1" t="s">
        <v>95</v>
      </c>
      <c r="B121" s="1">
        <v>2020</v>
      </c>
      <c r="C121" s="1">
        <v>988.00201419999996</v>
      </c>
      <c r="D121" s="1">
        <v>78.061996460000003</v>
      </c>
      <c r="E121" s="1">
        <v>76.049920209999996</v>
      </c>
      <c r="F121" s="1">
        <v>14.7574817</v>
      </c>
      <c r="G121" s="1">
        <v>7.0158760510000002</v>
      </c>
      <c r="H121" s="1">
        <v>2.1767220379999999</v>
      </c>
      <c r="I121" s="1">
        <v>47.280732929999999</v>
      </c>
      <c r="J121" s="1">
        <v>12.061610140000001</v>
      </c>
      <c r="K121" s="1">
        <v>30.735504679999998</v>
      </c>
      <c r="L121" s="1">
        <v>9.9221522489999998</v>
      </c>
      <c r="M121" s="1">
        <v>84.135014929999997</v>
      </c>
      <c r="N121" s="1">
        <v>15.51511107</v>
      </c>
      <c r="O121" s="1">
        <v>0.34987400289999998</v>
      </c>
      <c r="P121" s="1">
        <v>0</v>
      </c>
      <c r="Q121" s="2" t="str">
        <f t="shared" si="0"/>
        <v/>
      </c>
      <c r="R121" s="1" t="str">
        <f t="shared" si="1"/>
        <v/>
      </c>
      <c r="S121" s="1" t="str">
        <f t="shared" si="2"/>
        <v/>
      </c>
      <c r="T121" s="1" t="str">
        <f t="shared" si="3"/>
        <v/>
      </c>
      <c r="U121" s="1">
        <f t="shared" si="4"/>
        <v>76</v>
      </c>
      <c r="V121" s="3">
        <f t="shared" si="5"/>
        <v>47</v>
      </c>
      <c r="W121" s="3">
        <f t="shared" si="6"/>
        <v>84</v>
      </c>
      <c r="X121" s="3" t="str">
        <f t="shared" si="7"/>
        <v/>
      </c>
      <c r="Y121" s="3" t="str">
        <f t="shared" si="8"/>
        <v/>
      </c>
      <c r="Z121" s="1" t="str">
        <f t="shared" si="9"/>
        <v/>
      </c>
      <c r="AA121" s="3" t="str">
        <f t="shared" si="10"/>
        <v/>
      </c>
    </row>
    <row r="122" spans="1:27">
      <c r="A122" s="1" t="s">
        <v>96</v>
      </c>
      <c r="B122" s="1">
        <v>2015</v>
      </c>
      <c r="C122" s="1">
        <v>71.175003050000001</v>
      </c>
      <c r="D122" s="1">
        <v>69.578994750000007</v>
      </c>
      <c r="E122" s="1">
        <v>95.420656059999999</v>
      </c>
      <c r="F122" s="1">
        <v>0</v>
      </c>
      <c r="G122" s="1">
        <v>4.579343937</v>
      </c>
      <c r="H122" s="1">
        <v>0</v>
      </c>
      <c r="I122" s="1" t="s">
        <v>272</v>
      </c>
      <c r="J122" s="1" t="s">
        <v>272</v>
      </c>
      <c r="K122" s="1" t="s">
        <v>272</v>
      </c>
      <c r="L122" s="1" t="s">
        <v>272</v>
      </c>
      <c r="M122" s="1" t="s">
        <v>272</v>
      </c>
      <c r="N122" s="1" t="s">
        <v>272</v>
      </c>
      <c r="O122" s="1" t="s">
        <v>272</v>
      </c>
      <c r="P122" s="1" t="s">
        <v>272</v>
      </c>
      <c r="Q122" s="2">
        <f t="shared" si="0"/>
        <v>2</v>
      </c>
      <c r="R122" s="1">
        <f t="shared" si="1"/>
        <v>0</v>
      </c>
      <c r="S122" s="1" t="str">
        <f t="shared" si="2"/>
        <v>null</v>
      </c>
      <c r="T122" s="1" t="str">
        <f t="shared" si="3"/>
        <v>null</v>
      </c>
      <c r="U122" s="1">
        <f t="shared" si="4"/>
        <v>95</v>
      </c>
      <c r="V122" s="3" t="str">
        <f t="shared" si="5"/>
        <v>null</v>
      </c>
      <c r="W122" s="3" t="str">
        <f t="shared" si="6"/>
        <v>null</v>
      </c>
      <c r="X122" s="3" t="str">
        <f t="shared" si="7"/>
        <v/>
      </c>
      <c r="Y122" s="3" t="str">
        <f t="shared" si="8"/>
        <v/>
      </c>
      <c r="Z122" s="1" t="str">
        <f t="shared" si="9"/>
        <v/>
      </c>
      <c r="AA122" s="3" t="str">
        <f t="shared" si="10"/>
        <v>null</v>
      </c>
    </row>
    <row r="123" spans="1:27">
      <c r="A123" s="1" t="s">
        <v>96</v>
      </c>
      <c r="B123" s="1">
        <v>2017</v>
      </c>
      <c r="C123" s="1">
        <v>71.459999080000003</v>
      </c>
      <c r="D123" s="1">
        <v>70.180999760000006</v>
      </c>
      <c r="E123" s="1">
        <v>95.420656059999999</v>
      </c>
      <c r="F123" s="1">
        <v>0</v>
      </c>
      <c r="G123" s="1">
        <v>4.579343937</v>
      </c>
      <c r="H123" s="1">
        <v>0</v>
      </c>
      <c r="I123" s="1" t="s">
        <v>272</v>
      </c>
      <c r="J123" s="1" t="s">
        <v>272</v>
      </c>
      <c r="K123" s="1" t="s">
        <v>272</v>
      </c>
      <c r="L123" s="1" t="s">
        <v>272</v>
      </c>
      <c r="M123" s="1" t="s">
        <v>272</v>
      </c>
      <c r="N123" s="1" t="s">
        <v>272</v>
      </c>
      <c r="O123" s="1" t="s">
        <v>272</v>
      </c>
      <c r="P123" s="1" t="s">
        <v>272</v>
      </c>
      <c r="Q123" s="2" t="str">
        <f t="shared" si="0"/>
        <v/>
      </c>
      <c r="R123" s="1" t="str">
        <f t="shared" si="1"/>
        <v/>
      </c>
      <c r="S123" s="1" t="str">
        <f t="shared" si="2"/>
        <v/>
      </c>
      <c r="T123" s="1" t="str">
        <f t="shared" si="3"/>
        <v/>
      </c>
      <c r="U123" s="1">
        <f t="shared" si="4"/>
        <v>95</v>
      </c>
      <c r="V123" s="3" t="str">
        <f t="shared" si="5"/>
        <v>null</v>
      </c>
      <c r="W123" s="3" t="str">
        <f t="shared" si="6"/>
        <v>null</v>
      </c>
      <c r="X123" s="3" t="str">
        <f t="shared" si="7"/>
        <v/>
      </c>
      <c r="Y123" s="3" t="str">
        <f t="shared" si="8"/>
        <v/>
      </c>
      <c r="Z123" s="1" t="str">
        <f t="shared" si="9"/>
        <v/>
      </c>
      <c r="AA123" s="3" t="str">
        <f t="shared" si="10"/>
        <v/>
      </c>
    </row>
    <row r="124" spans="1:27">
      <c r="A124" s="1" t="s">
        <v>97</v>
      </c>
      <c r="B124" s="1">
        <v>2015</v>
      </c>
      <c r="C124" s="1">
        <v>10281.674800000001</v>
      </c>
      <c r="D124" s="1">
        <v>78.566001889999995</v>
      </c>
      <c r="E124" s="1">
        <v>96.099338500000002</v>
      </c>
      <c r="F124" s="1">
        <v>0.69521221550000001</v>
      </c>
      <c r="G124" s="1">
        <v>1.5505944979999999</v>
      </c>
      <c r="H124" s="1">
        <v>1.654854791</v>
      </c>
      <c r="I124" s="1">
        <v>89.211043779999997</v>
      </c>
      <c r="J124" s="1">
        <v>1.8228771610000001</v>
      </c>
      <c r="K124" s="1">
        <v>2.4418886230000001</v>
      </c>
      <c r="L124" s="1">
        <v>6.5241904399999999</v>
      </c>
      <c r="M124" s="1">
        <v>97.978569809999996</v>
      </c>
      <c r="N124" s="1">
        <v>0.3875681084</v>
      </c>
      <c r="O124" s="1">
        <v>1.3074359369999999</v>
      </c>
      <c r="P124" s="1">
        <v>0.32642614349999999</v>
      </c>
      <c r="Q124" s="2">
        <f t="shared" si="0"/>
        <v>5</v>
      </c>
      <c r="R124" s="1">
        <f t="shared" si="1"/>
        <v>0.11749468399999899</v>
      </c>
      <c r="S124" s="1">
        <f t="shared" si="2"/>
        <v>0.21868411800000159</v>
      </c>
      <c r="T124" s="1">
        <f t="shared" si="3"/>
        <v>1.1664354000001254E-2</v>
      </c>
      <c r="U124" s="1">
        <f t="shared" si="4"/>
        <v>96</v>
      </c>
      <c r="V124" s="3">
        <f t="shared" si="5"/>
        <v>89</v>
      </c>
      <c r="W124" s="3">
        <f t="shared" si="6"/>
        <v>98</v>
      </c>
      <c r="X124" s="3" t="str">
        <f t="shared" si="7"/>
        <v/>
      </c>
      <c r="Y124" s="3" t="str">
        <f t="shared" si="8"/>
        <v/>
      </c>
      <c r="Z124" s="1" t="str">
        <f t="shared" si="9"/>
        <v/>
      </c>
      <c r="AA124" s="3">
        <f t="shared" si="10"/>
        <v>0.20701976400000033</v>
      </c>
    </row>
    <row r="125" spans="1:27">
      <c r="A125" s="1" t="s">
        <v>97</v>
      </c>
      <c r="B125" s="1">
        <v>2020</v>
      </c>
      <c r="C125" s="1">
        <v>10847.9043</v>
      </c>
      <c r="D125" s="1">
        <v>82.540000919999997</v>
      </c>
      <c r="E125" s="1">
        <v>96.686811919999997</v>
      </c>
      <c r="F125" s="1">
        <v>0.46703865039999998</v>
      </c>
      <c r="G125" s="1">
        <v>1.2694287829999999</v>
      </c>
      <c r="H125" s="1">
        <v>1.5767206439999999</v>
      </c>
      <c r="I125" s="1">
        <v>90.304464370000005</v>
      </c>
      <c r="J125" s="1">
        <v>1.3853155079999999</v>
      </c>
      <c r="K125" s="1">
        <v>1.1151181269999999</v>
      </c>
      <c r="L125" s="1">
        <v>7.1951019909999996</v>
      </c>
      <c r="M125" s="1">
        <v>98.036891580000002</v>
      </c>
      <c r="N125" s="1">
        <v>0.27279203590000001</v>
      </c>
      <c r="O125" s="1">
        <v>1.3020733959999999</v>
      </c>
      <c r="P125" s="1">
        <v>0.38824299220000003</v>
      </c>
      <c r="Q125" s="2" t="str">
        <f t="shared" si="0"/>
        <v/>
      </c>
      <c r="R125" s="1" t="str">
        <f t="shared" si="1"/>
        <v/>
      </c>
      <c r="S125" s="1" t="str">
        <f t="shared" si="2"/>
        <v/>
      </c>
      <c r="T125" s="1" t="str">
        <f t="shared" si="3"/>
        <v/>
      </c>
      <c r="U125" s="1">
        <f t="shared" si="4"/>
        <v>97</v>
      </c>
      <c r="V125" s="3">
        <f t="shared" si="5"/>
        <v>90</v>
      </c>
      <c r="W125" s="3">
        <f t="shared" si="6"/>
        <v>98</v>
      </c>
      <c r="X125" s="3" t="str">
        <f t="shared" si="7"/>
        <v/>
      </c>
      <c r="Y125" s="3" t="str">
        <f t="shared" si="8"/>
        <v/>
      </c>
      <c r="Z125" s="1" t="str">
        <f t="shared" si="9"/>
        <v/>
      </c>
      <c r="AA125" s="3" t="str">
        <f t="shared" si="10"/>
        <v/>
      </c>
    </row>
    <row r="126" spans="1:27">
      <c r="A126" s="1" t="s">
        <v>98</v>
      </c>
      <c r="B126" s="1">
        <v>2015</v>
      </c>
      <c r="C126" s="1">
        <v>16212.02246</v>
      </c>
      <c r="D126" s="1">
        <v>63.397998809999997</v>
      </c>
      <c r="E126" s="1">
        <v>93.063779499999995</v>
      </c>
      <c r="F126" s="1">
        <v>0.19976017630000001</v>
      </c>
      <c r="G126" s="1">
        <v>3.1195651139999998</v>
      </c>
      <c r="H126" s="1">
        <v>3.6168952120000002</v>
      </c>
      <c r="I126" s="1">
        <v>82.552481950000001</v>
      </c>
      <c r="J126" s="1">
        <v>0.445629255</v>
      </c>
      <c r="K126" s="1">
        <v>7.379055031</v>
      </c>
      <c r="L126" s="1">
        <v>9.6228337600000007</v>
      </c>
      <c r="M126" s="1">
        <v>99.132339200000004</v>
      </c>
      <c r="N126" s="1">
        <v>5.7810890199999999E-2</v>
      </c>
      <c r="O126" s="1">
        <v>0.66040450689999997</v>
      </c>
      <c r="P126" s="1">
        <v>0.14944540680000001</v>
      </c>
      <c r="Q126" s="2">
        <f t="shared" si="0"/>
        <v>5</v>
      </c>
      <c r="R126" s="1">
        <f t="shared" si="1"/>
        <v>0.45919681200000184</v>
      </c>
      <c r="S126" s="1">
        <f t="shared" si="2"/>
        <v>0.89965259999999891</v>
      </c>
      <c r="T126" s="1">
        <f t="shared" si="3"/>
        <v>0.17353215999999919</v>
      </c>
      <c r="U126" s="1">
        <f t="shared" si="4"/>
        <v>93</v>
      </c>
      <c r="V126" s="3">
        <f t="shared" si="5"/>
        <v>83</v>
      </c>
      <c r="W126" s="3">
        <f t="shared" si="6"/>
        <v>99</v>
      </c>
      <c r="X126" s="3" t="str">
        <f t="shared" si="7"/>
        <v/>
      </c>
      <c r="Y126" s="3" t="str">
        <f t="shared" si="8"/>
        <v/>
      </c>
      <c r="Z126" s="1" t="str">
        <f t="shared" si="9"/>
        <v/>
      </c>
      <c r="AA126" s="3">
        <f t="shared" si="10"/>
        <v>0.72612043999999976</v>
      </c>
    </row>
    <row r="127" spans="1:27">
      <c r="A127" s="1" t="s">
        <v>98</v>
      </c>
      <c r="B127" s="1">
        <v>2020</v>
      </c>
      <c r="C127" s="1">
        <v>17643.060549999998</v>
      </c>
      <c r="D127" s="1">
        <v>64.166000370000006</v>
      </c>
      <c r="E127" s="1">
        <v>95.359763560000005</v>
      </c>
      <c r="F127" s="1">
        <v>3.451463449E-3</v>
      </c>
      <c r="G127" s="1">
        <v>2.6044853890000002</v>
      </c>
      <c r="H127" s="1">
        <v>2.032299589</v>
      </c>
      <c r="I127" s="1">
        <v>87.050744949999995</v>
      </c>
      <c r="J127" s="1">
        <v>9.6318110219999996E-3</v>
      </c>
      <c r="K127" s="1">
        <v>7.2681954900000001</v>
      </c>
      <c r="L127" s="1">
        <v>5.6714277470000001</v>
      </c>
      <c r="M127" s="1">
        <v>100</v>
      </c>
      <c r="N127" s="1">
        <v>0</v>
      </c>
      <c r="O127" s="1">
        <v>0</v>
      </c>
      <c r="P127" s="1">
        <v>0</v>
      </c>
      <c r="Q127" s="2" t="str">
        <f t="shared" si="0"/>
        <v/>
      </c>
      <c r="R127" s="1" t="str">
        <f t="shared" si="1"/>
        <v/>
      </c>
      <c r="S127" s="1" t="str">
        <f t="shared" si="2"/>
        <v/>
      </c>
      <c r="T127" s="1" t="str">
        <f t="shared" si="3"/>
        <v/>
      </c>
      <c r="U127" s="1">
        <f t="shared" si="4"/>
        <v>95</v>
      </c>
      <c r="V127" s="3">
        <f t="shared" si="5"/>
        <v>87</v>
      </c>
      <c r="W127" s="3">
        <f t="shared" si="6"/>
        <v>100</v>
      </c>
      <c r="X127" s="3" t="str">
        <f t="shared" si="7"/>
        <v/>
      </c>
      <c r="Y127" s="3" t="str">
        <f t="shared" si="8"/>
        <v/>
      </c>
      <c r="Z127" s="1" t="str">
        <f t="shared" si="9"/>
        <v/>
      </c>
      <c r="AA127" s="3" t="str">
        <f t="shared" si="10"/>
        <v/>
      </c>
    </row>
    <row r="128" spans="1:27">
      <c r="A128" s="1" t="s">
        <v>99</v>
      </c>
      <c r="B128" s="1">
        <v>2015</v>
      </c>
      <c r="C128" s="1">
        <v>92442.546879999994</v>
      </c>
      <c r="D128" s="1">
        <v>42.784999849999998</v>
      </c>
      <c r="E128" s="1">
        <v>99.106717540000005</v>
      </c>
      <c r="F128" s="1">
        <v>0.28637254010000002</v>
      </c>
      <c r="G128" s="1">
        <v>0.59343982930000005</v>
      </c>
      <c r="H128" s="1">
        <v>1.347009398E-2</v>
      </c>
      <c r="I128" s="1">
        <v>98.801877919999995</v>
      </c>
      <c r="J128" s="1">
        <v>0.41034629639999998</v>
      </c>
      <c r="K128" s="1">
        <v>0.76423283809999998</v>
      </c>
      <c r="L128" s="1">
        <v>2.3542941179999999E-2</v>
      </c>
      <c r="M128" s="1">
        <v>99.514369729999999</v>
      </c>
      <c r="N128" s="1">
        <v>0.12058643080000001</v>
      </c>
      <c r="O128" s="1">
        <v>0.36504384220000002</v>
      </c>
      <c r="P128" s="1">
        <v>0</v>
      </c>
      <c r="Q128" s="2">
        <f t="shared" si="0"/>
        <v>5</v>
      </c>
      <c r="R128" s="1">
        <f t="shared" si="1"/>
        <v>6.669168399999989E-2</v>
      </c>
      <c r="S128" s="1">
        <f t="shared" si="2"/>
        <v>0.1061914459999997</v>
      </c>
      <c r="T128" s="1">
        <f t="shared" si="3"/>
        <v>1.3872273999999152E-2</v>
      </c>
      <c r="U128" s="1">
        <f t="shared" si="4"/>
        <v>99</v>
      </c>
      <c r="V128" s="3">
        <f t="shared" si="5"/>
        <v>99</v>
      </c>
      <c r="W128" s="3">
        <f t="shared" si="6"/>
        <v>100</v>
      </c>
      <c r="X128" s="3" t="str">
        <f t="shared" si="7"/>
        <v/>
      </c>
      <c r="Y128" s="3" t="str">
        <f t="shared" si="8"/>
        <v/>
      </c>
      <c r="Z128" s="1" t="str">
        <f t="shared" si="9"/>
        <v>fullaccesss</v>
      </c>
      <c r="AA128" s="3">
        <f t="shared" si="10"/>
        <v>9.2319172000000546E-2</v>
      </c>
    </row>
    <row r="129" spans="1:27">
      <c r="A129" s="1" t="s">
        <v>99</v>
      </c>
      <c r="B129" s="1">
        <v>2020</v>
      </c>
      <c r="C129" s="1">
        <v>102334.4063</v>
      </c>
      <c r="D129" s="1">
        <v>42.783000950000002</v>
      </c>
      <c r="E129" s="1">
        <v>99.440175960000005</v>
      </c>
      <c r="F129" s="1">
        <v>0.23760910860000001</v>
      </c>
      <c r="G129" s="1">
        <v>0.3222149265</v>
      </c>
      <c r="H129" s="1">
        <v>0</v>
      </c>
      <c r="I129" s="1">
        <v>99.332835149999994</v>
      </c>
      <c r="J129" s="1">
        <v>0.33594182239999998</v>
      </c>
      <c r="K129" s="1">
        <v>0.33122303190000002</v>
      </c>
      <c r="L129" s="1">
        <v>0</v>
      </c>
      <c r="M129" s="1">
        <v>99.583731099999994</v>
      </c>
      <c r="N129" s="1">
        <v>0.10610120670000001</v>
      </c>
      <c r="O129" s="1">
        <v>0.31016769430000002</v>
      </c>
      <c r="P129" s="1">
        <v>0</v>
      </c>
      <c r="Q129" s="2" t="str">
        <f t="shared" si="0"/>
        <v/>
      </c>
      <c r="R129" s="1" t="str">
        <f t="shared" si="1"/>
        <v/>
      </c>
      <c r="S129" s="1" t="str">
        <f t="shared" si="2"/>
        <v/>
      </c>
      <c r="T129" s="1" t="str">
        <f t="shared" si="3"/>
        <v/>
      </c>
      <c r="U129" s="1">
        <f t="shared" si="4"/>
        <v>99</v>
      </c>
      <c r="V129" s="3">
        <f t="shared" si="5"/>
        <v>99</v>
      </c>
      <c r="W129" s="3">
        <f t="shared" si="6"/>
        <v>100</v>
      </c>
      <c r="X129" s="3" t="str">
        <f t="shared" si="7"/>
        <v/>
      </c>
      <c r="Y129" s="3" t="str">
        <f t="shared" si="8"/>
        <v/>
      </c>
      <c r="Z129" s="1" t="str">
        <f t="shared" si="9"/>
        <v/>
      </c>
      <c r="AA129" s="3" t="str">
        <f t="shared" si="10"/>
        <v/>
      </c>
    </row>
    <row r="130" spans="1:27">
      <c r="A130" s="1" t="s">
        <v>100</v>
      </c>
      <c r="B130" s="1">
        <v>2015</v>
      </c>
      <c r="C130" s="1">
        <v>6325.1210940000001</v>
      </c>
      <c r="D130" s="1">
        <v>69.699996949999999</v>
      </c>
      <c r="E130" s="1">
        <v>95.562137739999997</v>
      </c>
      <c r="F130" s="1">
        <v>0.58047977699999997</v>
      </c>
      <c r="G130" s="1">
        <v>1.1619505450000001</v>
      </c>
      <c r="H130" s="1">
        <v>2.6954319419999999</v>
      </c>
      <c r="I130" s="1">
        <v>87.961214319999996</v>
      </c>
      <c r="J130" s="1">
        <v>1.734743718</v>
      </c>
      <c r="K130" s="1">
        <v>2.4810339560000001</v>
      </c>
      <c r="L130" s="1">
        <v>7.8230080050000002</v>
      </c>
      <c r="M130" s="1">
        <v>98.866417850000005</v>
      </c>
      <c r="N130" s="1">
        <v>7.8697977569999994E-2</v>
      </c>
      <c r="O130" s="1">
        <v>0.58851288960000003</v>
      </c>
      <c r="P130" s="1">
        <v>0.4663712861</v>
      </c>
      <c r="Q130" s="2">
        <f t="shared" si="0"/>
        <v>5</v>
      </c>
      <c r="R130" s="1">
        <f t="shared" si="1"/>
        <v>0.47688753399999939</v>
      </c>
      <c r="S130" s="1">
        <f t="shared" si="2"/>
        <v>1.0986361520000003</v>
      </c>
      <c r="T130" s="1">
        <f t="shared" si="3"/>
        <v>0.14089043199999765</v>
      </c>
      <c r="U130" s="1">
        <f t="shared" si="4"/>
        <v>96</v>
      </c>
      <c r="V130" s="3">
        <f t="shared" si="5"/>
        <v>88</v>
      </c>
      <c r="W130" s="3">
        <f t="shared" si="6"/>
        <v>99</v>
      </c>
      <c r="X130" s="3" t="str">
        <f t="shared" si="7"/>
        <v/>
      </c>
      <c r="Y130" s="3" t="str">
        <f t="shared" si="8"/>
        <v/>
      </c>
      <c r="Z130" s="1" t="str">
        <f t="shared" si="9"/>
        <v/>
      </c>
      <c r="AA130" s="3">
        <f t="shared" si="10"/>
        <v>0.95774572000000269</v>
      </c>
    </row>
    <row r="131" spans="1:27">
      <c r="A131" s="1" t="s">
        <v>100</v>
      </c>
      <c r="B131" s="1">
        <v>2020</v>
      </c>
      <c r="C131" s="1">
        <v>6486.201172</v>
      </c>
      <c r="D131" s="1">
        <v>73.444000239999994</v>
      </c>
      <c r="E131" s="1">
        <v>97.946575409999994</v>
      </c>
      <c r="F131" s="1">
        <v>0.20726323190000001</v>
      </c>
      <c r="G131" s="1">
        <v>0.31517399689999998</v>
      </c>
      <c r="H131" s="1">
        <v>1.530987366</v>
      </c>
      <c r="I131" s="1">
        <v>93.454395079999998</v>
      </c>
      <c r="J131" s="1">
        <v>0.78047620490000003</v>
      </c>
      <c r="K131" s="1">
        <v>0</v>
      </c>
      <c r="L131" s="1">
        <v>5.7651287120000001</v>
      </c>
      <c r="M131" s="1">
        <v>99.570870009999993</v>
      </c>
      <c r="N131" s="1">
        <v>0</v>
      </c>
      <c r="O131" s="1">
        <v>0.42912999439999999</v>
      </c>
      <c r="P131" s="1">
        <v>0</v>
      </c>
      <c r="Q131" s="2" t="str">
        <f t="shared" si="0"/>
        <v/>
      </c>
      <c r="R131" s="1" t="str">
        <f t="shared" si="1"/>
        <v/>
      </c>
      <c r="S131" s="1" t="str">
        <f t="shared" si="2"/>
        <v/>
      </c>
      <c r="T131" s="1" t="str">
        <f t="shared" si="3"/>
        <v/>
      </c>
      <c r="U131" s="1">
        <f t="shared" si="4"/>
        <v>98</v>
      </c>
      <c r="V131" s="3">
        <f t="shared" si="5"/>
        <v>93</v>
      </c>
      <c r="W131" s="3">
        <f t="shared" si="6"/>
        <v>100</v>
      </c>
      <c r="X131" s="3" t="str">
        <f t="shared" si="7"/>
        <v/>
      </c>
      <c r="Y131" s="3" t="str">
        <f t="shared" si="8"/>
        <v/>
      </c>
      <c r="Z131" s="1" t="str">
        <f t="shared" si="9"/>
        <v/>
      </c>
      <c r="AA131" s="3" t="str">
        <f t="shared" si="10"/>
        <v/>
      </c>
    </row>
    <row r="132" spans="1:27">
      <c r="A132" s="1" t="s">
        <v>101</v>
      </c>
      <c r="B132" s="1">
        <v>2015</v>
      </c>
      <c r="C132" s="1">
        <v>1168.5749510000001</v>
      </c>
      <c r="D132" s="1">
        <v>70.616004939999996</v>
      </c>
      <c r="E132" s="1">
        <v>64.178601650000004</v>
      </c>
      <c r="F132" s="1">
        <v>2.9349338359999999</v>
      </c>
      <c r="G132" s="1">
        <v>26.328798880000001</v>
      </c>
      <c r="H132" s="1">
        <v>6.5576656309999999</v>
      </c>
      <c r="I132" s="1">
        <v>30.775369319999999</v>
      </c>
      <c r="J132" s="1">
        <v>1.353579774</v>
      </c>
      <c r="K132" s="1">
        <v>46.286056360000003</v>
      </c>
      <c r="L132" s="1">
        <v>21.584994550000001</v>
      </c>
      <c r="M132" s="1">
        <v>78.07800598</v>
      </c>
      <c r="N132" s="1">
        <v>3.5929503829999998</v>
      </c>
      <c r="O132" s="1">
        <v>18.02439455</v>
      </c>
      <c r="P132" s="1">
        <v>0.30464909089999997</v>
      </c>
      <c r="Q132" s="2">
        <f t="shared" si="0"/>
        <v>2</v>
      </c>
      <c r="R132" s="1">
        <f t="shared" si="1"/>
        <v>0.24360720499999644</v>
      </c>
      <c r="S132" s="1">
        <f t="shared" si="2"/>
        <v>0</v>
      </c>
      <c r="T132" s="1">
        <f t="shared" si="3"/>
        <v>0</v>
      </c>
      <c r="U132" s="1">
        <f t="shared" si="4"/>
        <v>64</v>
      </c>
      <c r="V132" s="3">
        <f t="shared" si="5"/>
        <v>31</v>
      </c>
      <c r="W132" s="3">
        <f t="shared" si="6"/>
        <v>78</v>
      </c>
      <c r="X132" s="3" t="str">
        <f t="shared" si="7"/>
        <v/>
      </c>
      <c r="Y132" s="3" t="str">
        <f t="shared" si="8"/>
        <v/>
      </c>
      <c r="Z132" s="1" t="str">
        <f t="shared" si="9"/>
        <v/>
      </c>
      <c r="AA132" s="3">
        <f t="shared" si="10"/>
        <v>0</v>
      </c>
    </row>
    <row r="133" spans="1:27">
      <c r="A133" s="1" t="s">
        <v>101</v>
      </c>
      <c r="B133" s="1">
        <v>2017</v>
      </c>
      <c r="C133" s="1">
        <v>1262.008057</v>
      </c>
      <c r="D133" s="1">
        <v>71.645996089999997</v>
      </c>
      <c r="E133" s="1">
        <v>64.665816059999997</v>
      </c>
      <c r="F133" s="1">
        <v>2.957999225</v>
      </c>
      <c r="G133" s="1">
        <v>26.037706329999999</v>
      </c>
      <c r="H133" s="1">
        <v>6.3384783860000002</v>
      </c>
      <c r="I133" s="1">
        <v>30.775369319999999</v>
      </c>
      <c r="J133" s="1">
        <v>1.353579774</v>
      </c>
      <c r="K133" s="1">
        <v>46.286056360000003</v>
      </c>
      <c r="L133" s="1">
        <v>21.584994550000001</v>
      </c>
      <c r="M133" s="1">
        <v>78.07800598</v>
      </c>
      <c r="N133" s="1">
        <v>3.5929503829999998</v>
      </c>
      <c r="O133" s="1">
        <v>18.02439455</v>
      </c>
      <c r="P133" s="1">
        <v>0.30464909089999997</v>
      </c>
      <c r="Q133" s="2" t="str">
        <f t="shared" si="0"/>
        <v/>
      </c>
      <c r="R133" s="1" t="str">
        <f t="shared" si="1"/>
        <v/>
      </c>
      <c r="S133" s="1" t="str">
        <f t="shared" si="2"/>
        <v/>
      </c>
      <c r="T133" s="1" t="str">
        <f t="shared" si="3"/>
        <v/>
      </c>
      <c r="U133" s="1">
        <f t="shared" si="4"/>
        <v>65</v>
      </c>
      <c r="V133" s="3">
        <f t="shared" si="5"/>
        <v>31</v>
      </c>
      <c r="W133" s="3">
        <f t="shared" si="6"/>
        <v>78</v>
      </c>
      <c r="X133" s="3" t="str">
        <f t="shared" si="7"/>
        <v/>
      </c>
      <c r="Y133" s="3" t="str">
        <f t="shared" si="8"/>
        <v/>
      </c>
      <c r="Z133" s="1" t="str">
        <f t="shared" si="9"/>
        <v/>
      </c>
      <c r="AA133" s="3" t="str">
        <f t="shared" si="10"/>
        <v/>
      </c>
    </row>
    <row r="134" spans="1:27">
      <c r="A134" s="1" t="s">
        <v>102</v>
      </c>
      <c r="B134" s="1">
        <v>2015</v>
      </c>
      <c r="C134" s="1">
        <v>3342.818115</v>
      </c>
      <c r="D134" s="1">
        <v>38.206001280000002</v>
      </c>
      <c r="E134" s="1">
        <v>51.465093529999997</v>
      </c>
      <c r="F134" s="1">
        <v>17.707633340000001</v>
      </c>
      <c r="G134" s="1">
        <v>13.55609825</v>
      </c>
      <c r="H134" s="1">
        <v>17.27117488</v>
      </c>
      <c r="I134" s="1">
        <v>27.801576470000001</v>
      </c>
      <c r="J134" s="1">
        <v>24.49842353</v>
      </c>
      <c r="K134" s="1">
        <v>20.074999999999999</v>
      </c>
      <c r="L134" s="1">
        <v>27.625</v>
      </c>
      <c r="M134" s="1">
        <v>89.738224529999997</v>
      </c>
      <c r="N134" s="1">
        <v>6.7242754739999997</v>
      </c>
      <c r="O134" s="1">
        <v>3.0125000000000002</v>
      </c>
      <c r="P134" s="1">
        <v>0.52500000000000002</v>
      </c>
      <c r="Q134" s="2">
        <f t="shared" si="0"/>
        <v>1</v>
      </c>
      <c r="R134" s="1">
        <f t="shared" si="1"/>
        <v>0.38462665000000129</v>
      </c>
      <c r="S134" s="1">
        <f t="shared" si="2"/>
        <v>0</v>
      </c>
      <c r="T134" s="1">
        <f t="shared" si="3"/>
        <v>0</v>
      </c>
      <c r="U134" s="1">
        <f t="shared" si="4"/>
        <v>51</v>
      </c>
      <c r="V134" s="3">
        <f t="shared" si="5"/>
        <v>28</v>
      </c>
      <c r="W134" s="3">
        <f t="shared" si="6"/>
        <v>90</v>
      </c>
      <c r="X134" s="3" t="str">
        <f t="shared" si="7"/>
        <v/>
      </c>
      <c r="Y134" s="3" t="str">
        <f t="shared" si="8"/>
        <v/>
      </c>
      <c r="Z134" s="1" t="str">
        <f t="shared" si="9"/>
        <v/>
      </c>
      <c r="AA134" s="3">
        <f t="shared" si="10"/>
        <v>0</v>
      </c>
    </row>
    <row r="135" spans="1:27">
      <c r="A135" s="1" t="s">
        <v>102</v>
      </c>
      <c r="B135" s="1">
        <v>2016</v>
      </c>
      <c r="C135" s="1">
        <v>3376.5581050000001</v>
      </c>
      <c r="D135" s="1">
        <v>38.826999659999998</v>
      </c>
      <c r="E135" s="1">
        <v>51.849720179999998</v>
      </c>
      <c r="F135" s="1">
        <v>17.59725585</v>
      </c>
      <c r="G135" s="1">
        <v>13.45014014</v>
      </c>
      <c r="H135" s="1">
        <v>17.102883840000001</v>
      </c>
      <c r="I135" s="1">
        <v>27.801576470000001</v>
      </c>
      <c r="J135" s="1">
        <v>24.49842353</v>
      </c>
      <c r="K135" s="1">
        <v>20.074999999999999</v>
      </c>
      <c r="L135" s="1">
        <v>27.625</v>
      </c>
      <c r="M135" s="1">
        <v>89.738224529999997</v>
      </c>
      <c r="N135" s="1">
        <v>6.7242754739999997</v>
      </c>
      <c r="O135" s="1">
        <v>3.0125000000000002</v>
      </c>
      <c r="P135" s="1">
        <v>0.52500000000000002</v>
      </c>
      <c r="Q135" s="2" t="str">
        <f t="shared" si="0"/>
        <v/>
      </c>
      <c r="R135" s="1" t="str">
        <f t="shared" si="1"/>
        <v/>
      </c>
      <c r="S135" s="1" t="str">
        <f t="shared" si="2"/>
        <v/>
      </c>
      <c r="T135" s="1" t="str">
        <f t="shared" si="3"/>
        <v/>
      </c>
      <c r="U135" s="1">
        <f t="shared" si="4"/>
        <v>52</v>
      </c>
      <c r="V135" s="3">
        <f t="shared" si="5"/>
        <v>28</v>
      </c>
      <c r="W135" s="3">
        <f t="shared" si="6"/>
        <v>90</v>
      </c>
      <c r="X135" s="3" t="str">
        <f t="shared" si="7"/>
        <v/>
      </c>
      <c r="Y135" s="3" t="str">
        <f t="shared" si="8"/>
        <v/>
      </c>
      <c r="Z135" s="1" t="str">
        <f t="shared" si="9"/>
        <v/>
      </c>
      <c r="AA135" s="3" t="str">
        <f t="shared" si="10"/>
        <v/>
      </c>
    </row>
    <row r="136" spans="1:27">
      <c r="A136" s="1" t="s">
        <v>103</v>
      </c>
      <c r="B136" s="1">
        <v>2015</v>
      </c>
      <c r="C136" s="1">
        <v>1315.329956</v>
      </c>
      <c r="D136" s="1">
        <v>68.416000370000006</v>
      </c>
      <c r="E136" s="1">
        <v>99.751307569999994</v>
      </c>
      <c r="F136" s="1">
        <v>0</v>
      </c>
      <c r="G136" s="1">
        <v>0.24869242890000001</v>
      </c>
      <c r="H136" s="1">
        <v>0</v>
      </c>
      <c r="I136" s="1">
        <v>99.244115809999997</v>
      </c>
      <c r="J136" s="1">
        <v>0</v>
      </c>
      <c r="K136" s="1">
        <v>0.75588419029999998</v>
      </c>
      <c r="L136" s="1">
        <v>0</v>
      </c>
      <c r="M136" s="1">
        <v>99.98545421</v>
      </c>
      <c r="N136" s="1">
        <v>0</v>
      </c>
      <c r="O136" s="1">
        <v>1.454579307E-2</v>
      </c>
      <c r="P136" s="1">
        <v>0</v>
      </c>
      <c r="Q136" s="2">
        <f t="shared" si="0"/>
        <v>5</v>
      </c>
      <c r="R136" s="1">
        <f t="shared" si="1"/>
        <v>-3.2105157999998822E-2</v>
      </c>
      <c r="S136" s="1" t="str">
        <f t="shared" si="2"/>
        <v>null</v>
      </c>
      <c r="T136" s="1">
        <f t="shared" si="3"/>
        <v>0</v>
      </c>
      <c r="U136" s="1">
        <f t="shared" si="4"/>
        <v>100</v>
      </c>
      <c r="V136" s="3">
        <f t="shared" si="5"/>
        <v>99</v>
      </c>
      <c r="W136" s="3">
        <f t="shared" si="6"/>
        <v>100</v>
      </c>
      <c r="X136" s="3" t="str">
        <f t="shared" si="7"/>
        <v>fullaccesss</v>
      </c>
      <c r="Y136" s="3" t="str">
        <f t="shared" si="8"/>
        <v/>
      </c>
      <c r="Z136" s="1" t="str">
        <f t="shared" si="9"/>
        <v>fullaccesss</v>
      </c>
      <c r="AA136" s="3" t="str">
        <f t="shared" si="10"/>
        <v>null</v>
      </c>
    </row>
    <row r="137" spans="1:27">
      <c r="A137" s="1" t="s">
        <v>103</v>
      </c>
      <c r="B137" s="1">
        <v>2020</v>
      </c>
      <c r="C137" s="1">
        <v>1326.5389399999999</v>
      </c>
      <c r="D137" s="1">
        <v>69.229003910000003</v>
      </c>
      <c r="E137" s="1">
        <v>99.59078178</v>
      </c>
      <c r="F137" s="1">
        <v>0</v>
      </c>
      <c r="G137" s="1">
        <v>0.40921822320000001</v>
      </c>
      <c r="H137" s="1">
        <v>0</v>
      </c>
      <c r="I137" s="1" t="s">
        <v>272</v>
      </c>
      <c r="J137" s="1" t="s">
        <v>272</v>
      </c>
      <c r="K137" s="1" t="s">
        <v>272</v>
      </c>
      <c r="L137" s="1" t="s">
        <v>272</v>
      </c>
      <c r="M137" s="1">
        <v>99.98545421</v>
      </c>
      <c r="N137" s="1">
        <v>0</v>
      </c>
      <c r="O137" s="1">
        <v>1.454579307E-2</v>
      </c>
      <c r="P137" s="1">
        <v>0</v>
      </c>
      <c r="Q137" s="2" t="str">
        <f t="shared" si="0"/>
        <v/>
      </c>
      <c r="R137" s="1" t="str">
        <f t="shared" si="1"/>
        <v/>
      </c>
      <c r="S137" s="1" t="str">
        <f t="shared" si="2"/>
        <v/>
      </c>
      <c r="T137" s="1" t="str">
        <f t="shared" si="3"/>
        <v/>
      </c>
      <c r="U137" s="1">
        <f t="shared" si="4"/>
        <v>100</v>
      </c>
      <c r="V137" s="3" t="str">
        <f t="shared" si="5"/>
        <v>null</v>
      </c>
      <c r="W137" s="3">
        <f t="shared" si="6"/>
        <v>100</v>
      </c>
      <c r="X137" s="3" t="str">
        <f t="shared" si="7"/>
        <v/>
      </c>
      <c r="Y137" s="3" t="str">
        <f t="shared" si="8"/>
        <v/>
      </c>
      <c r="Z137" s="1" t="str">
        <f t="shared" si="9"/>
        <v/>
      </c>
      <c r="AA137" s="3" t="str">
        <f t="shared" si="10"/>
        <v/>
      </c>
    </row>
    <row r="138" spans="1:27">
      <c r="A138" s="1" t="s">
        <v>104</v>
      </c>
      <c r="B138" s="1">
        <v>2015</v>
      </c>
      <c r="C138" s="1">
        <v>1104.0379640000001</v>
      </c>
      <c r="D138" s="1">
        <v>23.299999239999998</v>
      </c>
      <c r="E138" s="1">
        <v>66.703955219999997</v>
      </c>
      <c r="F138" s="1">
        <v>8.7676173330000005</v>
      </c>
      <c r="G138" s="1">
        <v>10.89011026</v>
      </c>
      <c r="H138" s="1">
        <v>13.63831719</v>
      </c>
      <c r="I138" s="1">
        <v>58.124984900000001</v>
      </c>
      <c r="J138" s="1">
        <v>11.182049299999999</v>
      </c>
      <c r="K138" s="1">
        <v>13.43987898</v>
      </c>
      <c r="L138" s="1">
        <v>17.253086830000001</v>
      </c>
      <c r="M138" s="1">
        <v>94.944600129999998</v>
      </c>
      <c r="N138" s="1">
        <v>0.81968032219999998</v>
      </c>
      <c r="O138" s="1">
        <v>2.4966655609999999</v>
      </c>
      <c r="P138" s="1">
        <v>1.7390539899999999</v>
      </c>
      <c r="Q138" s="2">
        <f t="shared" si="0"/>
        <v>5</v>
      </c>
      <c r="R138" s="1">
        <f t="shared" si="1"/>
        <v>0.80982314599999938</v>
      </c>
      <c r="S138" s="1">
        <f t="shared" si="2"/>
        <v>0.86829276799999922</v>
      </c>
      <c r="T138" s="1">
        <f t="shared" si="3"/>
        <v>0.36103258400000016</v>
      </c>
      <c r="U138" s="1">
        <f t="shared" si="4"/>
        <v>67</v>
      </c>
      <c r="V138" s="3">
        <f t="shared" si="5"/>
        <v>58</v>
      </c>
      <c r="W138" s="3">
        <f t="shared" si="6"/>
        <v>95</v>
      </c>
      <c r="X138" s="3" t="str">
        <f t="shared" si="7"/>
        <v/>
      </c>
      <c r="Y138" s="3" t="str">
        <f t="shared" si="8"/>
        <v/>
      </c>
      <c r="Z138" s="1" t="str">
        <f t="shared" si="9"/>
        <v/>
      </c>
      <c r="AA138" s="3">
        <f t="shared" si="10"/>
        <v>0.50726018399999906</v>
      </c>
    </row>
    <row r="139" spans="1:27">
      <c r="A139" s="1" t="s">
        <v>104</v>
      </c>
      <c r="B139" s="1">
        <v>2020</v>
      </c>
      <c r="C139" s="1">
        <v>1160.1639399999999</v>
      </c>
      <c r="D139" s="1">
        <v>24.17100143</v>
      </c>
      <c r="E139" s="1">
        <v>70.753070949999994</v>
      </c>
      <c r="F139" s="1">
        <v>9.5070671630000003</v>
      </c>
      <c r="G139" s="1">
        <v>9.8355679309999999</v>
      </c>
      <c r="H139" s="1">
        <v>9.9042939590000003</v>
      </c>
      <c r="I139" s="1">
        <v>62.466448739999997</v>
      </c>
      <c r="J139" s="1">
        <v>12.29969513</v>
      </c>
      <c r="K139" s="1">
        <v>12.45046093</v>
      </c>
      <c r="L139" s="1">
        <v>12.78339519</v>
      </c>
      <c r="M139" s="1">
        <v>96.749763049999999</v>
      </c>
      <c r="N139" s="1">
        <v>0.74606447310000001</v>
      </c>
      <c r="O139" s="1">
        <v>1.6321642439999999</v>
      </c>
      <c r="P139" s="1">
        <v>0.8720082294</v>
      </c>
      <c r="Q139" s="2" t="str">
        <f t="shared" si="0"/>
        <v/>
      </c>
      <c r="R139" s="1" t="str">
        <f t="shared" si="1"/>
        <v/>
      </c>
      <c r="S139" s="1" t="str">
        <f t="shared" si="2"/>
        <v/>
      </c>
      <c r="T139" s="1" t="str">
        <f t="shared" si="3"/>
        <v/>
      </c>
      <c r="U139" s="1">
        <f t="shared" si="4"/>
        <v>71</v>
      </c>
      <c r="V139" s="3">
        <f t="shared" si="5"/>
        <v>62</v>
      </c>
      <c r="W139" s="3">
        <f t="shared" si="6"/>
        <v>97</v>
      </c>
      <c r="X139" s="3" t="str">
        <f t="shared" si="7"/>
        <v/>
      </c>
      <c r="Y139" s="3" t="str">
        <f t="shared" si="8"/>
        <v/>
      </c>
      <c r="Z139" s="1" t="str">
        <f t="shared" si="9"/>
        <v/>
      </c>
      <c r="AA139" s="3" t="str">
        <f t="shared" si="10"/>
        <v/>
      </c>
    </row>
    <row r="140" spans="1:27">
      <c r="A140" s="1" t="s">
        <v>105</v>
      </c>
      <c r="B140" s="1">
        <v>2015</v>
      </c>
      <c r="C140" s="1">
        <v>100835.4531</v>
      </c>
      <c r="D140" s="1">
        <v>19.428001399999999</v>
      </c>
      <c r="E140" s="1">
        <v>42.070067199999997</v>
      </c>
      <c r="F140" s="1">
        <v>21.738790269999999</v>
      </c>
      <c r="G140" s="1">
        <v>24.477856150000001</v>
      </c>
      <c r="H140" s="1">
        <v>11.71328639</v>
      </c>
      <c r="I140" s="1">
        <v>32.451767429999997</v>
      </c>
      <c r="J140" s="1">
        <v>23.598552099999999</v>
      </c>
      <c r="K140" s="1">
        <v>29.78155581</v>
      </c>
      <c r="L140" s="1">
        <v>14.168124669999999</v>
      </c>
      <c r="M140" s="1">
        <v>81.959176540000001</v>
      </c>
      <c r="N140" s="1">
        <v>14.02596733</v>
      </c>
      <c r="O140" s="1">
        <v>2.4822996910000001</v>
      </c>
      <c r="P140" s="1">
        <v>1.5325564389999999</v>
      </c>
      <c r="Q140" s="2">
        <f t="shared" si="0"/>
        <v>5</v>
      </c>
      <c r="R140" s="1">
        <f t="shared" si="1"/>
        <v>1.5091011080000001</v>
      </c>
      <c r="S140" s="1">
        <f t="shared" si="2"/>
        <v>1.5156743520000007</v>
      </c>
      <c r="T140" s="1">
        <f t="shared" si="3"/>
        <v>0.4507303239999999</v>
      </c>
      <c r="U140" s="1">
        <f t="shared" si="4"/>
        <v>42</v>
      </c>
      <c r="V140" s="3">
        <f t="shared" si="5"/>
        <v>32</v>
      </c>
      <c r="W140" s="3">
        <f t="shared" si="6"/>
        <v>82</v>
      </c>
      <c r="X140" s="3" t="str">
        <f t="shared" si="7"/>
        <v/>
      </c>
      <c r="Y140" s="3" t="str">
        <f t="shared" si="8"/>
        <v/>
      </c>
      <c r="Z140" s="1" t="str">
        <f t="shared" si="9"/>
        <v/>
      </c>
      <c r="AA140" s="3">
        <f t="shared" si="10"/>
        <v>1.0649440280000007</v>
      </c>
    </row>
    <row r="141" spans="1:27">
      <c r="A141" s="1" t="s">
        <v>105</v>
      </c>
      <c r="B141" s="1">
        <v>2020</v>
      </c>
      <c r="C141" s="1">
        <v>114963.58590000001</v>
      </c>
      <c r="D141" s="1">
        <v>21.69499969</v>
      </c>
      <c r="E141" s="1">
        <v>49.615572739999998</v>
      </c>
      <c r="F141" s="1">
        <v>26.740719639999998</v>
      </c>
      <c r="G141" s="1">
        <v>18.635060129999999</v>
      </c>
      <c r="H141" s="1">
        <v>5.0086474860000001</v>
      </c>
      <c r="I141" s="1">
        <v>40.03013919</v>
      </c>
      <c r="J141" s="1">
        <v>30.186683339999998</v>
      </c>
      <c r="K141" s="1">
        <v>23.49561327</v>
      </c>
      <c r="L141" s="1">
        <v>6.2875642029999996</v>
      </c>
      <c r="M141" s="1">
        <v>84.212828160000001</v>
      </c>
      <c r="N141" s="1">
        <v>14.30300858</v>
      </c>
      <c r="O141" s="1">
        <v>1.0915823549999999</v>
      </c>
      <c r="P141" s="1">
        <v>0.39258089600000001</v>
      </c>
      <c r="Q141" s="2" t="str">
        <f t="shared" si="0"/>
        <v/>
      </c>
      <c r="R141" s="1" t="str">
        <f t="shared" si="1"/>
        <v/>
      </c>
      <c r="S141" s="1" t="str">
        <f t="shared" si="2"/>
        <v/>
      </c>
      <c r="T141" s="1" t="str">
        <f t="shared" si="3"/>
        <v/>
      </c>
      <c r="U141" s="1">
        <f t="shared" si="4"/>
        <v>50</v>
      </c>
      <c r="V141" s="3">
        <f t="shared" si="5"/>
        <v>40</v>
      </c>
      <c r="W141" s="3">
        <f t="shared" si="6"/>
        <v>84</v>
      </c>
      <c r="X141" s="3" t="str">
        <f t="shared" si="7"/>
        <v/>
      </c>
      <c r="Y141" s="3" t="str">
        <f t="shared" si="8"/>
        <v/>
      </c>
      <c r="Z141" s="1" t="str">
        <f t="shared" si="9"/>
        <v/>
      </c>
      <c r="AA141" s="3" t="str">
        <f t="shared" si="10"/>
        <v/>
      </c>
    </row>
    <row r="142" spans="1:27">
      <c r="A142" s="1" t="s">
        <v>106</v>
      </c>
      <c r="B142" s="1">
        <v>2015</v>
      </c>
      <c r="C142" s="1">
        <v>48.055000309999997</v>
      </c>
      <c r="D142" s="1">
        <v>41.63799667</v>
      </c>
      <c r="E142" s="1">
        <v>100</v>
      </c>
      <c r="F142" s="1">
        <v>0</v>
      </c>
      <c r="G142" s="1">
        <v>0</v>
      </c>
      <c r="H142" s="1">
        <v>0</v>
      </c>
      <c r="I142" s="1" t="s">
        <v>272</v>
      </c>
      <c r="J142" s="1" t="s">
        <v>272</v>
      </c>
      <c r="K142" s="1" t="s">
        <v>272</v>
      </c>
      <c r="L142" s="1" t="s">
        <v>272</v>
      </c>
      <c r="M142" s="1" t="s">
        <v>272</v>
      </c>
      <c r="N142" s="1" t="s">
        <v>272</v>
      </c>
      <c r="O142" s="1" t="s">
        <v>272</v>
      </c>
      <c r="P142" s="1" t="s">
        <v>272</v>
      </c>
      <c r="Q142" s="2">
        <f t="shared" si="0"/>
        <v>5</v>
      </c>
      <c r="R142" s="1">
        <f t="shared" si="1"/>
        <v>0</v>
      </c>
      <c r="S142" s="1" t="str">
        <f t="shared" si="2"/>
        <v>null</v>
      </c>
      <c r="T142" s="1" t="str">
        <f t="shared" si="3"/>
        <v>null</v>
      </c>
      <c r="U142" s="1">
        <f t="shared" si="4"/>
        <v>100</v>
      </c>
      <c r="V142" s="3" t="str">
        <f t="shared" si="5"/>
        <v>null</v>
      </c>
      <c r="W142" s="3" t="str">
        <f t="shared" si="6"/>
        <v>null</v>
      </c>
      <c r="X142" s="3" t="str">
        <f t="shared" si="7"/>
        <v>fullaccesss</v>
      </c>
      <c r="Y142" s="3" t="str">
        <f t="shared" si="8"/>
        <v/>
      </c>
      <c r="Z142" s="1" t="str">
        <f t="shared" si="9"/>
        <v/>
      </c>
      <c r="AA142" s="3" t="str">
        <f t="shared" si="10"/>
        <v>null</v>
      </c>
    </row>
    <row r="143" spans="1:27">
      <c r="A143" s="1" t="s">
        <v>106</v>
      </c>
      <c r="B143" s="1">
        <v>2020</v>
      </c>
      <c r="C143" s="1">
        <v>48.865001679999999</v>
      </c>
      <c r="D143" s="1">
        <v>42.397998809999997</v>
      </c>
      <c r="E143" s="1">
        <v>100</v>
      </c>
      <c r="F143" s="1">
        <v>0</v>
      </c>
      <c r="G143" s="1">
        <v>0</v>
      </c>
      <c r="H143" s="1">
        <v>0</v>
      </c>
      <c r="I143" s="1" t="s">
        <v>272</v>
      </c>
      <c r="J143" s="1" t="s">
        <v>272</v>
      </c>
      <c r="K143" s="1" t="s">
        <v>272</v>
      </c>
      <c r="L143" s="1" t="s">
        <v>272</v>
      </c>
      <c r="M143" s="1" t="s">
        <v>272</v>
      </c>
      <c r="N143" s="1" t="s">
        <v>272</v>
      </c>
      <c r="O143" s="1" t="s">
        <v>272</v>
      </c>
      <c r="P143" s="1" t="s">
        <v>272</v>
      </c>
      <c r="Q143" s="2" t="str">
        <f t="shared" si="0"/>
        <v/>
      </c>
      <c r="R143" s="1" t="str">
        <f t="shared" si="1"/>
        <v/>
      </c>
      <c r="S143" s="1" t="str">
        <f t="shared" si="2"/>
        <v/>
      </c>
      <c r="T143" s="1" t="str">
        <f t="shared" si="3"/>
        <v/>
      </c>
      <c r="U143" s="1">
        <f t="shared" si="4"/>
        <v>100</v>
      </c>
      <c r="V143" s="3" t="str">
        <f t="shared" si="5"/>
        <v>null</v>
      </c>
      <c r="W143" s="3" t="str">
        <f t="shared" si="6"/>
        <v>null</v>
      </c>
      <c r="X143" s="3" t="str">
        <f t="shared" si="7"/>
        <v/>
      </c>
      <c r="Y143" s="3" t="str">
        <f t="shared" si="8"/>
        <v/>
      </c>
      <c r="Z143" s="1" t="str">
        <f t="shared" si="9"/>
        <v/>
      </c>
      <c r="AA143" s="3" t="str">
        <f t="shared" si="10"/>
        <v/>
      </c>
    </row>
    <row r="144" spans="1:27">
      <c r="A144" s="1" t="s">
        <v>107</v>
      </c>
      <c r="B144" s="1">
        <v>2015</v>
      </c>
      <c r="C144" s="1">
        <v>2.8359999660000001</v>
      </c>
      <c r="D144" s="1">
        <v>76.268005369999997</v>
      </c>
      <c r="E144" s="1">
        <v>94.820006660000004</v>
      </c>
      <c r="F144" s="1">
        <v>0</v>
      </c>
      <c r="G144" s="1">
        <v>5.1799933429999996</v>
      </c>
      <c r="H144" s="1">
        <v>0</v>
      </c>
      <c r="I144" s="1">
        <v>78.172942820000003</v>
      </c>
      <c r="J144" s="1">
        <v>0</v>
      </c>
      <c r="K144" s="1">
        <v>21.827057180000001</v>
      </c>
      <c r="L144" s="1">
        <v>0</v>
      </c>
      <c r="M144" s="1">
        <v>100</v>
      </c>
      <c r="N144" s="1">
        <v>0</v>
      </c>
      <c r="O144" s="1">
        <v>0</v>
      </c>
      <c r="P144" s="1">
        <v>0</v>
      </c>
      <c r="Q144" s="2">
        <f t="shared" si="0"/>
        <v>5</v>
      </c>
      <c r="R144" s="1">
        <f t="shared" si="1"/>
        <v>9.7784147999999502E-2</v>
      </c>
      <c r="S144" s="1">
        <f t="shared" si="2"/>
        <v>0</v>
      </c>
      <c r="T144" s="1">
        <f t="shared" si="3"/>
        <v>0</v>
      </c>
      <c r="U144" s="1">
        <f t="shared" si="4"/>
        <v>95</v>
      </c>
      <c r="V144" s="3">
        <f t="shared" si="5"/>
        <v>78</v>
      </c>
      <c r="W144" s="3">
        <f t="shared" si="6"/>
        <v>100</v>
      </c>
      <c r="X144" s="3" t="str">
        <f t="shared" si="7"/>
        <v/>
      </c>
      <c r="Y144" s="3" t="str">
        <f t="shared" si="8"/>
        <v/>
      </c>
      <c r="Z144" s="1" t="str">
        <f t="shared" si="9"/>
        <v>fullaccesss</v>
      </c>
      <c r="AA144" s="3">
        <f t="shared" si="10"/>
        <v>0</v>
      </c>
    </row>
    <row r="145" spans="1:27">
      <c r="A145" s="1" t="s">
        <v>107</v>
      </c>
      <c r="B145" s="1">
        <v>2020</v>
      </c>
      <c r="C145" s="1">
        <v>3.4830000399999999</v>
      </c>
      <c r="D145" s="1">
        <v>78.507995609999995</v>
      </c>
      <c r="E145" s="1">
        <v>95.308927400000002</v>
      </c>
      <c r="F145" s="1">
        <v>0</v>
      </c>
      <c r="G145" s="1">
        <v>4.6910725959999997</v>
      </c>
      <c r="H145" s="1">
        <v>0</v>
      </c>
      <c r="I145" s="1">
        <v>78.172942820000003</v>
      </c>
      <c r="J145" s="1">
        <v>0</v>
      </c>
      <c r="K145" s="1">
        <v>21.827057180000001</v>
      </c>
      <c r="L145" s="1">
        <v>0</v>
      </c>
      <c r="M145" s="1">
        <v>100</v>
      </c>
      <c r="N145" s="1">
        <v>0</v>
      </c>
      <c r="O145" s="1">
        <v>0</v>
      </c>
      <c r="P145" s="1">
        <v>0</v>
      </c>
      <c r="Q145" s="2" t="str">
        <f t="shared" si="0"/>
        <v/>
      </c>
      <c r="R145" s="1" t="str">
        <f t="shared" si="1"/>
        <v/>
      </c>
      <c r="S145" s="1" t="str">
        <f t="shared" si="2"/>
        <v/>
      </c>
      <c r="T145" s="1" t="str">
        <f t="shared" si="3"/>
        <v/>
      </c>
      <c r="U145" s="1">
        <f t="shared" si="4"/>
        <v>95</v>
      </c>
      <c r="V145" s="3">
        <f t="shared" si="5"/>
        <v>78</v>
      </c>
      <c r="W145" s="3">
        <f t="shared" si="6"/>
        <v>100</v>
      </c>
      <c r="X145" s="3" t="str">
        <f t="shared" si="7"/>
        <v/>
      </c>
      <c r="Y145" s="3" t="str">
        <f t="shared" si="8"/>
        <v/>
      </c>
      <c r="Z145" s="1" t="str">
        <f t="shared" si="9"/>
        <v/>
      </c>
      <c r="AA145" s="3" t="str">
        <f t="shared" si="10"/>
        <v/>
      </c>
    </row>
    <row r="146" spans="1:27">
      <c r="A146" s="1" t="s">
        <v>108</v>
      </c>
      <c r="B146" s="1">
        <v>2015</v>
      </c>
      <c r="C146" s="1">
        <v>868.63201900000001</v>
      </c>
      <c r="D146" s="1">
        <v>54.725997919999998</v>
      </c>
      <c r="E146" s="1">
        <v>94.262558670000004</v>
      </c>
      <c r="F146" s="1">
        <v>0</v>
      </c>
      <c r="G146" s="1">
        <v>3.4193659360000002</v>
      </c>
      <c r="H146" s="1">
        <v>2.3180753950000001</v>
      </c>
      <c r="I146" s="1">
        <v>89.378527390000002</v>
      </c>
      <c r="J146" s="1">
        <v>0</v>
      </c>
      <c r="K146" s="1">
        <v>5.8294678109999998</v>
      </c>
      <c r="L146" s="1">
        <v>4.7920047950000004</v>
      </c>
      <c r="M146" s="1">
        <v>98.303044670000006</v>
      </c>
      <c r="N146" s="1">
        <v>0</v>
      </c>
      <c r="O146" s="1">
        <v>1.4255247120000001</v>
      </c>
      <c r="P146" s="1">
        <v>0.27143061419999998</v>
      </c>
      <c r="Q146" s="2">
        <f t="shared" si="0"/>
        <v>5</v>
      </c>
      <c r="R146" s="1">
        <f t="shared" si="1"/>
        <v>7.7013139999991152E-3</v>
      </c>
      <c r="S146" s="1">
        <f t="shared" si="2"/>
        <v>-5.8100668000000154E-2</v>
      </c>
      <c r="T146" s="1">
        <f t="shared" si="3"/>
        <v>-2.1760122000000593E-2</v>
      </c>
      <c r="U146" s="1">
        <f t="shared" si="4"/>
        <v>94</v>
      </c>
      <c r="V146" s="3">
        <f t="shared" si="5"/>
        <v>89</v>
      </c>
      <c r="W146" s="3">
        <f t="shared" si="6"/>
        <v>98</v>
      </c>
      <c r="X146" s="3" t="str">
        <f t="shared" si="7"/>
        <v/>
      </c>
      <c r="Y146" s="3" t="str">
        <f t="shared" si="8"/>
        <v/>
      </c>
      <c r="Z146" s="1" t="str">
        <f t="shared" si="9"/>
        <v/>
      </c>
      <c r="AA146" s="3">
        <f t="shared" si="10"/>
        <v>-3.6340545999999557E-2</v>
      </c>
    </row>
    <row r="147" spans="1:27">
      <c r="A147" s="1" t="s">
        <v>108</v>
      </c>
      <c r="B147" s="1">
        <v>2020</v>
      </c>
      <c r="C147" s="1">
        <v>896.44396970000003</v>
      </c>
      <c r="D147" s="1">
        <v>57.247005459999997</v>
      </c>
      <c r="E147" s="1">
        <v>94.30106524</v>
      </c>
      <c r="F147" s="1">
        <v>0</v>
      </c>
      <c r="G147" s="1">
        <v>3.3186027660000001</v>
      </c>
      <c r="H147" s="1">
        <v>2.380331999</v>
      </c>
      <c r="I147" s="1">
        <v>89.088024050000001</v>
      </c>
      <c r="J147" s="1">
        <v>0</v>
      </c>
      <c r="K147" s="1">
        <v>5.7598979379999999</v>
      </c>
      <c r="L147" s="1">
        <v>5.1520780119999996</v>
      </c>
      <c r="M147" s="1">
        <v>98.194244060000003</v>
      </c>
      <c r="N147" s="1">
        <v>0</v>
      </c>
      <c r="O147" s="1">
        <v>1.495409344</v>
      </c>
      <c r="P147" s="1">
        <v>0.31034659219999999</v>
      </c>
      <c r="Q147" s="2" t="str">
        <f t="shared" si="0"/>
        <v/>
      </c>
      <c r="R147" s="1" t="str">
        <f t="shared" si="1"/>
        <v/>
      </c>
      <c r="S147" s="1" t="str">
        <f t="shared" si="2"/>
        <v/>
      </c>
      <c r="T147" s="1" t="str">
        <f t="shared" si="3"/>
        <v/>
      </c>
      <c r="U147" s="1">
        <f t="shared" si="4"/>
        <v>94</v>
      </c>
      <c r="V147" s="3">
        <f t="shared" si="5"/>
        <v>89</v>
      </c>
      <c r="W147" s="3">
        <f t="shared" si="6"/>
        <v>98</v>
      </c>
      <c r="X147" s="3" t="str">
        <f t="shared" si="7"/>
        <v/>
      </c>
      <c r="Y147" s="3" t="str">
        <f t="shared" si="8"/>
        <v/>
      </c>
      <c r="Z147" s="1" t="str">
        <f t="shared" si="9"/>
        <v/>
      </c>
      <c r="AA147" s="3" t="str">
        <f t="shared" si="10"/>
        <v/>
      </c>
    </row>
    <row r="148" spans="1:27">
      <c r="A148" s="1" t="s">
        <v>109</v>
      </c>
      <c r="B148" s="1">
        <v>2015</v>
      </c>
      <c r="C148" s="1">
        <v>5481.1279299999997</v>
      </c>
      <c r="D148" s="1">
        <v>85.224998470000003</v>
      </c>
      <c r="E148" s="1">
        <v>99.999996659999994</v>
      </c>
      <c r="F148" s="1">
        <v>0</v>
      </c>
      <c r="G148" s="1">
        <v>3.3406530800000001E-6</v>
      </c>
      <c r="H148" s="1">
        <v>0</v>
      </c>
      <c r="I148" s="1">
        <v>100</v>
      </c>
      <c r="J148" s="1">
        <v>0</v>
      </c>
      <c r="K148" s="1">
        <v>0</v>
      </c>
      <c r="L148" s="1">
        <v>0</v>
      </c>
      <c r="M148" s="1">
        <v>100</v>
      </c>
      <c r="N148" s="1">
        <v>0</v>
      </c>
      <c r="O148" s="1">
        <v>0</v>
      </c>
      <c r="P148" s="1">
        <v>0</v>
      </c>
      <c r="Q148" s="2">
        <f t="shared" si="0"/>
        <v>5</v>
      </c>
      <c r="R148" s="1">
        <f t="shared" si="1"/>
        <v>1.3280000018767169E-6</v>
      </c>
      <c r="S148" s="1">
        <f t="shared" si="2"/>
        <v>0</v>
      </c>
      <c r="T148" s="1">
        <f t="shared" si="3"/>
        <v>0</v>
      </c>
      <c r="U148" s="1">
        <f t="shared" si="4"/>
        <v>100</v>
      </c>
      <c r="V148" s="3">
        <f t="shared" si="5"/>
        <v>100</v>
      </c>
      <c r="W148" s="3">
        <f t="shared" si="6"/>
        <v>100</v>
      </c>
      <c r="X148" s="3" t="str">
        <f t="shared" si="7"/>
        <v>fullaccesss</v>
      </c>
      <c r="Y148" s="3" t="str">
        <f t="shared" si="8"/>
        <v>fullaccesss</v>
      </c>
      <c r="Z148" s="1" t="str">
        <f t="shared" si="9"/>
        <v>fullaccesss</v>
      </c>
      <c r="AA148" s="3">
        <f t="shared" si="10"/>
        <v>0</v>
      </c>
    </row>
    <row r="149" spans="1:27">
      <c r="A149" s="1" t="s">
        <v>109</v>
      </c>
      <c r="B149" s="1">
        <v>2020</v>
      </c>
      <c r="C149" s="1">
        <v>5540.7177730000003</v>
      </c>
      <c r="D149" s="1">
        <v>85.517005920000003</v>
      </c>
      <c r="E149" s="1">
        <v>100.0000033</v>
      </c>
      <c r="F149" s="1">
        <v>0</v>
      </c>
      <c r="G149" s="1">
        <v>0</v>
      </c>
      <c r="H149" s="1">
        <v>0</v>
      </c>
      <c r="I149" s="1">
        <v>100</v>
      </c>
      <c r="J149" s="1">
        <v>0</v>
      </c>
      <c r="K149" s="1">
        <v>0</v>
      </c>
      <c r="L149" s="1">
        <v>0</v>
      </c>
      <c r="M149" s="1">
        <v>100</v>
      </c>
      <c r="N149" s="1">
        <v>0</v>
      </c>
      <c r="O149" s="1">
        <v>0</v>
      </c>
      <c r="P149" s="1">
        <v>0</v>
      </c>
      <c r="Q149" s="2" t="str">
        <f t="shared" si="0"/>
        <v/>
      </c>
      <c r="R149" s="1" t="str">
        <f t="shared" si="1"/>
        <v/>
      </c>
      <c r="S149" s="1" t="str">
        <f t="shared" si="2"/>
        <v/>
      </c>
      <c r="T149" s="1" t="str">
        <f t="shared" si="3"/>
        <v/>
      </c>
      <c r="U149" s="1">
        <f t="shared" si="4"/>
        <v>100</v>
      </c>
      <c r="V149" s="3">
        <f t="shared" si="5"/>
        <v>100</v>
      </c>
      <c r="W149" s="3">
        <f t="shared" si="6"/>
        <v>100</v>
      </c>
      <c r="X149" s="3" t="str">
        <f t="shared" si="7"/>
        <v/>
      </c>
      <c r="Y149" s="3" t="str">
        <f t="shared" si="8"/>
        <v/>
      </c>
      <c r="Z149" s="1" t="str">
        <f t="shared" si="9"/>
        <v/>
      </c>
      <c r="AA149" s="3" t="str">
        <f t="shared" si="10"/>
        <v/>
      </c>
    </row>
    <row r="150" spans="1:27">
      <c r="A150" s="1" t="s">
        <v>110</v>
      </c>
      <c r="B150" s="1">
        <v>2015</v>
      </c>
      <c r="C150" s="1">
        <v>64453.195310000003</v>
      </c>
      <c r="D150" s="1">
        <v>79.65499878</v>
      </c>
      <c r="E150" s="1">
        <v>100</v>
      </c>
      <c r="F150" s="1">
        <v>0</v>
      </c>
      <c r="G150" s="1">
        <v>0</v>
      </c>
      <c r="H150" s="1">
        <v>0</v>
      </c>
      <c r="I150" s="1">
        <v>100</v>
      </c>
      <c r="J150" s="1">
        <v>0</v>
      </c>
      <c r="K150" s="1">
        <v>0</v>
      </c>
      <c r="L150" s="1">
        <v>0</v>
      </c>
      <c r="M150" s="1">
        <v>100</v>
      </c>
      <c r="N150" s="1">
        <v>0</v>
      </c>
      <c r="O150" s="1">
        <v>0</v>
      </c>
      <c r="P150" s="1">
        <v>0</v>
      </c>
      <c r="Q150" s="2">
        <f t="shared" si="0"/>
        <v>5</v>
      </c>
      <c r="R150" s="1">
        <f t="shared" si="1"/>
        <v>-2.999999992425728E-7</v>
      </c>
      <c r="S150" s="1">
        <f t="shared" si="2"/>
        <v>0</v>
      </c>
      <c r="T150" s="1">
        <f t="shared" si="3"/>
        <v>0</v>
      </c>
      <c r="U150" s="1">
        <f t="shared" si="4"/>
        <v>100</v>
      </c>
      <c r="V150" s="3">
        <f t="shared" si="5"/>
        <v>100</v>
      </c>
      <c r="W150" s="3">
        <f t="shared" si="6"/>
        <v>100</v>
      </c>
      <c r="X150" s="3" t="str">
        <f t="shared" si="7"/>
        <v>fullaccesss</v>
      </c>
      <c r="Y150" s="3" t="str">
        <f t="shared" si="8"/>
        <v>fullaccesss</v>
      </c>
      <c r="Z150" s="1" t="str">
        <f t="shared" si="9"/>
        <v>fullaccesss</v>
      </c>
      <c r="AA150" s="3">
        <f t="shared" si="10"/>
        <v>0</v>
      </c>
    </row>
    <row r="151" spans="1:27">
      <c r="A151" s="1" t="s">
        <v>110</v>
      </c>
      <c r="B151" s="1">
        <v>2020</v>
      </c>
      <c r="C151" s="1">
        <v>65273.511720000002</v>
      </c>
      <c r="D151" s="1">
        <v>80.974998470000003</v>
      </c>
      <c r="E151" s="1">
        <v>99.999998500000004</v>
      </c>
      <c r="F151" s="1">
        <v>0</v>
      </c>
      <c r="G151" s="1">
        <v>1.49610841E-6</v>
      </c>
      <c r="H151" s="1">
        <v>0</v>
      </c>
      <c r="I151" s="1">
        <v>100</v>
      </c>
      <c r="J151" s="1">
        <v>0</v>
      </c>
      <c r="K151" s="1">
        <v>0</v>
      </c>
      <c r="L151" s="1">
        <v>0</v>
      </c>
      <c r="M151" s="1">
        <v>100</v>
      </c>
      <c r="N151" s="1">
        <v>0</v>
      </c>
      <c r="O151" s="1">
        <v>0</v>
      </c>
      <c r="P151" s="1">
        <v>0</v>
      </c>
      <c r="Q151" s="2" t="str">
        <f t="shared" si="0"/>
        <v/>
      </c>
      <c r="R151" s="1" t="str">
        <f t="shared" si="1"/>
        <v/>
      </c>
      <c r="S151" s="1" t="str">
        <f t="shared" si="2"/>
        <v/>
      </c>
      <c r="T151" s="1" t="str">
        <f t="shared" si="3"/>
        <v/>
      </c>
      <c r="U151" s="1">
        <f t="shared" si="4"/>
        <v>100</v>
      </c>
      <c r="V151" s="3">
        <f t="shared" si="5"/>
        <v>100</v>
      </c>
      <c r="W151" s="3">
        <f t="shared" si="6"/>
        <v>100</v>
      </c>
      <c r="X151" s="3" t="str">
        <f t="shared" si="7"/>
        <v/>
      </c>
      <c r="Y151" s="3" t="str">
        <f t="shared" si="8"/>
        <v/>
      </c>
      <c r="Z151" s="1" t="str">
        <f t="shared" si="9"/>
        <v/>
      </c>
      <c r="AA151" s="3" t="str">
        <f t="shared" si="10"/>
        <v/>
      </c>
    </row>
    <row r="152" spans="1:27">
      <c r="A152" s="1" t="s">
        <v>111</v>
      </c>
      <c r="B152" s="1">
        <v>2015</v>
      </c>
      <c r="C152" s="1">
        <v>261.00799560000002</v>
      </c>
      <c r="D152" s="1">
        <v>84.482002260000002</v>
      </c>
      <c r="E152" s="1">
        <v>93.562056569999996</v>
      </c>
      <c r="F152" s="1">
        <v>0</v>
      </c>
      <c r="G152" s="1">
        <v>6.4379434250000003</v>
      </c>
      <c r="H152" s="1">
        <v>0</v>
      </c>
      <c r="I152" s="1" t="s">
        <v>272</v>
      </c>
      <c r="J152" s="1" t="s">
        <v>272</v>
      </c>
      <c r="K152" s="1" t="s">
        <v>272</v>
      </c>
      <c r="L152" s="1" t="s">
        <v>272</v>
      </c>
      <c r="M152" s="1" t="s">
        <v>272</v>
      </c>
      <c r="N152" s="1" t="s">
        <v>272</v>
      </c>
      <c r="O152" s="1" t="s">
        <v>272</v>
      </c>
      <c r="P152" s="1" t="s">
        <v>272</v>
      </c>
      <c r="Q152" s="2">
        <f t="shared" si="0"/>
        <v>5</v>
      </c>
      <c r="R152" s="1">
        <f t="shared" si="1"/>
        <v>4.4031956000000608E-2</v>
      </c>
      <c r="S152" s="1" t="str">
        <f t="shared" si="2"/>
        <v>null</v>
      </c>
      <c r="T152" s="1" t="str">
        <f t="shared" si="3"/>
        <v>null</v>
      </c>
      <c r="U152" s="1">
        <f t="shared" si="4"/>
        <v>94</v>
      </c>
      <c r="V152" s="3" t="str">
        <f t="shared" si="5"/>
        <v>null</v>
      </c>
      <c r="W152" s="3" t="str">
        <f t="shared" si="6"/>
        <v>null</v>
      </c>
      <c r="X152" s="3" t="str">
        <f t="shared" si="7"/>
        <v/>
      </c>
      <c r="Y152" s="3" t="str">
        <f t="shared" si="8"/>
        <v/>
      </c>
      <c r="Z152" s="1" t="str">
        <f t="shared" si="9"/>
        <v/>
      </c>
      <c r="AA152" s="3" t="str">
        <f t="shared" si="10"/>
        <v>null</v>
      </c>
    </row>
    <row r="153" spans="1:27">
      <c r="A153" s="1" t="s">
        <v>111</v>
      </c>
      <c r="B153" s="1">
        <v>2020</v>
      </c>
      <c r="C153" s="1">
        <v>298.68200680000001</v>
      </c>
      <c r="D153" s="1">
        <v>85.819999690000003</v>
      </c>
      <c r="E153" s="1">
        <v>93.782216349999999</v>
      </c>
      <c r="F153" s="1">
        <v>0</v>
      </c>
      <c r="G153" s="1">
        <v>6.2177836519999996</v>
      </c>
      <c r="H153" s="1">
        <v>0</v>
      </c>
      <c r="I153" s="1" t="s">
        <v>272</v>
      </c>
      <c r="J153" s="1" t="s">
        <v>272</v>
      </c>
      <c r="K153" s="1" t="s">
        <v>272</v>
      </c>
      <c r="L153" s="1" t="s">
        <v>272</v>
      </c>
      <c r="M153" s="1" t="s">
        <v>272</v>
      </c>
      <c r="N153" s="1" t="s">
        <v>272</v>
      </c>
      <c r="O153" s="1" t="s">
        <v>272</v>
      </c>
      <c r="P153" s="1" t="s">
        <v>272</v>
      </c>
      <c r="Q153" s="2" t="str">
        <f t="shared" si="0"/>
        <v/>
      </c>
      <c r="R153" s="1" t="str">
        <f t="shared" si="1"/>
        <v/>
      </c>
      <c r="S153" s="1" t="str">
        <f t="shared" si="2"/>
        <v/>
      </c>
      <c r="T153" s="1" t="str">
        <f t="shared" si="3"/>
        <v/>
      </c>
      <c r="U153" s="1">
        <f t="shared" si="4"/>
        <v>94</v>
      </c>
      <c r="V153" s="3" t="str">
        <f t="shared" si="5"/>
        <v>null</v>
      </c>
      <c r="W153" s="3" t="str">
        <f t="shared" si="6"/>
        <v>null</v>
      </c>
      <c r="X153" s="3" t="str">
        <f t="shared" si="7"/>
        <v/>
      </c>
      <c r="Y153" s="3" t="str">
        <f t="shared" si="8"/>
        <v/>
      </c>
      <c r="Z153" s="1" t="str">
        <f t="shared" si="9"/>
        <v/>
      </c>
      <c r="AA153" s="3" t="str">
        <f t="shared" si="10"/>
        <v/>
      </c>
    </row>
    <row r="154" spans="1:27">
      <c r="A154" s="1" t="s">
        <v>112</v>
      </c>
      <c r="B154" s="1">
        <v>2015</v>
      </c>
      <c r="C154" s="1">
        <v>273.118988</v>
      </c>
      <c r="D154" s="1">
        <v>61.683002469999998</v>
      </c>
      <c r="E154" s="1">
        <v>100</v>
      </c>
      <c r="F154" s="1">
        <v>0</v>
      </c>
      <c r="G154" s="1">
        <v>0</v>
      </c>
      <c r="H154" s="1">
        <v>0</v>
      </c>
      <c r="I154" s="1" t="s">
        <v>272</v>
      </c>
      <c r="J154" s="1" t="s">
        <v>272</v>
      </c>
      <c r="K154" s="1" t="s">
        <v>272</v>
      </c>
      <c r="L154" s="1" t="s">
        <v>272</v>
      </c>
      <c r="M154" s="1" t="s">
        <v>272</v>
      </c>
      <c r="N154" s="1" t="s">
        <v>272</v>
      </c>
      <c r="O154" s="1" t="s">
        <v>272</v>
      </c>
      <c r="P154" s="1" t="s">
        <v>272</v>
      </c>
      <c r="Q154" s="2">
        <f t="shared" si="0"/>
        <v>5</v>
      </c>
      <c r="R154" s="1">
        <f t="shared" si="1"/>
        <v>0</v>
      </c>
      <c r="S154" s="1" t="str">
        <f t="shared" si="2"/>
        <v>null</v>
      </c>
      <c r="T154" s="1" t="str">
        <f t="shared" si="3"/>
        <v>null</v>
      </c>
      <c r="U154" s="1">
        <f t="shared" si="4"/>
        <v>100</v>
      </c>
      <c r="V154" s="3" t="str">
        <f t="shared" si="5"/>
        <v>null</v>
      </c>
      <c r="W154" s="3" t="str">
        <f t="shared" si="6"/>
        <v>null</v>
      </c>
      <c r="X154" s="3" t="str">
        <f t="shared" si="7"/>
        <v>fullaccesss</v>
      </c>
      <c r="Y154" s="3" t="str">
        <f t="shared" si="8"/>
        <v/>
      </c>
      <c r="Z154" s="1" t="str">
        <f t="shared" si="9"/>
        <v/>
      </c>
      <c r="AA154" s="3" t="str">
        <f t="shared" si="10"/>
        <v>null</v>
      </c>
    </row>
    <row r="155" spans="1:27">
      <c r="A155" s="1" t="s">
        <v>112</v>
      </c>
      <c r="B155" s="1">
        <v>2020</v>
      </c>
      <c r="C155" s="1">
        <v>280.90399170000001</v>
      </c>
      <c r="D155" s="1">
        <v>61.975002289999999</v>
      </c>
      <c r="E155" s="1">
        <v>100</v>
      </c>
      <c r="F155" s="1">
        <v>0</v>
      </c>
      <c r="G155" s="1">
        <v>0</v>
      </c>
      <c r="H155" s="1">
        <v>0</v>
      </c>
      <c r="I155" s="1" t="s">
        <v>272</v>
      </c>
      <c r="J155" s="1" t="s">
        <v>272</v>
      </c>
      <c r="K155" s="1" t="s">
        <v>272</v>
      </c>
      <c r="L155" s="1" t="s">
        <v>272</v>
      </c>
      <c r="M155" s="1" t="s">
        <v>272</v>
      </c>
      <c r="N155" s="1" t="s">
        <v>272</v>
      </c>
      <c r="O155" s="1" t="s">
        <v>272</v>
      </c>
      <c r="P155" s="1" t="s">
        <v>272</v>
      </c>
      <c r="Q155" s="2" t="str">
        <f t="shared" si="0"/>
        <v/>
      </c>
      <c r="R155" s="1" t="str">
        <f t="shared" si="1"/>
        <v/>
      </c>
      <c r="S155" s="1" t="str">
        <f t="shared" si="2"/>
        <v/>
      </c>
      <c r="T155" s="1" t="str">
        <f t="shared" si="3"/>
        <v/>
      </c>
      <c r="U155" s="1">
        <f t="shared" si="4"/>
        <v>100</v>
      </c>
      <c r="V155" s="3" t="str">
        <f t="shared" si="5"/>
        <v>null</v>
      </c>
      <c r="W155" s="3" t="str">
        <f t="shared" si="6"/>
        <v>null</v>
      </c>
      <c r="X155" s="3" t="str">
        <f t="shared" si="7"/>
        <v/>
      </c>
      <c r="Y155" s="3" t="str">
        <f t="shared" si="8"/>
        <v/>
      </c>
      <c r="Z155" s="1" t="str">
        <f t="shared" si="9"/>
        <v/>
      </c>
      <c r="AA155" s="3" t="str">
        <f t="shared" si="10"/>
        <v/>
      </c>
    </row>
    <row r="156" spans="1:27">
      <c r="A156" s="1" t="s">
        <v>113</v>
      </c>
      <c r="B156" s="1">
        <v>2015</v>
      </c>
      <c r="C156" s="1">
        <v>1947.6899410000001</v>
      </c>
      <c r="D156" s="1">
        <v>88.117996219999995</v>
      </c>
      <c r="E156" s="1">
        <v>83.858486549999995</v>
      </c>
      <c r="F156" s="1">
        <v>7.7224304339999996</v>
      </c>
      <c r="G156" s="1">
        <v>4.9241821100000003</v>
      </c>
      <c r="H156" s="1">
        <v>3.4949009009999998</v>
      </c>
      <c r="I156" s="1">
        <v>43.390033160000002</v>
      </c>
      <c r="J156" s="1">
        <v>10.192647770000001</v>
      </c>
      <c r="K156" s="1">
        <v>21.81093263</v>
      </c>
      <c r="L156" s="1">
        <v>24.606386440000001</v>
      </c>
      <c r="M156" s="1">
        <v>89.315331869999994</v>
      </c>
      <c r="N156" s="1">
        <v>7.3893416170000004</v>
      </c>
      <c r="O156" s="1">
        <v>2.6471391450000001</v>
      </c>
      <c r="P156" s="1">
        <v>0.6481873668</v>
      </c>
      <c r="Q156" s="2">
        <f t="shared" si="0"/>
        <v>5</v>
      </c>
      <c r="R156" s="1">
        <f t="shared" si="1"/>
        <v>0.29668881000000058</v>
      </c>
      <c r="S156" s="1">
        <f t="shared" si="2"/>
        <v>0.27117116999999952</v>
      </c>
      <c r="T156" s="1">
        <f t="shared" si="3"/>
        <v>9.824145999999985E-2</v>
      </c>
      <c r="U156" s="1">
        <f t="shared" si="4"/>
        <v>84</v>
      </c>
      <c r="V156" s="3">
        <f t="shared" si="5"/>
        <v>43</v>
      </c>
      <c r="W156" s="3">
        <f t="shared" si="6"/>
        <v>89</v>
      </c>
      <c r="X156" s="3" t="str">
        <f t="shared" si="7"/>
        <v/>
      </c>
      <c r="Y156" s="3" t="str">
        <f t="shared" si="8"/>
        <v/>
      </c>
      <c r="Z156" s="1" t="str">
        <f t="shared" si="9"/>
        <v/>
      </c>
      <c r="AA156" s="3">
        <f t="shared" si="10"/>
        <v>0.17292970999999968</v>
      </c>
    </row>
    <row r="157" spans="1:27">
      <c r="A157" s="1" t="s">
        <v>113</v>
      </c>
      <c r="B157" s="1">
        <v>2020</v>
      </c>
      <c r="C157" s="1">
        <v>2225.7280270000001</v>
      </c>
      <c r="D157" s="1">
        <v>90.092002870000002</v>
      </c>
      <c r="E157" s="1">
        <v>85.341930599999998</v>
      </c>
      <c r="F157" s="1">
        <v>7.7352631030000003</v>
      </c>
      <c r="G157" s="1">
        <v>6.9228083570000001</v>
      </c>
      <c r="H157" s="1" t="s">
        <v>272</v>
      </c>
      <c r="I157" s="1">
        <v>44.745889009999999</v>
      </c>
      <c r="J157" s="1">
        <v>10.511148589999999</v>
      </c>
      <c r="K157" s="1">
        <v>44.742962400000003</v>
      </c>
      <c r="L157" s="1" t="s">
        <v>272</v>
      </c>
      <c r="M157" s="1">
        <v>89.806539169999994</v>
      </c>
      <c r="N157" s="1">
        <v>7.4299807600000003</v>
      </c>
      <c r="O157" s="1">
        <v>2.7634800720000001</v>
      </c>
      <c r="P157" s="1" t="s">
        <v>272</v>
      </c>
      <c r="Q157" s="2" t="str">
        <f t="shared" si="0"/>
        <v/>
      </c>
      <c r="R157" s="1" t="str">
        <f t="shared" si="1"/>
        <v/>
      </c>
      <c r="S157" s="1" t="str">
        <f t="shared" si="2"/>
        <v/>
      </c>
      <c r="T157" s="1" t="str">
        <f t="shared" si="3"/>
        <v/>
      </c>
      <c r="U157" s="1">
        <f t="shared" si="4"/>
        <v>85</v>
      </c>
      <c r="V157" s="3">
        <f t="shared" si="5"/>
        <v>45</v>
      </c>
      <c r="W157" s="3">
        <f t="shared" si="6"/>
        <v>90</v>
      </c>
      <c r="X157" s="3" t="str">
        <f t="shared" si="7"/>
        <v/>
      </c>
      <c r="Y157" s="3" t="str">
        <f t="shared" si="8"/>
        <v/>
      </c>
      <c r="Z157" s="1" t="str">
        <f t="shared" si="9"/>
        <v/>
      </c>
      <c r="AA157" s="3" t="str">
        <f t="shared" si="10"/>
        <v/>
      </c>
    </row>
    <row r="158" spans="1:27">
      <c r="A158" s="1" t="s">
        <v>114</v>
      </c>
      <c r="B158" s="1">
        <v>2015</v>
      </c>
      <c r="C158" s="1">
        <v>2085.860107</v>
      </c>
      <c r="D158" s="1">
        <v>59.228000639999998</v>
      </c>
      <c r="E158" s="1">
        <v>79.2101665</v>
      </c>
      <c r="F158" s="1">
        <v>9.0733700059999993</v>
      </c>
      <c r="G158" s="1">
        <v>11.624014620000001</v>
      </c>
      <c r="H158" s="1">
        <v>9.2448870380000006E-2</v>
      </c>
      <c r="I158" s="1">
        <v>68.254892569999996</v>
      </c>
      <c r="J158" s="1">
        <v>15.340084539999999</v>
      </c>
      <c r="K158" s="1">
        <v>16.322389959999999</v>
      </c>
      <c r="L158" s="1">
        <v>8.263292471E-2</v>
      </c>
      <c r="M158" s="1">
        <v>86.751671259999995</v>
      </c>
      <c r="N158" s="1">
        <v>4.7594215670000004</v>
      </c>
      <c r="O158" s="1">
        <v>8.3897011020000001</v>
      </c>
      <c r="P158" s="1">
        <v>9.9206071500000007E-2</v>
      </c>
      <c r="Q158" s="2">
        <f t="shared" si="0"/>
        <v>5</v>
      </c>
      <c r="R158" s="1">
        <f t="shared" si="1"/>
        <v>0.34604812800000107</v>
      </c>
      <c r="S158" s="1">
        <f t="shared" si="2"/>
        <v>0.18672612800000082</v>
      </c>
      <c r="T158" s="1">
        <f t="shared" si="3"/>
        <v>0.24304660200000114</v>
      </c>
      <c r="U158" s="1">
        <f t="shared" si="4"/>
        <v>79</v>
      </c>
      <c r="V158" s="3">
        <f t="shared" si="5"/>
        <v>68</v>
      </c>
      <c r="W158" s="3">
        <f t="shared" si="6"/>
        <v>87</v>
      </c>
      <c r="X158" s="3" t="str">
        <f t="shared" si="7"/>
        <v/>
      </c>
      <c r="Y158" s="3" t="str">
        <f t="shared" si="8"/>
        <v/>
      </c>
      <c r="Z158" s="1" t="str">
        <f t="shared" si="9"/>
        <v/>
      </c>
      <c r="AA158" s="3">
        <f t="shared" si="10"/>
        <v>-5.6320474000000315E-2</v>
      </c>
    </row>
    <row r="159" spans="1:27">
      <c r="A159" s="1" t="s">
        <v>114</v>
      </c>
      <c r="B159" s="1">
        <v>2020</v>
      </c>
      <c r="C159" s="1">
        <v>2416.6640630000002</v>
      </c>
      <c r="D159" s="1">
        <v>62.581996920000002</v>
      </c>
      <c r="E159" s="1">
        <v>80.940407140000005</v>
      </c>
      <c r="F159" s="1">
        <v>8.5973913910000004</v>
      </c>
      <c r="G159" s="1">
        <v>10.352852070000001</v>
      </c>
      <c r="H159" s="1">
        <v>0.10934939270000001</v>
      </c>
      <c r="I159" s="1">
        <v>69.18852321</v>
      </c>
      <c r="J159" s="1">
        <v>16.497832389999999</v>
      </c>
      <c r="K159" s="1">
        <v>14.24376547</v>
      </c>
      <c r="L159" s="1">
        <v>6.9878936799999999E-2</v>
      </c>
      <c r="M159" s="1">
        <v>87.966904270000001</v>
      </c>
      <c r="N159" s="1">
        <v>3.8736895219999998</v>
      </c>
      <c r="O159" s="1">
        <v>8.0264572780000005</v>
      </c>
      <c r="P159" s="1">
        <v>0.13294892529999999</v>
      </c>
      <c r="Q159" s="2" t="str">
        <f t="shared" si="0"/>
        <v/>
      </c>
      <c r="R159" s="1" t="str">
        <f t="shared" si="1"/>
        <v/>
      </c>
      <c r="S159" s="1" t="str">
        <f t="shared" si="2"/>
        <v/>
      </c>
      <c r="T159" s="1" t="str">
        <f t="shared" si="3"/>
        <v/>
      </c>
      <c r="U159" s="1">
        <f t="shared" si="4"/>
        <v>81</v>
      </c>
      <c r="V159" s="3">
        <f t="shared" si="5"/>
        <v>69</v>
      </c>
      <c r="W159" s="3">
        <f t="shared" si="6"/>
        <v>88</v>
      </c>
      <c r="X159" s="3" t="str">
        <f t="shared" si="7"/>
        <v/>
      </c>
      <c r="Y159" s="3" t="str">
        <f t="shared" si="8"/>
        <v/>
      </c>
      <c r="Z159" s="1" t="str">
        <f t="shared" si="9"/>
        <v/>
      </c>
      <c r="AA159" s="3" t="str">
        <f t="shared" si="10"/>
        <v/>
      </c>
    </row>
    <row r="160" spans="1:27">
      <c r="A160" s="1" t="s">
        <v>115</v>
      </c>
      <c r="B160" s="1">
        <v>2015</v>
      </c>
      <c r="C160" s="1">
        <v>4024.179932</v>
      </c>
      <c r="D160" s="1">
        <v>57.447998050000002</v>
      </c>
      <c r="E160" s="1">
        <v>95.754729510000004</v>
      </c>
      <c r="F160" s="1">
        <v>0.95196455830000004</v>
      </c>
      <c r="G160" s="1">
        <v>3.2398949309999998</v>
      </c>
      <c r="H160" s="1">
        <v>5.3410995400000001E-2</v>
      </c>
      <c r="I160" s="1">
        <v>91.295150590000006</v>
      </c>
      <c r="J160" s="1">
        <v>1.893756292</v>
      </c>
      <c r="K160" s="1">
        <v>6.7002163880000003</v>
      </c>
      <c r="L160" s="1">
        <v>0.1108767321</v>
      </c>
      <c r="M160" s="1">
        <v>99.057965449999998</v>
      </c>
      <c r="N160" s="1">
        <v>0.25437508559999999</v>
      </c>
      <c r="O160" s="1">
        <v>0.67681360540000002</v>
      </c>
      <c r="P160" s="1">
        <v>1.084585945E-2</v>
      </c>
      <c r="Q160" s="2">
        <f t="shared" si="0"/>
        <v>5</v>
      </c>
      <c r="R160" s="1">
        <f t="shared" si="1"/>
        <v>0.31868203800000006</v>
      </c>
      <c r="S160" s="1">
        <f t="shared" si="2"/>
        <v>0.59534672199999927</v>
      </c>
      <c r="T160" s="1">
        <f t="shared" si="3"/>
        <v>7.7637698000000907E-2</v>
      </c>
      <c r="U160" s="1">
        <f t="shared" si="4"/>
        <v>96</v>
      </c>
      <c r="V160" s="3">
        <f t="shared" si="5"/>
        <v>91</v>
      </c>
      <c r="W160" s="3">
        <f t="shared" si="6"/>
        <v>99</v>
      </c>
      <c r="X160" s="3" t="str">
        <f t="shared" si="7"/>
        <v/>
      </c>
      <c r="Y160" s="3" t="str">
        <f t="shared" si="8"/>
        <v/>
      </c>
      <c r="Z160" s="1" t="str">
        <f t="shared" si="9"/>
        <v/>
      </c>
      <c r="AA160" s="3">
        <f t="shared" si="10"/>
        <v>0.51770902399999841</v>
      </c>
    </row>
    <row r="161" spans="1:27">
      <c r="A161" s="1" t="s">
        <v>115</v>
      </c>
      <c r="B161" s="1">
        <v>2020</v>
      </c>
      <c r="C161" s="1">
        <v>3989.1750489999999</v>
      </c>
      <c r="D161" s="1">
        <v>59.452995299999998</v>
      </c>
      <c r="E161" s="1">
        <v>97.348139700000004</v>
      </c>
      <c r="F161" s="1">
        <v>0</v>
      </c>
      <c r="G161" s="1">
        <v>2.6327613790000002</v>
      </c>
      <c r="H161" s="1">
        <v>1.9098923269999998E-2</v>
      </c>
      <c r="I161" s="1">
        <v>94.271884200000002</v>
      </c>
      <c r="J161" s="1">
        <v>0</v>
      </c>
      <c r="K161" s="1">
        <v>5.7039236180000001</v>
      </c>
      <c r="L161" s="1">
        <v>2.4192183450000002E-2</v>
      </c>
      <c r="M161" s="1">
        <v>99.446153940000002</v>
      </c>
      <c r="N161" s="1">
        <v>0</v>
      </c>
      <c r="O161" s="1">
        <v>0.53822074200000003</v>
      </c>
      <c r="P161" s="1">
        <v>1.5625315859999999E-2</v>
      </c>
      <c r="Q161" s="2" t="str">
        <f t="shared" si="0"/>
        <v/>
      </c>
      <c r="R161" s="1" t="str">
        <f t="shared" si="1"/>
        <v/>
      </c>
      <c r="S161" s="1" t="str">
        <f t="shared" si="2"/>
        <v/>
      </c>
      <c r="T161" s="1" t="str">
        <f t="shared" si="3"/>
        <v/>
      </c>
      <c r="U161" s="1">
        <f t="shared" si="4"/>
        <v>97</v>
      </c>
      <c r="V161" s="3">
        <f t="shared" si="5"/>
        <v>94</v>
      </c>
      <c r="W161" s="3">
        <f t="shared" si="6"/>
        <v>99</v>
      </c>
      <c r="X161" s="3" t="str">
        <f t="shared" si="7"/>
        <v/>
      </c>
      <c r="Y161" s="3" t="str">
        <f t="shared" si="8"/>
        <v/>
      </c>
      <c r="Z161" s="1" t="str">
        <f t="shared" si="9"/>
        <v/>
      </c>
      <c r="AA161" s="3" t="str">
        <f t="shared" si="10"/>
        <v/>
      </c>
    </row>
    <row r="162" spans="1:27">
      <c r="A162" s="1" t="s">
        <v>116</v>
      </c>
      <c r="B162" s="1">
        <v>2015</v>
      </c>
      <c r="C162" s="1">
        <v>81787.414059999996</v>
      </c>
      <c r="D162" s="1">
        <v>77.200004579999998</v>
      </c>
      <c r="E162" s="1">
        <v>100.0000024</v>
      </c>
      <c r="F162" s="1">
        <v>0</v>
      </c>
      <c r="G162" s="1">
        <v>0</v>
      </c>
      <c r="H162" s="1">
        <v>0</v>
      </c>
      <c r="I162" s="1">
        <v>100</v>
      </c>
      <c r="J162" s="1">
        <v>0</v>
      </c>
      <c r="K162" s="1">
        <v>0</v>
      </c>
      <c r="L162" s="1">
        <v>0</v>
      </c>
      <c r="M162" s="1">
        <v>100</v>
      </c>
      <c r="N162" s="1">
        <v>0</v>
      </c>
      <c r="O162" s="1">
        <v>0</v>
      </c>
      <c r="P162" s="1">
        <v>0</v>
      </c>
      <c r="Q162" s="2">
        <f t="shared" si="0"/>
        <v>5</v>
      </c>
      <c r="R162" s="1">
        <f t="shared" si="1"/>
        <v>-1.9999998812636478E-8</v>
      </c>
      <c r="S162" s="1">
        <f t="shared" si="2"/>
        <v>0</v>
      </c>
      <c r="T162" s="1">
        <f t="shared" si="3"/>
        <v>0</v>
      </c>
      <c r="U162" s="1">
        <f t="shared" si="4"/>
        <v>100</v>
      </c>
      <c r="V162" s="3">
        <f t="shared" si="5"/>
        <v>100</v>
      </c>
      <c r="W162" s="3">
        <f t="shared" si="6"/>
        <v>100</v>
      </c>
      <c r="X162" s="3" t="str">
        <f t="shared" si="7"/>
        <v>fullaccesss</v>
      </c>
      <c r="Y162" s="3" t="str">
        <f t="shared" si="8"/>
        <v>fullaccesss</v>
      </c>
      <c r="Z162" s="1" t="str">
        <f t="shared" si="9"/>
        <v>fullaccesss</v>
      </c>
      <c r="AA162" s="3">
        <f t="shared" si="10"/>
        <v>0</v>
      </c>
    </row>
    <row r="163" spans="1:27">
      <c r="A163" s="1" t="s">
        <v>116</v>
      </c>
      <c r="B163" s="1">
        <v>2020</v>
      </c>
      <c r="C163" s="1">
        <v>83783.945309999996</v>
      </c>
      <c r="D163" s="1">
        <v>77.453002929999997</v>
      </c>
      <c r="E163" s="1">
        <v>100.00000230000001</v>
      </c>
      <c r="F163" s="1">
        <v>0</v>
      </c>
      <c r="G163" s="1">
        <v>0</v>
      </c>
      <c r="H163" s="1">
        <v>0</v>
      </c>
      <c r="I163" s="1">
        <v>100</v>
      </c>
      <c r="J163" s="1">
        <v>0</v>
      </c>
      <c r="K163" s="1">
        <v>0</v>
      </c>
      <c r="L163" s="1">
        <v>0</v>
      </c>
      <c r="M163" s="1">
        <v>100</v>
      </c>
      <c r="N163" s="1">
        <v>0</v>
      </c>
      <c r="O163" s="1">
        <v>0</v>
      </c>
      <c r="P163" s="1">
        <v>0</v>
      </c>
      <c r="Q163" s="2" t="str">
        <f t="shared" si="0"/>
        <v/>
      </c>
      <c r="R163" s="1" t="str">
        <f t="shared" si="1"/>
        <v/>
      </c>
      <c r="S163" s="1" t="str">
        <f t="shared" si="2"/>
        <v/>
      </c>
      <c r="T163" s="1" t="str">
        <f t="shared" si="3"/>
        <v/>
      </c>
      <c r="U163" s="1">
        <f t="shared" si="4"/>
        <v>100</v>
      </c>
      <c r="V163" s="3">
        <f t="shared" si="5"/>
        <v>100</v>
      </c>
      <c r="W163" s="3">
        <f t="shared" si="6"/>
        <v>100</v>
      </c>
      <c r="X163" s="3" t="str">
        <f t="shared" si="7"/>
        <v/>
      </c>
      <c r="Y163" s="3" t="str">
        <f t="shared" si="8"/>
        <v/>
      </c>
      <c r="Z163" s="1" t="str">
        <f t="shared" si="9"/>
        <v/>
      </c>
      <c r="AA163" s="3" t="str">
        <f t="shared" si="10"/>
        <v/>
      </c>
    </row>
    <row r="164" spans="1:27">
      <c r="A164" s="1" t="s">
        <v>117</v>
      </c>
      <c r="B164" s="1">
        <v>2015</v>
      </c>
      <c r="C164" s="1">
        <v>27849.203130000002</v>
      </c>
      <c r="D164" s="1">
        <v>54.085998539999999</v>
      </c>
      <c r="E164" s="1">
        <v>80.157961229999998</v>
      </c>
      <c r="F164" s="1">
        <v>7.8975991900000002</v>
      </c>
      <c r="G164" s="1">
        <v>4.4266436760000003</v>
      </c>
      <c r="H164" s="1">
        <v>7.5177958990000002</v>
      </c>
      <c r="I164" s="1">
        <v>67.208304769999998</v>
      </c>
      <c r="J164" s="1">
        <v>11.1534648</v>
      </c>
      <c r="K164" s="1">
        <v>6.3352592420000002</v>
      </c>
      <c r="L164" s="1">
        <v>15.302971189999999</v>
      </c>
      <c r="M164" s="1">
        <v>91.151019840000004</v>
      </c>
      <c r="N164" s="1">
        <v>5.133670929</v>
      </c>
      <c r="O164" s="1">
        <v>2.806405888</v>
      </c>
      <c r="P164" s="1">
        <v>0.90890334449999999</v>
      </c>
      <c r="Q164" s="2">
        <f t="shared" si="0"/>
        <v>5</v>
      </c>
      <c r="R164" s="1">
        <f t="shared" si="1"/>
        <v>1.1266070839999998</v>
      </c>
      <c r="S164" s="1">
        <f t="shared" si="2"/>
        <v>0.93688905600000116</v>
      </c>
      <c r="T164" s="1">
        <f t="shared" si="3"/>
        <v>0.99524793599999839</v>
      </c>
      <c r="U164" s="1">
        <f t="shared" si="4"/>
        <v>80</v>
      </c>
      <c r="V164" s="3">
        <f t="shared" si="5"/>
        <v>67</v>
      </c>
      <c r="W164" s="3">
        <f t="shared" si="6"/>
        <v>91</v>
      </c>
      <c r="X164" s="3" t="str">
        <f t="shared" si="7"/>
        <v/>
      </c>
      <c r="Y164" s="3" t="str">
        <f t="shared" si="8"/>
        <v/>
      </c>
      <c r="Z164" s="1" t="str">
        <f t="shared" si="9"/>
        <v/>
      </c>
      <c r="AA164" s="3">
        <f t="shared" si="10"/>
        <v>-5.8358879999997226E-2</v>
      </c>
    </row>
    <row r="165" spans="1:27">
      <c r="A165" s="1" t="s">
        <v>117</v>
      </c>
      <c r="B165" s="1">
        <v>2020</v>
      </c>
      <c r="C165" s="1">
        <v>31072.945309999999</v>
      </c>
      <c r="D165" s="1">
        <v>57.348999020000001</v>
      </c>
      <c r="E165" s="1">
        <v>85.790996649999997</v>
      </c>
      <c r="F165" s="1">
        <v>6.5860621129999997</v>
      </c>
      <c r="G165" s="1">
        <v>2.8122161760000002</v>
      </c>
      <c r="H165" s="1">
        <v>4.8107250580000001</v>
      </c>
      <c r="I165" s="1">
        <v>71.892750050000004</v>
      </c>
      <c r="J165" s="1">
        <v>11.934548270000001</v>
      </c>
      <c r="K165" s="1">
        <v>4.9993564829999997</v>
      </c>
      <c r="L165" s="1">
        <v>11.173345189999999</v>
      </c>
      <c r="M165" s="1">
        <v>96.127259519999996</v>
      </c>
      <c r="N165" s="1">
        <v>2.6083424549999998</v>
      </c>
      <c r="O165" s="1">
        <v>1.1856138030000001</v>
      </c>
      <c r="P165" s="1">
        <v>7.8784218190000005E-2</v>
      </c>
      <c r="Q165" s="2" t="str">
        <f t="shared" si="0"/>
        <v/>
      </c>
      <c r="R165" s="1" t="str">
        <f t="shared" si="1"/>
        <v/>
      </c>
      <c r="S165" s="1" t="str">
        <f t="shared" si="2"/>
        <v/>
      </c>
      <c r="T165" s="1" t="str">
        <f t="shared" si="3"/>
        <v/>
      </c>
      <c r="U165" s="1">
        <f t="shared" si="4"/>
        <v>86</v>
      </c>
      <c r="V165" s="3">
        <f t="shared" si="5"/>
        <v>72</v>
      </c>
      <c r="W165" s="3">
        <f t="shared" si="6"/>
        <v>96</v>
      </c>
      <c r="X165" s="3" t="str">
        <f t="shared" si="7"/>
        <v/>
      </c>
      <c r="Y165" s="3" t="str">
        <f t="shared" si="8"/>
        <v/>
      </c>
      <c r="Z165" s="1" t="str">
        <f t="shared" si="9"/>
        <v/>
      </c>
      <c r="AA165" s="3" t="str">
        <f t="shared" si="10"/>
        <v/>
      </c>
    </row>
    <row r="166" spans="1:27">
      <c r="A166" s="1" t="s">
        <v>118</v>
      </c>
      <c r="B166" s="1">
        <v>2015</v>
      </c>
      <c r="C166" s="1">
        <v>33.742000580000003</v>
      </c>
      <c r="D166" s="1">
        <v>100</v>
      </c>
      <c r="E166" s="1">
        <v>100</v>
      </c>
      <c r="F166" s="1">
        <v>0</v>
      </c>
      <c r="G166" s="1">
        <v>0</v>
      </c>
      <c r="H166" s="1">
        <v>0</v>
      </c>
      <c r="I166" s="1" t="s">
        <v>272</v>
      </c>
      <c r="J166" s="1" t="s">
        <v>272</v>
      </c>
      <c r="K166" s="1" t="s">
        <v>272</v>
      </c>
      <c r="L166" s="1" t="s">
        <v>272</v>
      </c>
      <c r="M166" s="1">
        <v>100</v>
      </c>
      <c r="N166" s="1">
        <v>0</v>
      </c>
      <c r="O166" s="1">
        <v>0</v>
      </c>
      <c r="P166" s="1">
        <v>0</v>
      </c>
      <c r="Q166" s="2">
        <f t="shared" si="0"/>
        <v>5</v>
      </c>
      <c r="R166" s="1">
        <f t="shared" si="1"/>
        <v>0</v>
      </c>
      <c r="S166" s="1" t="str">
        <f t="shared" si="2"/>
        <v>null</v>
      </c>
      <c r="T166" s="1">
        <f t="shared" si="3"/>
        <v>0</v>
      </c>
      <c r="U166" s="1">
        <f t="shared" si="4"/>
        <v>100</v>
      </c>
      <c r="V166" s="3" t="str">
        <f t="shared" si="5"/>
        <v>null</v>
      </c>
      <c r="W166" s="3">
        <f t="shared" si="6"/>
        <v>100</v>
      </c>
      <c r="X166" s="3" t="str">
        <f t="shared" si="7"/>
        <v>fullaccesss</v>
      </c>
      <c r="Y166" s="3" t="str">
        <f t="shared" si="8"/>
        <v/>
      </c>
      <c r="Z166" s="1" t="str">
        <f t="shared" si="9"/>
        <v>fullaccesss</v>
      </c>
      <c r="AA166" s="3" t="str">
        <f t="shared" si="10"/>
        <v>null</v>
      </c>
    </row>
    <row r="167" spans="1:27">
      <c r="A167" s="1" t="s">
        <v>118</v>
      </c>
      <c r="B167" s="1">
        <v>2020</v>
      </c>
      <c r="C167" s="1">
        <v>33.691001890000003</v>
      </c>
      <c r="D167" s="1">
        <v>100</v>
      </c>
      <c r="E167" s="1">
        <v>100</v>
      </c>
      <c r="F167" s="1">
        <v>0</v>
      </c>
      <c r="G167" s="1">
        <v>0</v>
      </c>
      <c r="H167" s="1">
        <v>0</v>
      </c>
      <c r="I167" s="1" t="s">
        <v>272</v>
      </c>
      <c r="J167" s="1" t="s">
        <v>272</v>
      </c>
      <c r="K167" s="1" t="s">
        <v>272</v>
      </c>
      <c r="L167" s="1" t="s">
        <v>272</v>
      </c>
      <c r="M167" s="1">
        <v>100</v>
      </c>
      <c r="N167" s="1">
        <v>0</v>
      </c>
      <c r="O167" s="1">
        <v>0</v>
      </c>
      <c r="P167" s="1">
        <v>0</v>
      </c>
      <c r="Q167" s="2" t="str">
        <f t="shared" si="0"/>
        <v/>
      </c>
      <c r="R167" s="1" t="str">
        <f t="shared" si="1"/>
        <v/>
      </c>
      <c r="S167" s="1" t="str">
        <f t="shared" si="2"/>
        <v/>
      </c>
      <c r="T167" s="1" t="str">
        <f t="shared" si="3"/>
        <v/>
      </c>
      <c r="U167" s="1">
        <f t="shared" si="4"/>
        <v>100</v>
      </c>
      <c r="V167" s="3" t="str">
        <f t="shared" si="5"/>
        <v>null</v>
      </c>
      <c r="W167" s="3">
        <f t="shared" si="6"/>
        <v>100</v>
      </c>
      <c r="X167" s="3" t="str">
        <f t="shared" si="7"/>
        <v/>
      </c>
      <c r="Y167" s="3" t="str">
        <f t="shared" si="8"/>
        <v/>
      </c>
      <c r="Z167" s="1" t="str">
        <f t="shared" si="9"/>
        <v/>
      </c>
      <c r="AA167" s="3" t="str">
        <f t="shared" si="10"/>
        <v/>
      </c>
    </row>
    <row r="168" spans="1:27">
      <c r="A168" s="1" t="s">
        <v>119</v>
      </c>
      <c r="B168" s="1">
        <v>2015</v>
      </c>
      <c r="C168" s="1">
        <v>10659.737300000001</v>
      </c>
      <c r="D168" s="1">
        <v>78.046005249999993</v>
      </c>
      <c r="E168" s="1">
        <v>100.0000046</v>
      </c>
      <c r="F168" s="1">
        <v>0</v>
      </c>
      <c r="G168" s="1">
        <v>0</v>
      </c>
      <c r="H168" s="1">
        <v>0</v>
      </c>
      <c r="I168" s="1">
        <v>100</v>
      </c>
      <c r="J168" s="1">
        <v>0</v>
      </c>
      <c r="K168" s="1">
        <v>0</v>
      </c>
      <c r="L168" s="1">
        <v>0</v>
      </c>
      <c r="M168" s="1">
        <v>100</v>
      </c>
      <c r="N168" s="1">
        <v>0</v>
      </c>
      <c r="O168" s="1">
        <v>0</v>
      </c>
      <c r="P168" s="1">
        <v>0</v>
      </c>
      <c r="Q168" s="2">
        <f t="shared" si="0"/>
        <v>5</v>
      </c>
      <c r="R168" s="1">
        <f t="shared" si="1"/>
        <v>-4.5999999827017745E-7</v>
      </c>
      <c r="S168" s="1">
        <f t="shared" si="2"/>
        <v>0</v>
      </c>
      <c r="T168" s="1">
        <f t="shared" si="3"/>
        <v>0</v>
      </c>
      <c r="U168" s="1">
        <f t="shared" si="4"/>
        <v>100</v>
      </c>
      <c r="V168" s="3">
        <f t="shared" si="5"/>
        <v>100</v>
      </c>
      <c r="W168" s="3">
        <f t="shared" si="6"/>
        <v>100</v>
      </c>
      <c r="X168" s="3" t="str">
        <f t="shared" si="7"/>
        <v>fullaccesss</v>
      </c>
      <c r="Y168" s="3" t="str">
        <f t="shared" si="8"/>
        <v>fullaccesss</v>
      </c>
      <c r="Z168" s="1" t="str">
        <f t="shared" si="9"/>
        <v>fullaccesss</v>
      </c>
      <c r="AA168" s="3">
        <f t="shared" si="10"/>
        <v>0</v>
      </c>
    </row>
    <row r="169" spans="1:27">
      <c r="A169" s="1" t="s">
        <v>119</v>
      </c>
      <c r="B169" s="1">
        <v>2020</v>
      </c>
      <c r="C169" s="1">
        <v>10423.05566</v>
      </c>
      <c r="D169" s="1">
        <v>79.715003969999998</v>
      </c>
      <c r="E169" s="1">
        <v>100.00000230000001</v>
      </c>
      <c r="F169" s="1">
        <v>0</v>
      </c>
      <c r="G169" s="1">
        <v>0</v>
      </c>
      <c r="H169" s="1">
        <v>0</v>
      </c>
      <c r="I169" s="1">
        <v>100</v>
      </c>
      <c r="J169" s="1">
        <v>0</v>
      </c>
      <c r="K169" s="1">
        <v>0</v>
      </c>
      <c r="L169" s="1">
        <v>0</v>
      </c>
      <c r="M169" s="1">
        <v>100</v>
      </c>
      <c r="N169" s="1">
        <v>0</v>
      </c>
      <c r="O169" s="1">
        <v>0</v>
      </c>
      <c r="P169" s="1">
        <v>0</v>
      </c>
      <c r="Q169" s="2" t="str">
        <f t="shared" si="0"/>
        <v/>
      </c>
      <c r="R169" s="1" t="str">
        <f t="shared" si="1"/>
        <v/>
      </c>
      <c r="S169" s="1" t="str">
        <f t="shared" si="2"/>
        <v/>
      </c>
      <c r="T169" s="1" t="str">
        <f t="shared" si="3"/>
        <v/>
      </c>
      <c r="U169" s="1">
        <f t="shared" si="4"/>
        <v>100</v>
      </c>
      <c r="V169" s="3">
        <f t="shared" si="5"/>
        <v>100</v>
      </c>
      <c r="W169" s="3">
        <f t="shared" si="6"/>
        <v>100</v>
      </c>
      <c r="X169" s="3" t="str">
        <f t="shared" si="7"/>
        <v/>
      </c>
      <c r="Y169" s="3" t="str">
        <f t="shared" si="8"/>
        <v/>
      </c>
      <c r="Z169" s="1" t="str">
        <f t="shared" si="9"/>
        <v/>
      </c>
      <c r="AA169" s="3" t="str">
        <f t="shared" si="10"/>
        <v/>
      </c>
    </row>
    <row r="170" spans="1:27">
      <c r="A170" s="1" t="s">
        <v>120</v>
      </c>
      <c r="B170" s="1">
        <v>2015</v>
      </c>
      <c r="C170" s="1">
        <v>56.377998349999999</v>
      </c>
      <c r="D170" s="1">
        <v>86.070999150000006</v>
      </c>
      <c r="E170" s="1">
        <v>100</v>
      </c>
      <c r="F170" s="1">
        <v>0</v>
      </c>
      <c r="G170" s="1">
        <v>0</v>
      </c>
      <c r="H170" s="1">
        <v>0</v>
      </c>
      <c r="I170" s="1">
        <v>100</v>
      </c>
      <c r="J170" s="1">
        <v>0</v>
      </c>
      <c r="K170" s="1">
        <v>0</v>
      </c>
      <c r="L170" s="1">
        <v>0</v>
      </c>
      <c r="M170" s="1">
        <v>100</v>
      </c>
      <c r="N170" s="1">
        <v>0</v>
      </c>
      <c r="O170" s="1">
        <v>0</v>
      </c>
      <c r="P170" s="1">
        <v>0</v>
      </c>
      <c r="Q170" s="2">
        <f t="shared" si="0"/>
        <v>5</v>
      </c>
      <c r="R170" s="1">
        <f t="shared" si="1"/>
        <v>3.3999999971001671E-7</v>
      </c>
      <c r="S170" s="1">
        <f t="shared" si="2"/>
        <v>0</v>
      </c>
      <c r="T170" s="1">
        <f t="shared" si="3"/>
        <v>0</v>
      </c>
      <c r="U170" s="1">
        <f t="shared" si="4"/>
        <v>100</v>
      </c>
      <c r="V170" s="3">
        <f t="shared" si="5"/>
        <v>100</v>
      </c>
      <c r="W170" s="3">
        <f t="shared" si="6"/>
        <v>100</v>
      </c>
      <c r="X170" s="3" t="str">
        <f t="shared" si="7"/>
        <v>fullaccesss</v>
      </c>
      <c r="Y170" s="3" t="str">
        <f t="shared" si="8"/>
        <v>fullaccesss</v>
      </c>
      <c r="Z170" s="1" t="str">
        <f t="shared" si="9"/>
        <v>fullaccesss</v>
      </c>
      <c r="AA170" s="3">
        <f t="shared" si="10"/>
        <v>0</v>
      </c>
    </row>
    <row r="171" spans="1:27">
      <c r="A171" s="1" t="s">
        <v>120</v>
      </c>
      <c r="B171" s="1">
        <v>2020</v>
      </c>
      <c r="C171" s="1">
        <v>56.771999360000002</v>
      </c>
      <c r="D171" s="1">
        <v>87.282005310000002</v>
      </c>
      <c r="E171" s="1">
        <v>100.0000017</v>
      </c>
      <c r="F171" s="1">
        <v>0</v>
      </c>
      <c r="G171" s="1">
        <v>0</v>
      </c>
      <c r="H171" s="1">
        <v>0</v>
      </c>
      <c r="I171" s="1">
        <v>100</v>
      </c>
      <c r="J171" s="1">
        <v>0</v>
      </c>
      <c r="K171" s="1">
        <v>0</v>
      </c>
      <c r="L171" s="1">
        <v>0</v>
      </c>
      <c r="M171" s="1">
        <v>100</v>
      </c>
      <c r="N171" s="1">
        <v>0</v>
      </c>
      <c r="O171" s="1">
        <v>0</v>
      </c>
      <c r="P171" s="1">
        <v>0</v>
      </c>
      <c r="Q171" s="2" t="str">
        <f t="shared" si="0"/>
        <v/>
      </c>
      <c r="R171" s="1" t="str">
        <f t="shared" si="1"/>
        <v/>
      </c>
      <c r="S171" s="1" t="str">
        <f t="shared" si="2"/>
        <v/>
      </c>
      <c r="T171" s="1" t="str">
        <f t="shared" si="3"/>
        <v/>
      </c>
      <c r="U171" s="1">
        <f t="shared" si="4"/>
        <v>100</v>
      </c>
      <c r="V171" s="3">
        <f t="shared" si="5"/>
        <v>100</v>
      </c>
      <c r="W171" s="3">
        <f t="shared" si="6"/>
        <v>100</v>
      </c>
      <c r="X171" s="3" t="str">
        <f t="shared" si="7"/>
        <v/>
      </c>
      <c r="Y171" s="3" t="str">
        <f t="shared" si="8"/>
        <v/>
      </c>
      <c r="Z171" s="1" t="str">
        <f t="shared" si="9"/>
        <v/>
      </c>
      <c r="AA171" s="3" t="str">
        <f t="shared" si="10"/>
        <v/>
      </c>
    </row>
    <row r="172" spans="1:27">
      <c r="A172" s="1" t="s">
        <v>121</v>
      </c>
      <c r="B172" s="1">
        <v>2015</v>
      </c>
      <c r="C172" s="1">
        <v>109.6029968</v>
      </c>
      <c r="D172" s="1">
        <v>35.997001650000001</v>
      </c>
      <c r="E172" s="1">
        <v>95.628650440000001</v>
      </c>
      <c r="F172" s="1">
        <v>1.1614815839999999</v>
      </c>
      <c r="G172" s="1">
        <v>0</v>
      </c>
      <c r="H172" s="1">
        <v>3.2098679720000001</v>
      </c>
      <c r="I172" s="1" t="s">
        <v>272</v>
      </c>
      <c r="J172" s="1" t="s">
        <v>272</v>
      </c>
      <c r="K172" s="1" t="s">
        <v>272</v>
      </c>
      <c r="L172" s="1" t="s">
        <v>272</v>
      </c>
      <c r="M172" s="1" t="s">
        <v>272</v>
      </c>
      <c r="N172" s="1" t="s">
        <v>272</v>
      </c>
      <c r="O172" s="1" t="s">
        <v>272</v>
      </c>
      <c r="P172" s="1" t="s">
        <v>272</v>
      </c>
      <c r="Q172" s="2">
        <f t="shared" si="0"/>
        <v>2</v>
      </c>
      <c r="R172" s="1">
        <f t="shared" si="1"/>
        <v>0</v>
      </c>
      <c r="S172" s="1" t="str">
        <f t="shared" si="2"/>
        <v>null</v>
      </c>
      <c r="T172" s="1" t="str">
        <f t="shared" si="3"/>
        <v>null</v>
      </c>
      <c r="U172" s="1">
        <f t="shared" si="4"/>
        <v>96</v>
      </c>
      <c r="V172" s="3" t="str">
        <f t="shared" si="5"/>
        <v>null</v>
      </c>
      <c r="W172" s="3" t="str">
        <f t="shared" si="6"/>
        <v>null</v>
      </c>
      <c r="X172" s="3" t="str">
        <f t="shared" si="7"/>
        <v/>
      </c>
      <c r="Y172" s="3" t="str">
        <f t="shared" si="8"/>
        <v/>
      </c>
      <c r="Z172" s="1" t="str">
        <f t="shared" si="9"/>
        <v/>
      </c>
      <c r="AA172" s="3" t="str">
        <f t="shared" si="10"/>
        <v>null</v>
      </c>
    </row>
    <row r="173" spans="1:27">
      <c r="A173" s="1" t="s">
        <v>121</v>
      </c>
      <c r="B173" s="1">
        <v>2017</v>
      </c>
      <c r="C173" s="1">
        <v>110.87400049999999</v>
      </c>
      <c r="D173" s="1">
        <v>36.164001460000001</v>
      </c>
      <c r="E173" s="1">
        <v>95.628650440000001</v>
      </c>
      <c r="F173" s="1">
        <v>1.1614815839999999</v>
      </c>
      <c r="G173" s="1">
        <v>0</v>
      </c>
      <c r="H173" s="1">
        <v>3.2098679720000001</v>
      </c>
      <c r="I173" s="1" t="s">
        <v>272</v>
      </c>
      <c r="J173" s="1" t="s">
        <v>272</v>
      </c>
      <c r="K173" s="1" t="s">
        <v>272</v>
      </c>
      <c r="L173" s="1" t="s">
        <v>272</v>
      </c>
      <c r="M173" s="1" t="s">
        <v>272</v>
      </c>
      <c r="N173" s="1" t="s">
        <v>272</v>
      </c>
      <c r="O173" s="1" t="s">
        <v>272</v>
      </c>
      <c r="P173" s="1" t="s">
        <v>272</v>
      </c>
      <c r="Q173" s="2" t="str">
        <f t="shared" si="0"/>
        <v/>
      </c>
      <c r="R173" s="1" t="str">
        <f t="shared" si="1"/>
        <v/>
      </c>
      <c r="S173" s="1" t="str">
        <f t="shared" si="2"/>
        <v/>
      </c>
      <c r="T173" s="1" t="str">
        <f t="shared" si="3"/>
        <v/>
      </c>
      <c r="U173" s="1">
        <f t="shared" si="4"/>
        <v>96</v>
      </c>
      <c r="V173" s="3" t="str">
        <f t="shared" si="5"/>
        <v>null</v>
      </c>
      <c r="W173" s="3" t="str">
        <f t="shared" si="6"/>
        <v>null</v>
      </c>
      <c r="X173" s="3" t="str">
        <f t="shared" si="7"/>
        <v/>
      </c>
      <c r="Y173" s="3" t="str">
        <f t="shared" si="8"/>
        <v/>
      </c>
      <c r="Z173" s="1" t="str">
        <f t="shared" si="9"/>
        <v/>
      </c>
      <c r="AA173" s="3" t="str">
        <f t="shared" si="10"/>
        <v/>
      </c>
    </row>
    <row r="174" spans="1:27">
      <c r="A174" s="1" t="s">
        <v>122</v>
      </c>
      <c r="B174" s="1">
        <v>2015</v>
      </c>
      <c r="C174" s="1">
        <v>400.26000979999998</v>
      </c>
      <c r="D174" s="1">
        <v>98.443000789999999</v>
      </c>
      <c r="E174" s="1">
        <v>99.611028129999994</v>
      </c>
      <c r="F174" s="1">
        <v>0</v>
      </c>
      <c r="G174" s="1">
        <v>0.38897187239999997</v>
      </c>
      <c r="H174" s="1">
        <v>0</v>
      </c>
      <c r="I174" s="1" t="s">
        <v>272</v>
      </c>
      <c r="J174" s="1" t="s">
        <v>272</v>
      </c>
      <c r="K174" s="1" t="s">
        <v>272</v>
      </c>
      <c r="L174" s="1" t="s">
        <v>272</v>
      </c>
      <c r="M174" s="1" t="s">
        <v>272</v>
      </c>
      <c r="N174" s="1" t="s">
        <v>272</v>
      </c>
      <c r="O174" s="1" t="s">
        <v>272</v>
      </c>
      <c r="P174" s="1" t="s">
        <v>272</v>
      </c>
      <c r="Q174" s="2">
        <f t="shared" si="0"/>
        <v>5</v>
      </c>
      <c r="R174" s="1">
        <f t="shared" si="1"/>
        <v>3.8419582000000216E-2</v>
      </c>
      <c r="S174" s="1" t="str">
        <f t="shared" si="2"/>
        <v>null</v>
      </c>
      <c r="T174" s="1" t="str">
        <f t="shared" si="3"/>
        <v>null</v>
      </c>
      <c r="U174" s="1">
        <f t="shared" si="4"/>
        <v>100</v>
      </c>
      <c r="V174" s="3" t="str">
        <f t="shared" si="5"/>
        <v>null</v>
      </c>
      <c r="W174" s="3" t="str">
        <f t="shared" si="6"/>
        <v>null</v>
      </c>
      <c r="X174" s="3" t="str">
        <f t="shared" si="7"/>
        <v>fullaccesss</v>
      </c>
      <c r="Y174" s="3" t="str">
        <f t="shared" si="8"/>
        <v/>
      </c>
      <c r="Z174" s="1" t="str">
        <f t="shared" si="9"/>
        <v/>
      </c>
      <c r="AA174" s="3" t="str">
        <f t="shared" si="10"/>
        <v>null</v>
      </c>
    </row>
    <row r="175" spans="1:27">
      <c r="A175" s="1" t="s">
        <v>122</v>
      </c>
      <c r="B175" s="1">
        <v>2020</v>
      </c>
      <c r="C175" s="1">
        <v>400.12701420000002</v>
      </c>
      <c r="D175" s="1">
        <v>98.498992920000006</v>
      </c>
      <c r="E175" s="1">
        <v>99.803126039999995</v>
      </c>
      <c r="F175" s="1">
        <v>0</v>
      </c>
      <c r="G175" s="1">
        <v>0.19687396130000001</v>
      </c>
      <c r="H175" s="1">
        <v>0</v>
      </c>
      <c r="I175" s="1" t="s">
        <v>272</v>
      </c>
      <c r="J175" s="1" t="s">
        <v>272</v>
      </c>
      <c r="K175" s="1" t="s">
        <v>272</v>
      </c>
      <c r="L175" s="1" t="s">
        <v>272</v>
      </c>
      <c r="M175" s="1" t="s">
        <v>272</v>
      </c>
      <c r="N175" s="1" t="s">
        <v>272</v>
      </c>
      <c r="O175" s="1" t="s">
        <v>272</v>
      </c>
      <c r="P175" s="1" t="s">
        <v>272</v>
      </c>
      <c r="Q175" s="2" t="str">
        <f t="shared" si="0"/>
        <v/>
      </c>
      <c r="R175" s="1" t="str">
        <f t="shared" si="1"/>
        <v/>
      </c>
      <c r="S175" s="1" t="str">
        <f t="shared" si="2"/>
        <v/>
      </c>
      <c r="T175" s="1" t="str">
        <f t="shared" si="3"/>
        <v/>
      </c>
      <c r="U175" s="1">
        <f t="shared" si="4"/>
        <v>100</v>
      </c>
      <c r="V175" s="3" t="str">
        <f t="shared" si="5"/>
        <v>null</v>
      </c>
      <c r="W175" s="3" t="str">
        <f t="shared" si="6"/>
        <v>null</v>
      </c>
      <c r="X175" s="3" t="str">
        <f t="shared" si="7"/>
        <v/>
      </c>
      <c r="Y175" s="3" t="str">
        <f t="shared" si="8"/>
        <v/>
      </c>
      <c r="Z175" s="1" t="str">
        <f t="shared" si="9"/>
        <v/>
      </c>
      <c r="AA175" s="3" t="str">
        <f t="shared" si="10"/>
        <v/>
      </c>
    </row>
    <row r="176" spans="1:27">
      <c r="A176" s="1" t="s">
        <v>123</v>
      </c>
      <c r="B176" s="1">
        <v>2015</v>
      </c>
      <c r="C176" s="1">
        <v>161.85099790000001</v>
      </c>
      <c r="D176" s="1">
        <v>94.533996579999993</v>
      </c>
      <c r="E176" s="1">
        <v>99.6952</v>
      </c>
      <c r="F176" s="1">
        <v>0</v>
      </c>
      <c r="G176" s="1">
        <v>0.30480000000000002</v>
      </c>
      <c r="H176" s="1">
        <v>0</v>
      </c>
      <c r="I176" s="1" t="s">
        <v>272</v>
      </c>
      <c r="J176" s="1" t="s">
        <v>272</v>
      </c>
      <c r="K176" s="1" t="s">
        <v>272</v>
      </c>
      <c r="L176" s="1" t="s">
        <v>272</v>
      </c>
      <c r="M176" s="1" t="s">
        <v>272</v>
      </c>
      <c r="N176" s="1" t="s">
        <v>272</v>
      </c>
      <c r="O176" s="1" t="s">
        <v>272</v>
      </c>
      <c r="P176" s="1" t="s">
        <v>272</v>
      </c>
      <c r="Q176" s="2">
        <f t="shared" si="0"/>
        <v>5</v>
      </c>
      <c r="R176" s="1">
        <f t="shared" si="1"/>
        <v>0</v>
      </c>
      <c r="S176" s="1" t="str">
        <f t="shared" si="2"/>
        <v>null</v>
      </c>
      <c r="T176" s="1" t="str">
        <f t="shared" si="3"/>
        <v>null</v>
      </c>
      <c r="U176" s="1">
        <f t="shared" si="4"/>
        <v>100</v>
      </c>
      <c r="V176" s="3" t="str">
        <f t="shared" si="5"/>
        <v>null</v>
      </c>
      <c r="W176" s="3" t="str">
        <f t="shared" si="6"/>
        <v>null</v>
      </c>
      <c r="X176" s="3" t="str">
        <f t="shared" si="7"/>
        <v>fullaccesss</v>
      </c>
      <c r="Y176" s="3" t="str">
        <f t="shared" si="8"/>
        <v/>
      </c>
      <c r="Z176" s="1" t="str">
        <f t="shared" si="9"/>
        <v/>
      </c>
      <c r="AA176" s="3" t="str">
        <f t="shared" si="10"/>
        <v>null</v>
      </c>
    </row>
    <row r="177" spans="1:27">
      <c r="A177" s="1" t="s">
        <v>123</v>
      </c>
      <c r="B177" s="1">
        <v>2020</v>
      </c>
      <c r="C177" s="1">
        <v>168.78300479999999</v>
      </c>
      <c r="D177" s="1">
        <v>94.938003539999997</v>
      </c>
      <c r="E177" s="1">
        <v>99.6952</v>
      </c>
      <c r="F177" s="1">
        <v>0</v>
      </c>
      <c r="G177" s="1">
        <v>0.30480000000000002</v>
      </c>
      <c r="H177" s="1">
        <v>0</v>
      </c>
      <c r="I177" s="1" t="s">
        <v>272</v>
      </c>
      <c r="J177" s="1" t="s">
        <v>272</v>
      </c>
      <c r="K177" s="1" t="s">
        <v>272</v>
      </c>
      <c r="L177" s="1" t="s">
        <v>272</v>
      </c>
      <c r="M177" s="1" t="s">
        <v>272</v>
      </c>
      <c r="N177" s="1" t="s">
        <v>272</v>
      </c>
      <c r="O177" s="1" t="s">
        <v>272</v>
      </c>
      <c r="P177" s="1" t="s">
        <v>272</v>
      </c>
      <c r="Q177" s="2" t="str">
        <f t="shared" si="0"/>
        <v/>
      </c>
      <c r="R177" s="1" t="str">
        <f t="shared" si="1"/>
        <v/>
      </c>
      <c r="S177" s="1" t="str">
        <f t="shared" si="2"/>
        <v/>
      </c>
      <c r="T177" s="1" t="str">
        <f t="shared" si="3"/>
        <v/>
      </c>
      <c r="U177" s="1">
        <f t="shared" si="4"/>
        <v>100</v>
      </c>
      <c r="V177" s="3" t="str">
        <f t="shared" si="5"/>
        <v>null</v>
      </c>
      <c r="W177" s="3" t="str">
        <f t="shared" si="6"/>
        <v>null</v>
      </c>
      <c r="X177" s="3" t="str">
        <f t="shared" si="7"/>
        <v/>
      </c>
      <c r="Y177" s="3" t="str">
        <f t="shared" si="8"/>
        <v/>
      </c>
      <c r="Z177" s="1" t="str">
        <f t="shared" si="9"/>
        <v/>
      </c>
      <c r="AA177" s="3" t="str">
        <f t="shared" si="10"/>
        <v/>
      </c>
    </row>
    <row r="178" spans="1:27">
      <c r="A178" s="1" t="s">
        <v>124</v>
      </c>
      <c r="B178" s="1">
        <v>2015</v>
      </c>
      <c r="C178" s="1">
        <v>16252.424800000001</v>
      </c>
      <c r="D178" s="1">
        <v>49.971000670000002</v>
      </c>
      <c r="E178" s="1">
        <v>92.134033849999994</v>
      </c>
      <c r="F178" s="1">
        <v>0.96845174850000004</v>
      </c>
      <c r="G178" s="1">
        <v>4.7652610869999998</v>
      </c>
      <c r="H178" s="1">
        <v>2.1322533130000001</v>
      </c>
      <c r="I178" s="1">
        <v>87.242756180000001</v>
      </c>
      <c r="J178" s="1">
        <v>1.6509012869999999</v>
      </c>
      <c r="K178" s="1">
        <v>7.052091828</v>
      </c>
      <c r="L178" s="1">
        <v>4.0542507089999997</v>
      </c>
      <c r="M178" s="1">
        <v>97.030988910000005</v>
      </c>
      <c r="N178" s="1">
        <v>0.2852100796</v>
      </c>
      <c r="O178" s="1">
        <v>2.4757759840000002</v>
      </c>
      <c r="P178" s="1">
        <v>0.20802502270000001</v>
      </c>
      <c r="Q178" s="2">
        <f t="shared" si="0"/>
        <v>5</v>
      </c>
      <c r="R178" s="1">
        <f t="shared" si="1"/>
        <v>0.37447888400000123</v>
      </c>
      <c r="S178" s="1">
        <f t="shared" si="2"/>
        <v>0.57531472400000039</v>
      </c>
      <c r="T178" s="1">
        <f t="shared" si="3"/>
        <v>0.11743610599999954</v>
      </c>
      <c r="U178" s="1">
        <f t="shared" si="4"/>
        <v>92</v>
      </c>
      <c r="V178" s="3">
        <f t="shared" si="5"/>
        <v>87</v>
      </c>
      <c r="W178" s="3">
        <f t="shared" si="6"/>
        <v>97</v>
      </c>
      <c r="X178" s="3" t="str">
        <f t="shared" si="7"/>
        <v/>
      </c>
      <c r="Y178" s="3" t="str">
        <f t="shared" si="8"/>
        <v/>
      </c>
      <c r="Z178" s="1" t="str">
        <f t="shared" si="9"/>
        <v/>
      </c>
      <c r="AA178" s="3">
        <f t="shared" si="10"/>
        <v>0.45787861800000085</v>
      </c>
    </row>
    <row r="179" spans="1:27">
      <c r="A179" s="1" t="s">
        <v>124</v>
      </c>
      <c r="B179" s="1">
        <v>2020</v>
      </c>
      <c r="C179" s="1">
        <v>17915.566409999999</v>
      </c>
      <c r="D179" s="1">
        <v>51.835998539999999</v>
      </c>
      <c r="E179" s="1">
        <v>94.006428270000001</v>
      </c>
      <c r="F179" s="1">
        <v>1.034150511</v>
      </c>
      <c r="G179" s="1">
        <v>3.2159118150000001</v>
      </c>
      <c r="H179" s="1">
        <v>1.7435094040000001</v>
      </c>
      <c r="I179" s="1">
        <v>90.119329800000003</v>
      </c>
      <c r="J179" s="1">
        <v>1.8491699989999999</v>
      </c>
      <c r="K179" s="1">
        <v>4.5834386909999996</v>
      </c>
      <c r="L179" s="1">
        <v>3.4480615079999999</v>
      </c>
      <c r="M179" s="1">
        <v>97.618169440000003</v>
      </c>
      <c r="N179" s="1">
        <v>0.27686600569999997</v>
      </c>
      <c r="O179" s="1">
        <v>1.94525887</v>
      </c>
      <c r="P179" s="1">
        <v>0.15970568490000001</v>
      </c>
      <c r="Q179" s="2" t="str">
        <f t="shared" si="0"/>
        <v/>
      </c>
      <c r="R179" s="1" t="str">
        <f t="shared" si="1"/>
        <v/>
      </c>
      <c r="S179" s="1" t="str">
        <f t="shared" si="2"/>
        <v/>
      </c>
      <c r="T179" s="1" t="str">
        <f t="shared" si="3"/>
        <v/>
      </c>
      <c r="U179" s="1">
        <f t="shared" si="4"/>
        <v>94</v>
      </c>
      <c r="V179" s="3">
        <f t="shared" si="5"/>
        <v>90</v>
      </c>
      <c r="W179" s="3">
        <f t="shared" si="6"/>
        <v>98</v>
      </c>
      <c r="X179" s="3" t="str">
        <f t="shared" si="7"/>
        <v/>
      </c>
      <c r="Y179" s="3" t="str">
        <f t="shared" si="8"/>
        <v/>
      </c>
      <c r="Z179" s="1" t="str">
        <f t="shared" si="9"/>
        <v/>
      </c>
      <c r="AA179" s="3" t="str">
        <f t="shared" si="10"/>
        <v/>
      </c>
    </row>
    <row r="180" spans="1:27">
      <c r="A180" s="1" t="s">
        <v>125</v>
      </c>
      <c r="B180" s="1">
        <v>2015</v>
      </c>
      <c r="C180" s="1">
        <v>11432.0957</v>
      </c>
      <c r="D180" s="1">
        <v>35.140998840000002</v>
      </c>
      <c r="E180" s="1">
        <v>63.615389540000002</v>
      </c>
      <c r="F180" s="1">
        <v>16.090256029999999</v>
      </c>
      <c r="G180" s="1">
        <v>9.7579804439999993</v>
      </c>
      <c r="H180" s="1">
        <v>10.53637399</v>
      </c>
      <c r="I180" s="1">
        <v>51.949155339999997</v>
      </c>
      <c r="J180" s="1">
        <v>18.760629779999999</v>
      </c>
      <c r="K180" s="1">
        <v>13.309717210000001</v>
      </c>
      <c r="L180" s="1">
        <v>15.980497679999999</v>
      </c>
      <c r="M180" s="1">
        <v>85.147507689999998</v>
      </c>
      <c r="N180" s="1">
        <v>11.161602630000001</v>
      </c>
      <c r="O180" s="1">
        <v>3.202620418</v>
      </c>
      <c r="P180" s="1">
        <v>0.48826926510000002</v>
      </c>
      <c r="Q180" s="2">
        <f t="shared" si="0"/>
        <v>5</v>
      </c>
      <c r="R180" s="1">
        <f t="shared" si="1"/>
        <v>6.9279840000000092E-2</v>
      </c>
      <c r="S180" s="1">
        <f t="shared" si="2"/>
        <v>-0.24019526999999954</v>
      </c>
      <c r="T180" s="1">
        <f t="shared" si="3"/>
        <v>0.28683647599999917</v>
      </c>
      <c r="U180" s="1">
        <f t="shared" si="4"/>
        <v>64</v>
      </c>
      <c r="V180" s="3">
        <f t="shared" si="5"/>
        <v>52</v>
      </c>
      <c r="W180" s="3">
        <f t="shared" si="6"/>
        <v>85</v>
      </c>
      <c r="X180" s="3" t="str">
        <f t="shared" si="7"/>
        <v/>
      </c>
      <c r="Y180" s="3" t="str">
        <f t="shared" si="8"/>
        <v/>
      </c>
      <c r="Z180" s="1" t="str">
        <f t="shared" si="9"/>
        <v/>
      </c>
      <c r="AA180" s="3">
        <f t="shared" si="10"/>
        <v>-0.52703174599999869</v>
      </c>
    </row>
    <row r="181" spans="1:27">
      <c r="A181" s="1" t="s">
        <v>125</v>
      </c>
      <c r="B181" s="1">
        <v>2020</v>
      </c>
      <c r="C181" s="1">
        <v>13132.79199</v>
      </c>
      <c r="D181" s="1">
        <v>36.875</v>
      </c>
      <c r="E181" s="1">
        <v>63.961788740000003</v>
      </c>
      <c r="F181" s="1">
        <v>21.281591500000001</v>
      </c>
      <c r="G181" s="1">
        <v>6.2961194059999999</v>
      </c>
      <c r="H181" s="1">
        <v>8.4605003540000006</v>
      </c>
      <c r="I181" s="1">
        <v>50.74817899</v>
      </c>
      <c r="J181" s="1">
        <v>26.14432944</v>
      </c>
      <c r="K181" s="1">
        <v>9.7047191430000002</v>
      </c>
      <c r="L181" s="1">
        <v>13.402772430000001</v>
      </c>
      <c r="M181" s="1">
        <v>86.581690069999993</v>
      </c>
      <c r="N181" s="1">
        <v>12.957241529999999</v>
      </c>
      <c r="O181" s="1">
        <v>0.46106839799999999</v>
      </c>
      <c r="P181" s="1">
        <v>0</v>
      </c>
      <c r="Q181" s="2" t="str">
        <f t="shared" si="0"/>
        <v/>
      </c>
      <c r="R181" s="1" t="str">
        <f t="shared" si="1"/>
        <v/>
      </c>
      <c r="S181" s="1" t="str">
        <f t="shared" si="2"/>
        <v/>
      </c>
      <c r="T181" s="1" t="str">
        <f t="shared" si="3"/>
        <v/>
      </c>
      <c r="U181" s="1">
        <f t="shared" si="4"/>
        <v>64</v>
      </c>
      <c r="V181" s="3">
        <f t="shared" si="5"/>
        <v>51</v>
      </c>
      <c r="W181" s="3">
        <f t="shared" si="6"/>
        <v>87</v>
      </c>
      <c r="X181" s="3" t="str">
        <f t="shared" si="7"/>
        <v/>
      </c>
      <c r="Y181" s="3" t="str">
        <f t="shared" si="8"/>
        <v/>
      </c>
      <c r="Z181" s="1" t="str">
        <f t="shared" si="9"/>
        <v/>
      </c>
      <c r="AA181" s="3" t="str">
        <f t="shared" si="10"/>
        <v/>
      </c>
    </row>
    <row r="182" spans="1:27">
      <c r="A182" s="1" t="s">
        <v>126</v>
      </c>
      <c r="B182" s="1">
        <v>2015</v>
      </c>
      <c r="C182" s="1">
        <v>1737.2070309999999</v>
      </c>
      <c r="D182" s="1">
        <v>42.12299728</v>
      </c>
      <c r="E182" s="1">
        <v>58.764347620000002</v>
      </c>
      <c r="F182" s="1">
        <v>10.59149221</v>
      </c>
      <c r="G182" s="1">
        <v>29.744379070000001</v>
      </c>
      <c r="H182" s="1">
        <v>0.89978109260000005</v>
      </c>
      <c r="I182" s="1">
        <v>48.422730049999998</v>
      </c>
      <c r="J182" s="1">
        <v>7.5662803609999996</v>
      </c>
      <c r="K182" s="1">
        <v>42.58264827</v>
      </c>
      <c r="L182" s="1">
        <v>1.428341318</v>
      </c>
      <c r="M182" s="1">
        <v>72.973731220000005</v>
      </c>
      <c r="N182" s="1">
        <v>14.748133599999999</v>
      </c>
      <c r="O182" s="1">
        <v>12.104595890000001</v>
      </c>
      <c r="P182" s="1">
        <v>0.17353928900000001</v>
      </c>
      <c r="Q182" s="2">
        <f t="shared" si="0"/>
        <v>5</v>
      </c>
      <c r="R182" s="1">
        <f t="shared" si="1"/>
        <v>5.0512917999999726E-2</v>
      </c>
      <c r="S182" s="1">
        <f t="shared" si="2"/>
        <v>0.28183505000000081</v>
      </c>
      <c r="T182" s="1">
        <f t="shared" si="3"/>
        <v>-0.47187666199999967</v>
      </c>
      <c r="U182" s="1">
        <f t="shared" si="4"/>
        <v>59</v>
      </c>
      <c r="V182" s="3">
        <f t="shared" si="5"/>
        <v>48</v>
      </c>
      <c r="W182" s="3">
        <f t="shared" si="6"/>
        <v>73</v>
      </c>
      <c r="X182" s="3" t="str">
        <f t="shared" si="7"/>
        <v/>
      </c>
      <c r="Y182" s="3" t="str">
        <f t="shared" si="8"/>
        <v/>
      </c>
      <c r="Z182" s="1" t="str">
        <f t="shared" si="9"/>
        <v/>
      </c>
      <c r="AA182" s="3">
        <f t="shared" si="10"/>
        <v>0.75371171200000053</v>
      </c>
    </row>
    <row r="183" spans="1:27">
      <c r="A183" s="1" t="s">
        <v>126</v>
      </c>
      <c r="B183" s="1">
        <v>2020</v>
      </c>
      <c r="C183" s="1">
        <v>1967.998047</v>
      </c>
      <c r="D183" s="1">
        <v>44.195999149999999</v>
      </c>
      <c r="E183" s="1">
        <v>59.016912210000001</v>
      </c>
      <c r="F183" s="1">
        <v>14.03457137</v>
      </c>
      <c r="G183" s="1">
        <v>26.6263769</v>
      </c>
      <c r="H183" s="1">
        <v>0.3221395192</v>
      </c>
      <c r="I183" s="1">
        <v>49.831905300000003</v>
      </c>
      <c r="J183" s="1">
        <v>9.2857730259999993</v>
      </c>
      <c r="K183" s="1">
        <v>40.316451290000003</v>
      </c>
      <c r="L183" s="1">
        <v>0.56587038450000005</v>
      </c>
      <c r="M183" s="1">
        <v>70.614347910000006</v>
      </c>
      <c r="N183" s="1">
        <v>20.03063358</v>
      </c>
      <c r="O183" s="1">
        <v>9.3406252839999997</v>
      </c>
      <c r="P183" s="1">
        <v>1.4393226929999999E-2</v>
      </c>
      <c r="Q183" s="2" t="str">
        <f t="shared" si="0"/>
        <v/>
      </c>
      <c r="R183" s="1" t="str">
        <f t="shared" si="1"/>
        <v/>
      </c>
      <c r="S183" s="1" t="str">
        <f t="shared" si="2"/>
        <v/>
      </c>
      <c r="T183" s="1" t="str">
        <f t="shared" si="3"/>
        <v/>
      </c>
      <c r="U183" s="1">
        <f t="shared" si="4"/>
        <v>59</v>
      </c>
      <c r="V183" s="3">
        <f t="shared" si="5"/>
        <v>50</v>
      </c>
      <c r="W183" s="3">
        <f t="shared" si="6"/>
        <v>71</v>
      </c>
      <c r="X183" s="3" t="str">
        <f t="shared" si="7"/>
        <v/>
      </c>
      <c r="Y183" s="3" t="str">
        <f t="shared" si="8"/>
        <v/>
      </c>
      <c r="Z183" s="1" t="str">
        <f t="shared" si="9"/>
        <v/>
      </c>
      <c r="AA183" s="3" t="str">
        <f t="shared" si="10"/>
        <v/>
      </c>
    </row>
    <row r="184" spans="1:27">
      <c r="A184" s="1" t="s">
        <v>127</v>
      </c>
      <c r="B184" s="1">
        <v>2015</v>
      </c>
      <c r="C184" s="1">
        <v>767.43298340000001</v>
      </c>
      <c r="D184" s="1">
        <v>26.44099808</v>
      </c>
      <c r="E184" s="1">
        <v>95.161856950000001</v>
      </c>
      <c r="F184" s="1">
        <v>1.233247953</v>
      </c>
      <c r="G184" s="1">
        <v>1.344803287</v>
      </c>
      <c r="H184" s="1">
        <v>2.2600918079999999</v>
      </c>
      <c r="I184" s="1">
        <v>93.422769709999997</v>
      </c>
      <c r="J184" s="1">
        <v>1.6765425039999999</v>
      </c>
      <c r="K184" s="1">
        <v>1.82819943</v>
      </c>
      <c r="L184" s="1">
        <v>3.0724883580000002</v>
      </c>
      <c r="M184" s="1">
        <v>100</v>
      </c>
      <c r="N184" s="1">
        <v>0</v>
      </c>
      <c r="O184" s="1">
        <v>0</v>
      </c>
      <c r="P184" s="1">
        <v>0</v>
      </c>
      <c r="Q184" s="2">
        <f t="shared" si="0"/>
        <v>5</v>
      </c>
      <c r="R184" s="1">
        <f t="shared" si="1"/>
        <v>7.8589980000000989E-2</v>
      </c>
      <c r="S184" s="1">
        <f t="shared" si="2"/>
        <v>0.10114415799999961</v>
      </c>
      <c r="T184" s="1">
        <f t="shared" si="3"/>
        <v>0</v>
      </c>
      <c r="U184" s="1">
        <f t="shared" si="4"/>
        <v>95</v>
      </c>
      <c r="V184" s="3">
        <f t="shared" si="5"/>
        <v>93</v>
      </c>
      <c r="W184" s="3">
        <f t="shared" si="6"/>
        <v>100</v>
      </c>
      <c r="X184" s="3" t="str">
        <f t="shared" si="7"/>
        <v/>
      </c>
      <c r="Y184" s="3" t="str">
        <f t="shared" si="8"/>
        <v/>
      </c>
      <c r="Z184" s="1" t="str">
        <f t="shared" si="9"/>
        <v>fullaccesss</v>
      </c>
      <c r="AA184" s="3">
        <f t="shared" si="10"/>
        <v>0.10114415799999961</v>
      </c>
    </row>
    <row r="185" spans="1:27">
      <c r="A185" s="1" t="s">
        <v>127</v>
      </c>
      <c r="B185" s="1">
        <v>2020</v>
      </c>
      <c r="C185" s="1">
        <v>786.55902100000003</v>
      </c>
      <c r="D185" s="1">
        <v>26.7859993</v>
      </c>
      <c r="E185" s="1">
        <v>95.554806850000006</v>
      </c>
      <c r="F185" s="1">
        <v>1.205244408</v>
      </c>
      <c r="G185" s="1">
        <v>1.143069849</v>
      </c>
      <c r="H185" s="1">
        <v>2.0968788969999999</v>
      </c>
      <c r="I185" s="1">
        <v>93.928490499999995</v>
      </c>
      <c r="J185" s="1">
        <v>1.6461938620000001</v>
      </c>
      <c r="K185" s="1">
        <v>1.5612748329999999</v>
      </c>
      <c r="L185" s="1">
        <v>2.864040809</v>
      </c>
      <c r="M185" s="1">
        <v>100</v>
      </c>
      <c r="N185" s="1">
        <v>0</v>
      </c>
      <c r="O185" s="1">
        <v>0</v>
      </c>
      <c r="P185" s="1">
        <v>0</v>
      </c>
      <c r="Q185" s="2" t="str">
        <f t="shared" si="0"/>
        <v/>
      </c>
      <c r="R185" s="1" t="str">
        <f t="shared" si="1"/>
        <v/>
      </c>
      <c r="S185" s="1" t="str">
        <f t="shared" si="2"/>
        <v/>
      </c>
      <c r="T185" s="1" t="str">
        <f t="shared" si="3"/>
        <v/>
      </c>
      <c r="U185" s="1">
        <f t="shared" si="4"/>
        <v>96</v>
      </c>
      <c r="V185" s="3">
        <f t="shared" si="5"/>
        <v>94</v>
      </c>
      <c r="W185" s="3">
        <f t="shared" si="6"/>
        <v>100</v>
      </c>
      <c r="X185" s="3" t="str">
        <f t="shared" si="7"/>
        <v/>
      </c>
      <c r="Y185" s="3" t="str">
        <f t="shared" si="8"/>
        <v/>
      </c>
      <c r="Z185" s="1" t="str">
        <f t="shared" si="9"/>
        <v/>
      </c>
      <c r="AA185" s="3" t="str">
        <f t="shared" si="10"/>
        <v/>
      </c>
    </row>
    <row r="186" spans="1:27">
      <c r="A186" s="1" t="s">
        <v>128</v>
      </c>
      <c r="B186" s="1">
        <v>2015</v>
      </c>
      <c r="C186" s="1">
        <v>10695.54004</v>
      </c>
      <c r="D186" s="1">
        <v>52.426998140000002</v>
      </c>
      <c r="E186" s="1">
        <v>64.567485939999997</v>
      </c>
      <c r="F186" s="1">
        <v>9.2184870100000005</v>
      </c>
      <c r="G186" s="1">
        <v>25.477839450000001</v>
      </c>
      <c r="H186" s="1">
        <v>0.73618759609999995</v>
      </c>
      <c r="I186" s="1">
        <v>42.416418049999997</v>
      </c>
      <c r="J186" s="1">
        <v>12.228897890000001</v>
      </c>
      <c r="K186" s="1">
        <v>43.807193750000003</v>
      </c>
      <c r="L186" s="1">
        <v>1.5474903170000001</v>
      </c>
      <c r="M186" s="1">
        <v>84.667679129999996</v>
      </c>
      <c r="N186" s="1">
        <v>6.4867974830000001</v>
      </c>
      <c r="O186" s="1">
        <v>8.8455233880000002</v>
      </c>
      <c r="P186" s="1">
        <v>0</v>
      </c>
      <c r="Q186" s="2">
        <f t="shared" si="0"/>
        <v>5</v>
      </c>
      <c r="R186" s="1">
        <f t="shared" si="1"/>
        <v>0.4255644920000009</v>
      </c>
      <c r="S186" s="1">
        <f t="shared" si="2"/>
        <v>8.5856410000000952E-2</v>
      </c>
      <c r="T186" s="1">
        <f t="shared" si="3"/>
        <v>-9.0115679999996697E-3</v>
      </c>
      <c r="U186" s="1">
        <f t="shared" si="4"/>
        <v>65</v>
      </c>
      <c r="V186" s="3">
        <f t="shared" si="5"/>
        <v>42</v>
      </c>
      <c r="W186" s="3">
        <f t="shared" si="6"/>
        <v>85</v>
      </c>
      <c r="X186" s="3" t="str">
        <f t="shared" si="7"/>
        <v/>
      </c>
      <c r="Y186" s="3" t="str">
        <f t="shared" si="8"/>
        <v/>
      </c>
      <c r="Z186" s="1" t="str">
        <f t="shared" si="9"/>
        <v/>
      </c>
      <c r="AA186" s="3">
        <f t="shared" si="10"/>
        <v>9.4867978000000616E-2</v>
      </c>
    </row>
    <row r="187" spans="1:27">
      <c r="A187" s="1" t="s">
        <v>128</v>
      </c>
      <c r="B187" s="1">
        <v>2020</v>
      </c>
      <c r="C187" s="1">
        <v>11402.5332</v>
      </c>
      <c r="D187" s="1">
        <v>57.087997440000002</v>
      </c>
      <c r="E187" s="1">
        <v>66.695308400000002</v>
      </c>
      <c r="F187" s="1">
        <v>9.8145436519999993</v>
      </c>
      <c r="G187" s="1">
        <v>23.490147950000001</v>
      </c>
      <c r="H187" s="1">
        <v>0</v>
      </c>
      <c r="I187" s="1">
        <v>42.845700100000002</v>
      </c>
      <c r="J187" s="1">
        <v>13.25598695</v>
      </c>
      <c r="K187" s="1">
        <v>43.898312949999998</v>
      </c>
      <c r="L187" s="1">
        <v>0</v>
      </c>
      <c r="M187" s="1">
        <v>84.622621289999998</v>
      </c>
      <c r="N187" s="1">
        <v>7.2276738790000001</v>
      </c>
      <c r="O187" s="1">
        <v>8.1497048349999996</v>
      </c>
      <c r="P187" s="1">
        <v>0</v>
      </c>
      <c r="Q187" s="2" t="str">
        <f t="shared" si="0"/>
        <v/>
      </c>
      <c r="R187" s="1" t="str">
        <f t="shared" si="1"/>
        <v/>
      </c>
      <c r="S187" s="1" t="str">
        <f t="shared" si="2"/>
        <v/>
      </c>
      <c r="T187" s="1" t="str">
        <f t="shared" si="3"/>
        <v/>
      </c>
      <c r="U187" s="1">
        <f t="shared" si="4"/>
        <v>67</v>
      </c>
      <c r="V187" s="3">
        <f t="shared" si="5"/>
        <v>43</v>
      </c>
      <c r="W187" s="3">
        <f t="shared" si="6"/>
        <v>85</v>
      </c>
      <c r="X187" s="3" t="str">
        <f t="shared" si="7"/>
        <v/>
      </c>
      <c r="Y187" s="3" t="str">
        <f t="shared" si="8"/>
        <v/>
      </c>
      <c r="Z187" s="1" t="str">
        <f t="shared" si="9"/>
        <v/>
      </c>
      <c r="AA187" s="3" t="str">
        <f t="shared" si="10"/>
        <v/>
      </c>
    </row>
    <row r="188" spans="1:27">
      <c r="A188" s="1" t="s">
        <v>129</v>
      </c>
      <c r="B188" s="1">
        <v>2015</v>
      </c>
      <c r="C188" s="1">
        <v>9112.9042969999991</v>
      </c>
      <c r="D188" s="1">
        <v>55.164997100000001</v>
      </c>
      <c r="E188" s="1">
        <v>93.254410710000002</v>
      </c>
      <c r="F188" s="1">
        <v>0.43175410669999997</v>
      </c>
      <c r="G188" s="1">
        <v>6.0221561560000003</v>
      </c>
      <c r="H188" s="1">
        <v>0.29167902839999998</v>
      </c>
      <c r="I188" s="1">
        <v>86.437073749999996</v>
      </c>
      <c r="J188" s="1">
        <v>0.77584410459999997</v>
      </c>
      <c r="K188" s="1">
        <v>12.14597638</v>
      </c>
      <c r="L188" s="1">
        <v>0.6411057671</v>
      </c>
      <c r="M188" s="1">
        <v>98.795162680000004</v>
      </c>
      <c r="N188" s="1">
        <v>0.15209716100000001</v>
      </c>
      <c r="O188" s="1">
        <v>1.04505549</v>
      </c>
      <c r="P188" s="1">
        <v>7.6846736400000004E-3</v>
      </c>
      <c r="Q188" s="2">
        <f t="shared" si="0"/>
        <v>5</v>
      </c>
      <c r="R188" s="1">
        <f t="shared" si="1"/>
        <v>0.48696208400000102</v>
      </c>
      <c r="S188" s="1">
        <f t="shared" si="2"/>
        <v>0.68774516000000008</v>
      </c>
      <c r="T188" s="1">
        <f t="shared" si="3"/>
        <v>0.20842402600000015</v>
      </c>
      <c r="U188" s="1">
        <f t="shared" si="4"/>
        <v>93</v>
      </c>
      <c r="V188" s="3">
        <f t="shared" si="5"/>
        <v>86</v>
      </c>
      <c r="W188" s="3">
        <f t="shared" si="6"/>
        <v>99</v>
      </c>
      <c r="X188" s="3" t="str">
        <f t="shared" si="7"/>
        <v/>
      </c>
      <c r="Y188" s="3" t="str">
        <f t="shared" si="8"/>
        <v/>
      </c>
      <c r="Z188" s="1" t="str">
        <f t="shared" si="9"/>
        <v/>
      </c>
      <c r="AA188" s="3">
        <f t="shared" si="10"/>
        <v>0.47932113399999993</v>
      </c>
    </row>
    <row r="189" spans="1:27">
      <c r="A189" s="1" t="s">
        <v>129</v>
      </c>
      <c r="B189" s="1">
        <v>2020</v>
      </c>
      <c r="C189" s="1">
        <v>9904.6083980000003</v>
      </c>
      <c r="D189" s="1">
        <v>58.358997340000002</v>
      </c>
      <c r="E189" s="1">
        <v>95.689221130000007</v>
      </c>
      <c r="F189" s="1">
        <v>0.4256206085</v>
      </c>
      <c r="G189" s="1">
        <v>3.8851582640000002</v>
      </c>
      <c r="H189" s="1">
        <v>0</v>
      </c>
      <c r="I189" s="1">
        <v>89.875799549999996</v>
      </c>
      <c r="J189" s="1">
        <v>0.80670950789999996</v>
      </c>
      <c r="K189" s="1">
        <v>9.3174909459999995</v>
      </c>
      <c r="L189" s="1">
        <v>0</v>
      </c>
      <c r="M189" s="1">
        <v>99.837282810000005</v>
      </c>
      <c r="N189" s="1">
        <v>0.15370152619999999</v>
      </c>
      <c r="O189" s="1">
        <v>9.0156632960000007E-3</v>
      </c>
      <c r="P189" s="1">
        <v>0</v>
      </c>
      <c r="Q189" s="2" t="str">
        <f t="shared" si="0"/>
        <v/>
      </c>
      <c r="R189" s="1" t="str">
        <f t="shared" si="1"/>
        <v/>
      </c>
      <c r="S189" s="1" t="str">
        <f t="shared" si="2"/>
        <v/>
      </c>
      <c r="T189" s="1" t="str">
        <f t="shared" si="3"/>
        <v/>
      </c>
      <c r="U189" s="1">
        <f t="shared" si="4"/>
        <v>96</v>
      </c>
      <c r="V189" s="3">
        <f t="shared" si="5"/>
        <v>90</v>
      </c>
      <c r="W189" s="3">
        <f t="shared" si="6"/>
        <v>100</v>
      </c>
      <c r="X189" s="3" t="str">
        <f t="shared" si="7"/>
        <v/>
      </c>
      <c r="Y189" s="3" t="str">
        <f t="shared" si="8"/>
        <v/>
      </c>
      <c r="Z189" s="1" t="str">
        <f t="shared" si="9"/>
        <v/>
      </c>
      <c r="AA189" s="3" t="str">
        <f t="shared" si="10"/>
        <v/>
      </c>
    </row>
    <row r="190" spans="1:27">
      <c r="A190" s="1" t="s">
        <v>130</v>
      </c>
      <c r="B190" s="1">
        <v>2015</v>
      </c>
      <c r="C190" s="1">
        <v>9777.9248050000006</v>
      </c>
      <c r="D190" s="1">
        <v>70.5</v>
      </c>
      <c r="E190" s="1">
        <v>99.970528959999996</v>
      </c>
      <c r="F190" s="1">
        <v>0</v>
      </c>
      <c r="G190" s="1">
        <v>2.9471039399999999E-2</v>
      </c>
      <c r="H190" s="1">
        <v>0</v>
      </c>
      <c r="I190" s="1">
        <v>99.900089719999997</v>
      </c>
      <c r="J190" s="1">
        <v>0</v>
      </c>
      <c r="K190" s="1">
        <v>9.9910284789999998E-2</v>
      </c>
      <c r="L190" s="1">
        <v>0</v>
      </c>
      <c r="M190" s="1">
        <v>100</v>
      </c>
      <c r="N190" s="1">
        <v>0</v>
      </c>
      <c r="O190" s="1">
        <v>0</v>
      </c>
      <c r="P190" s="1">
        <v>0</v>
      </c>
      <c r="Q190" s="2">
        <f t="shared" si="0"/>
        <v>5</v>
      </c>
      <c r="R190" s="1">
        <f t="shared" si="1"/>
        <v>5.8937020000001897E-3</v>
      </c>
      <c r="S190" s="1">
        <f t="shared" si="2"/>
        <v>1.9982056000000626E-2</v>
      </c>
      <c r="T190" s="1">
        <f t="shared" si="3"/>
        <v>0</v>
      </c>
      <c r="U190" s="1">
        <f t="shared" si="4"/>
        <v>100</v>
      </c>
      <c r="V190" s="3">
        <f t="shared" si="5"/>
        <v>100</v>
      </c>
      <c r="W190" s="3">
        <f t="shared" si="6"/>
        <v>100</v>
      </c>
      <c r="X190" s="3" t="str">
        <f t="shared" si="7"/>
        <v>fullaccesss</v>
      </c>
      <c r="Y190" s="3" t="str">
        <f t="shared" si="8"/>
        <v>fullaccesss</v>
      </c>
      <c r="Z190" s="1" t="str">
        <f t="shared" si="9"/>
        <v>fullaccesss</v>
      </c>
      <c r="AA190" s="3">
        <f t="shared" si="10"/>
        <v>1.9982056000000626E-2</v>
      </c>
    </row>
    <row r="191" spans="1:27">
      <c r="A191" s="1" t="s">
        <v>130</v>
      </c>
      <c r="B191" s="1">
        <v>2020</v>
      </c>
      <c r="C191" s="1">
        <v>9660.3496090000008</v>
      </c>
      <c r="D191" s="1">
        <v>71.942001340000004</v>
      </c>
      <c r="E191" s="1">
        <v>99.999997469999997</v>
      </c>
      <c r="F191" s="1">
        <v>0</v>
      </c>
      <c r="G191" s="1">
        <v>2.5272441919999999E-6</v>
      </c>
      <c r="H191" s="1">
        <v>0</v>
      </c>
      <c r="I191" s="1">
        <v>100</v>
      </c>
      <c r="J191" s="1">
        <v>0</v>
      </c>
      <c r="K191" s="1">
        <v>0</v>
      </c>
      <c r="L191" s="1">
        <v>0</v>
      </c>
      <c r="M191" s="1">
        <v>100</v>
      </c>
      <c r="N191" s="1">
        <v>0</v>
      </c>
      <c r="O191" s="1">
        <v>0</v>
      </c>
      <c r="P191" s="1">
        <v>0</v>
      </c>
      <c r="Q191" s="2" t="str">
        <f t="shared" si="0"/>
        <v/>
      </c>
      <c r="R191" s="1" t="str">
        <f t="shared" si="1"/>
        <v/>
      </c>
      <c r="S191" s="1" t="str">
        <f t="shared" si="2"/>
        <v/>
      </c>
      <c r="T191" s="1" t="str">
        <f t="shared" si="3"/>
        <v/>
      </c>
      <c r="U191" s="1">
        <f t="shared" si="4"/>
        <v>100</v>
      </c>
      <c r="V191" s="3">
        <f t="shared" si="5"/>
        <v>100</v>
      </c>
      <c r="W191" s="3">
        <f t="shared" si="6"/>
        <v>100</v>
      </c>
      <c r="X191" s="3" t="str">
        <f t="shared" si="7"/>
        <v/>
      </c>
      <c r="Y191" s="3" t="str">
        <f t="shared" si="8"/>
        <v/>
      </c>
      <c r="Z191" s="1" t="str">
        <f t="shared" si="9"/>
        <v/>
      </c>
      <c r="AA191" s="3" t="str">
        <f t="shared" si="10"/>
        <v/>
      </c>
    </row>
    <row r="192" spans="1:27">
      <c r="A192" s="1" t="s">
        <v>131</v>
      </c>
      <c r="B192" s="1">
        <v>2015</v>
      </c>
      <c r="C192" s="1">
        <v>330.23699950000002</v>
      </c>
      <c r="D192" s="1">
        <v>93.699996949999999</v>
      </c>
      <c r="E192" s="1">
        <v>100.00000230000001</v>
      </c>
      <c r="F192" s="1">
        <v>0</v>
      </c>
      <c r="G192" s="1">
        <v>0</v>
      </c>
      <c r="H192" s="1">
        <v>0</v>
      </c>
      <c r="I192" s="1">
        <v>100</v>
      </c>
      <c r="J192" s="1">
        <v>0</v>
      </c>
      <c r="K192" s="1">
        <v>0</v>
      </c>
      <c r="L192" s="1">
        <v>0</v>
      </c>
      <c r="M192" s="1">
        <v>100</v>
      </c>
      <c r="N192" s="1">
        <v>0</v>
      </c>
      <c r="O192" s="1">
        <v>0</v>
      </c>
      <c r="P192" s="1">
        <v>0</v>
      </c>
      <c r="Q192" s="2">
        <f t="shared" si="0"/>
        <v>5</v>
      </c>
      <c r="R192" s="1">
        <f t="shared" si="1"/>
        <v>-1.0180000003856548E-6</v>
      </c>
      <c r="S192" s="1">
        <f t="shared" si="2"/>
        <v>0</v>
      </c>
      <c r="T192" s="1">
        <f t="shared" si="3"/>
        <v>0</v>
      </c>
      <c r="U192" s="1">
        <f t="shared" si="4"/>
        <v>100</v>
      </c>
      <c r="V192" s="3">
        <f t="shared" si="5"/>
        <v>100</v>
      </c>
      <c r="W192" s="3">
        <f t="shared" si="6"/>
        <v>100</v>
      </c>
      <c r="X192" s="3" t="str">
        <f t="shared" si="7"/>
        <v>fullaccesss</v>
      </c>
      <c r="Y192" s="3" t="str">
        <f t="shared" si="8"/>
        <v>fullaccesss</v>
      </c>
      <c r="Z192" s="1" t="str">
        <f t="shared" si="9"/>
        <v>fullaccesss</v>
      </c>
      <c r="AA192" s="3">
        <f t="shared" si="10"/>
        <v>0</v>
      </c>
    </row>
    <row r="193" spans="1:27">
      <c r="A193" s="1" t="s">
        <v>131</v>
      </c>
      <c r="B193" s="1">
        <v>2020</v>
      </c>
      <c r="C193" s="1">
        <v>341.25</v>
      </c>
      <c r="D193" s="1">
        <v>93.897994999999995</v>
      </c>
      <c r="E193" s="1">
        <v>99.999997210000004</v>
      </c>
      <c r="F193" s="1">
        <v>0</v>
      </c>
      <c r="G193" s="1">
        <v>2.7946500150000002E-6</v>
      </c>
      <c r="H193" s="1">
        <v>0</v>
      </c>
      <c r="I193" s="1">
        <v>100</v>
      </c>
      <c r="J193" s="1">
        <v>0</v>
      </c>
      <c r="K193" s="1">
        <v>0</v>
      </c>
      <c r="L193" s="1">
        <v>0</v>
      </c>
      <c r="M193" s="1">
        <v>100</v>
      </c>
      <c r="N193" s="1">
        <v>0</v>
      </c>
      <c r="O193" s="1">
        <v>0</v>
      </c>
      <c r="P193" s="1">
        <v>0</v>
      </c>
      <c r="Q193" s="2" t="str">
        <f t="shared" si="0"/>
        <v/>
      </c>
      <c r="R193" s="1" t="str">
        <f t="shared" si="1"/>
        <v/>
      </c>
      <c r="S193" s="1" t="str">
        <f t="shared" si="2"/>
        <v/>
      </c>
      <c r="T193" s="1" t="str">
        <f t="shared" si="3"/>
        <v/>
      </c>
      <c r="U193" s="1">
        <f t="shared" si="4"/>
        <v>100</v>
      </c>
      <c r="V193" s="3">
        <f t="shared" si="5"/>
        <v>100</v>
      </c>
      <c r="W193" s="3">
        <f t="shared" si="6"/>
        <v>100</v>
      </c>
      <c r="X193" s="3" t="str">
        <f t="shared" si="7"/>
        <v/>
      </c>
      <c r="Y193" s="3" t="str">
        <f t="shared" si="8"/>
        <v/>
      </c>
      <c r="Z193" s="1" t="str">
        <f t="shared" si="9"/>
        <v/>
      </c>
      <c r="AA193" s="3" t="str">
        <f t="shared" si="10"/>
        <v/>
      </c>
    </row>
    <row r="194" spans="1:27">
      <c r="A194" s="1" t="s">
        <v>132</v>
      </c>
      <c r="B194" s="1">
        <v>2015</v>
      </c>
      <c r="C194" s="1">
        <v>1310152.375</v>
      </c>
      <c r="D194" s="1">
        <v>32.777000430000001</v>
      </c>
      <c r="E194" s="1">
        <v>88.138132630000001</v>
      </c>
      <c r="F194" s="1">
        <v>4.6925990149999999</v>
      </c>
      <c r="G194" s="1">
        <v>6.4124515520000003</v>
      </c>
      <c r="H194" s="1">
        <v>0.75681680389999995</v>
      </c>
      <c r="I194" s="1">
        <v>85.572000349999996</v>
      </c>
      <c r="J194" s="1">
        <v>5.5421338929999999</v>
      </c>
      <c r="K194" s="1">
        <v>7.8808700040000002</v>
      </c>
      <c r="L194" s="1">
        <v>1.004995751</v>
      </c>
      <c r="M194" s="1">
        <v>93.401064610000006</v>
      </c>
      <c r="N194" s="1">
        <v>2.9502709540000001</v>
      </c>
      <c r="O194" s="1">
        <v>3.4008427999999999</v>
      </c>
      <c r="P194" s="1">
        <v>0.2478216409</v>
      </c>
      <c r="Q194" s="2">
        <f t="shared" si="0"/>
        <v>5</v>
      </c>
      <c r="R194" s="1">
        <f t="shared" si="1"/>
        <v>0.47027847999999894</v>
      </c>
      <c r="S194" s="1">
        <f t="shared" si="2"/>
        <v>0.64210055599999971</v>
      </c>
      <c r="T194" s="1">
        <f t="shared" si="3"/>
        <v>5.379433800000015E-2</v>
      </c>
      <c r="U194" s="1">
        <f t="shared" si="4"/>
        <v>88</v>
      </c>
      <c r="V194" s="3">
        <f t="shared" si="5"/>
        <v>86</v>
      </c>
      <c r="W194" s="3">
        <f t="shared" si="6"/>
        <v>93</v>
      </c>
      <c r="X194" s="3" t="str">
        <f t="shared" si="7"/>
        <v/>
      </c>
      <c r="Y194" s="3" t="str">
        <f t="shared" si="8"/>
        <v/>
      </c>
      <c r="Z194" s="1" t="str">
        <f t="shared" si="9"/>
        <v/>
      </c>
      <c r="AA194" s="3">
        <f t="shared" si="10"/>
        <v>0.5883062179999996</v>
      </c>
    </row>
    <row r="195" spans="1:27">
      <c r="A195" s="1" t="s">
        <v>132</v>
      </c>
      <c r="B195" s="1">
        <v>2020</v>
      </c>
      <c r="C195" s="1">
        <v>1380004.375</v>
      </c>
      <c r="D195" s="1">
        <v>34.926002500000003</v>
      </c>
      <c r="E195" s="1">
        <v>90.489525029999996</v>
      </c>
      <c r="F195" s="1">
        <v>4.9836025619999997</v>
      </c>
      <c r="G195" s="1">
        <v>3.9631539450000002</v>
      </c>
      <c r="H195" s="1">
        <v>0.56371846260000003</v>
      </c>
      <c r="I195" s="1">
        <v>88.782503129999995</v>
      </c>
      <c r="J195" s="1">
        <v>5.9022100540000002</v>
      </c>
      <c r="K195" s="1">
        <v>4.5763757299999996</v>
      </c>
      <c r="L195" s="1">
        <v>0.73891108559999996</v>
      </c>
      <c r="M195" s="1">
        <v>93.670036300000007</v>
      </c>
      <c r="N195" s="1">
        <v>3.2720560270000001</v>
      </c>
      <c r="O195" s="1">
        <v>2.8206075230000001</v>
      </c>
      <c r="P195" s="1">
        <v>0.2373001538</v>
      </c>
      <c r="Q195" s="2" t="str">
        <f t="shared" si="0"/>
        <v/>
      </c>
      <c r="R195" s="1" t="str">
        <f t="shared" si="1"/>
        <v/>
      </c>
      <c r="S195" s="1" t="str">
        <f t="shared" si="2"/>
        <v/>
      </c>
      <c r="T195" s="1" t="str">
        <f t="shared" si="3"/>
        <v/>
      </c>
      <c r="U195" s="1">
        <f t="shared" si="4"/>
        <v>90</v>
      </c>
      <c r="V195" s="3">
        <f t="shared" si="5"/>
        <v>89</v>
      </c>
      <c r="W195" s="3">
        <f t="shared" si="6"/>
        <v>94</v>
      </c>
      <c r="X195" s="3" t="str">
        <f t="shared" si="7"/>
        <v/>
      </c>
      <c r="Y195" s="3" t="str">
        <f t="shared" si="8"/>
        <v/>
      </c>
      <c r="Z195" s="1" t="str">
        <f t="shared" si="9"/>
        <v/>
      </c>
      <c r="AA195" s="3" t="str">
        <f t="shared" si="10"/>
        <v/>
      </c>
    </row>
    <row r="196" spans="1:27">
      <c r="A196" s="1" t="s">
        <v>133</v>
      </c>
      <c r="B196" s="1">
        <v>2015</v>
      </c>
      <c r="C196" s="1">
        <v>258383.25</v>
      </c>
      <c r="D196" s="1">
        <v>53.312999730000001</v>
      </c>
      <c r="E196" s="1">
        <v>88.527352960000002</v>
      </c>
      <c r="F196" s="1">
        <v>0.79413052260000006</v>
      </c>
      <c r="G196" s="1">
        <v>8.9438595640000003</v>
      </c>
      <c r="H196" s="1">
        <v>1.7346569540000001</v>
      </c>
      <c r="I196" s="1">
        <v>80.630791189999997</v>
      </c>
      <c r="J196" s="1">
        <v>0.97404573149999996</v>
      </c>
      <c r="K196" s="1">
        <v>14.98518808</v>
      </c>
      <c r="L196" s="1">
        <v>3.4099750009999998</v>
      </c>
      <c r="M196" s="1">
        <v>95.442491759999996</v>
      </c>
      <c r="N196" s="1">
        <v>0.63657604779999999</v>
      </c>
      <c r="O196" s="1">
        <v>3.6533766409999999</v>
      </c>
      <c r="P196" s="1">
        <v>0.26755555320000002</v>
      </c>
      <c r="Q196" s="2">
        <f t="shared" si="0"/>
        <v>5</v>
      </c>
      <c r="R196" s="1">
        <f t="shared" si="1"/>
        <v>0.77759933000000103</v>
      </c>
      <c r="S196" s="1">
        <f t="shared" si="2"/>
        <v>1.0074342380000019</v>
      </c>
      <c r="T196" s="1">
        <f t="shared" si="3"/>
        <v>0.42760406200000034</v>
      </c>
      <c r="U196" s="1">
        <f t="shared" si="4"/>
        <v>89</v>
      </c>
      <c r="V196" s="3">
        <f t="shared" si="5"/>
        <v>81</v>
      </c>
      <c r="W196" s="3">
        <f t="shared" si="6"/>
        <v>95</v>
      </c>
      <c r="X196" s="3" t="str">
        <f t="shared" si="7"/>
        <v/>
      </c>
      <c r="Y196" s="3" t="str">
        <f t="shared" si="8"/>
        <v/>
      </c>
      <c r="Z196" s="1" t="str">
        <f t="shared" si="9"/>
        <v/>
      </c>
      <c r="AA196" s="3">
        <f t="shared" si="10"/>
        <v>0.57983017600000153</v>
      </c>
    </row>
    <row r="197" spans="1:27">
      <c r="A197" s="1" t="s">
        <v>133</v>
      </c>
      <c r="B197" s="1">
        <v>2020</v>
      </c>
      <c r="C197" s="1">
        <v>273523.625</v>
      </c>
      <c r="D197" s="1">
        <v>56.640998840000002</v>
      </c>
      <c r="E197" s="1">
        <v>92.415349610000007</v>
      </c>
      <c r="F197" s="1">
        <v>0.85547463349999997</v>
      </c>
      <c r="G197" s="1">
        <v>5.553871666</v>
      </c>
      <c r="H197" s="1">
        <v>1.175304087</v>
      </c>
      <c r="I197" s="1">
        <v>85.667962380000006</v>
      </c>
      <c r="J197" s="1">
        <v>1.1780912299999999</v>
      </c>
      <c r="K197" s="1">
        <v>10.61491462</v>
      </c>
      <c r="L197" s="1">
        <v>2.539031772</v>
      </c>
      <c r="M197" s="1">
        <v>97.580512069999997</v>
      </c>
      <c r="N197" s="1">
        <v>0.60850983449999996</v>
      </c>
      <c r="O197" s="1">
        <v>1.679615139</v>
      </c>
      <c r="P197" s="1">
        <v>0.13136295880000001</v>
      </c>
      <c r="Q197" s="2" t="str">
        <f t="shared" si="0"/>
        <v/>
      </c>
      <c r="R197" s="1" t="str">
        <f t="shared" si="1"/>
        <v/>
      </c>
      <c r="S197" s="1" t="str">
        <f t="shared" si="2"/>
        <v/>
      </c>
      <c r="T197" s="1" t="str">
        <f t="shared" si="3"/>
        <v/>
      </c>
      <c r="U197" s="1">
        <f t="shared" si="4"/>
        <v>92</v>
      </c>
      <c r="V197" s="3">
        <f t="shared" si="5"/>
        <v>86</v>
      </c>
      <c r="W197" s="3">
        <f t="shared" si="6"/>
        <v>98</v>
      </c>
      <c r="X197" s="3" t="str">
        <f t="shared" si="7"/>
        <v/>
      </c>
      <c r="Y197" s="3" t="str">
        <f t="shared" si="8"/>
        <v/>
      </c>
      <c r="Z197" s="1" t="str">
        <f t="shared" si="9"/>
        <v/>
      </c>
      <c r="AA197" s="3" t="str">
        <f t="shared" si="10"/>
        <v/>
      </c>
    </row>
    <row r="198" spans="1:27">
      <c r="A198" s="1" t="s">
        <v>134</v>
      </c>
      <c r="B198" s="1">
        <v>2015</v>
      </c>
      <c r="C198" s="1">
        <v>78492.210940000004</v>
      </c>
      <c r="D198" s="1">
        <v>73.358001709999996</v>
      </c>
      <c r="E198" s="1">
        <v>96.806987079999999</v>
      </c>
      <c r="F198" s="1">
        <v>1.9948915730000001</v>
      </c>
      <c r="G198" s="1">
        <v>1.126061081</v>
      </c>
      <c r="H198" s="1">
        <v>7.2060265609999993E-2</v>
      </c>
      <c r="I198" s="1">
        <v>92.162502649999993</v>
      </c>
      <c r="J198" s="1">
        <v>4.221624781</v>
      </c>
      <c r="K198" s="1">
        <v>3.3453963830000002</v>
      </c>
      <c r="L198" s="1">
        <v>0.27047619049999999</v>
      </c>
      <c r="M198" s="1">
        <v>98.493760870000003</v>
      </c>
      <c r="N198" s="1">
        <v>1.186191432</v>
      </c>
      <c r="O198" s="1">
        <v>0.3200476961</v>
      </c>
      <c r="P198" s="1">
        <v>0</v>
      </c>
      <c r="Q198" s="2">
        <f t="shared" si="0"/>
        <v>5</v>
      </c>
      <c r="R198" s="1">
        <f t="shared" si="1"/>
        <v>0.13512985000000127</v>
      </c>
      <c r="S198" s="1">
        <f t="shared" si="2"/>
        <v>0.33324654600000087</v>
      </c>
      <c r="T198" s="1">
        <f t="shared" si="3"/>
        <v>3.014517000000012E-2</v>
      </c>
      <c r="U198" s="1">
        <f t="shared" si="4"/>
        <v>97</v>
      </c>
      <c r="V198" s="3">
        <f t="shared" si="5"/>
        <v>92</v>
      </c>
      <c r="W198" s="3">
        <f t="shared" si="6"/>
        <v>98</v>
      </c>
      <c r="X198" s="3" t="str">
        <f t="shared" si="7"/>
        <v/>
      </c>
      <c r="Y198" s="3" t="str">
        <f t="shared" si="8"/>
        <v/>
      </c>
      <c r="Z198" s="1" t="str">
        <f t="shared" si="9"/>
        <v/>
      </c>
      <c r="AA198" s="3">
        <f t="shared" si="10"/>
        <v>0.30310137600000076</v>
      </c>
    </row>
    <row r="199" spans="1:27">
      <c r="A199" s="1" t="s">
        <v>134</v>
      </c>
      <c r="B199" s="1">
        <v>2020</v>
      </c>
      <c r="C199" s="1">
        <v>83992.953129999994</v>
      </c>
      <c r="D199" s="1">
        <v>75.874000550000005</v>
      </c>
      <c r="E199" s="1">
        <v>97.482636330000005</v>
      </c>
      <c r="F199" s="1">
        <v>1.938311229</v>
      </c>
      <c r="G199" s="1">
        <v>0.51379736310000002</v>
      </c>
      <c r="H199" s="1">
        <v>6.5255081849999994E-2</v>
      </c>
      <c r="I199" s="1">
        <v>93.828735379999998</v>
      </c>
      <c r="J199" s="1">
        <v>4.2979487650000001</v>
      </c>
      <c r="K199" s="1">
        <v>1.602839669</v>
      </c>
      <c r="L199" s="1">
        <v>0.27047619049999999</v>
      </c>
      <c r="M199" s="1">
        <v>98.644486720000003</v>
      </c>
      <c r="N199" s="1">
        <v>1.1880066709999999</v>
      </c>
      <c r="O199" s="1">
        <v>0.1675066077</v>
      </c>
      <c r="P199" s="1">
        <v>0</v>
      </c>
      <c r="Q199" s="2" t="str">
        <f t="shared" si="0"/>
        <v/>
      </c>
      <c r="R199" s="1" t="str">
        <f t="shared" si="1"/>
        <v/>
      </c>
      <c r="S199" s="1" t="str">
        <f t="shared" si="2"/>
        <v/>
      </c>
      <c r="T199" s="1" t="str">
        <f t="shared" si="3"/>
        <v/>
      </c>
      <c r="U199" s="1">
        <f t="shared" si="4"/>
        <v>97</v>
      </c>
      <c r="V199" s="3">
        <f t="shared" si="5"/>
        <v>94</v>
      </c>
      <c r="W199" s="3">
        <f t="shared" si="6"/>
        <v>99</v>
      </c>
      <c r="X199" s="3" t="str">
        <f t="shared" si="7"/>
        <v/>
      </c>
      <c r="Y199" s="3" t="str">
        <f t="shared" si="8"/>
        <v/>
      </c>
      <c r="Z199" s="1" t="str">
        <f t="shared" si="9"/>
        <v/>
      </c>
      <c r="AA199" s="3" t="str">
        <f t="shared" si="10"/>
        <v/>
      </c>
    </row>
    <row r="200" spans="1:27">
      <c r="A200" s="1" t="s">
        <v>135</v>
      </c>
      <c r="B200" s="1">
        <v>2015</v>
      </c>
      <c r="C200" s="1">
        <v>35572.269529999998</v>
      </c>
      <c r="D200" s="1">
        <v>69.920997619999994</v>
      </c>
      <c r="E200" s="1">
        <v>94.247593300000005</v>
      </c>
      <c r="F200" s="1">
        <v>1.056676215</v>
      </c>
      <c r="G200" s="1">
        <v>1.7379110360000001</v>
      </c>
      <c r="H200" s="1">
        <v>2.9578194500000001</v>
      </c>
      <c r="I200" s="1">
        <v>84.76271011</v>
      </c>
      <c r="J200" s="1">
        <v>2.8306169350000001</v>
      </c>
      <c r="K200" s="1">
        <v>2.77640479</v>
      </c>
      <c r="L200" s="1">
        <v>9.630268161</v>
      </c>
      <c r="M200" s="1">
        <v>98.3278526</v>
      </c>
      <c r="N200" s="1">
        <v>0.29355262310000002</v>
      </c>
      <c r="O200" s="1">
        <v>1.2911660709999999</v>
      </c>
      <c r="P200" s="1">
        <v>8.74287017E-2</v>
      </c>
      <c r="Q200" s="2">
        <f t="shared" si="0"/>
        <v>5</v>
      </c>
      <c r="R200" s="1">
        <f t="shared" si="1"/>
        <v>0.82246198999999931</v>
      </c>
      <c r="S200" s="1">
        <f t="shared" si="2"/>
        <v>2.0136873339999992</v>
      </c>
      <c r="T200" s="1">
        <f t="shared" si="3"/>
        <v>0.29617568600000083</v>
      </c>
      <c r="U200" s="1">
        <f t="shared" si="4"/>
        <v>94</v>
      </c>
      <c r="V200" s="3">
        <f t="shared" si="5"/>
        <v>85</v>
      </c>
      <c r="W200" s="3">
        <f t="shared" si="6"/>
        <v>98</v>
      </c>
      <c r="X200" s="3" t="str">
        <f t="shared" si="7"/>
        <v/>
      </c>
      <c r="Y200" s="3" t="str">
        <f t="shared" si="8"/>
        <v/>
      </c>
      <c r="Z200" s="1" t="str">
        <f t="shared" si="9"/>
        <v/>
      </c>
      <c r="AA200" s="3">
        <f t="shared" si="10"/>
        <v>1.7175116479999983</v>
      </c>
    </row>
    <row r="201" spans="1:27">
      <c r="A201" s="1" t="s">
        <v>135</v>
      </c>
      <c r="B201" s="1">
        <v>2020</v>
      </c>
      <c r="C201" s="1">
        <v>40222.503909999999</v>
      </c>
      <c r="D201" s="1">
        <v>70.892997739999998</v>
      </c>
      <c r="E201" s="1">
        <v>98.359903250000002</v>
      </c>
      <c r="F201" s="1">
        <v>0.89216034950000001</v>
      </c>
      <c r="G201" s="1">
        <v>2.427900808E-6</v>
      </c>
      <c r="H201" s="1">
        <v>0.74793397129999994</v>
      </c>
      <c r="I201" s="1">
        <v>94.831146779999997</v>
      </c>
      <c r="J201" s="1">
        <v>2.5992513389999998</v>
      </c>
      <c r="K201" s="1">
        <v>0</v>
      </c>
      <c r="L201" s="1">
        <v>2.5696018770000002</v>
      </c>
      <c r="M201" s="1">
        <v>99.808731030000004</v>
      </c>
      <c r="N201" s="1">
        <v>0.19126897000000001</v>
      </c>
      <c r="O201" s="1">
        <v>0</v>
      </c>
      <c r="P201" s="1">
        <v>0</v>
      </c>
      <c r="Q201" s="2" t="str">
        <f t="shared" si="0"/>
        <v/>
      </c>
      <c r="R201" s="1" t="str">
        <f t="shared" si="1"/>
        <v/>
      </c>
      <c r="S201" s="1" t="str">
        <f t="shared" si="2"/>
        <v/>
      </c>
      <c r="T201" s="1" t="str">
        <f t="shared" si="3"/>
        <v/>
      </c>
      <c r="U201" s="1">
        <f t="shared" si="4"/>
        <v>98</v>
      </c>
      <c r="V201" s="3">
        <f t="shared" si="5"/>
        <v>95</v>
      </c>
      <c r="W201" s="3">
        <f t="shared" si="6"/>
        <v>100</v>
      </c>
      <c r="X201" s="3" t="str">
        <f t="shared" si="7"/>
        <v/>
      </c>
      <c r="Y201" s="3" t="str">
        <f t="shared" si="8"/>
        <v/>
      </c>
      <c r="Z201" s="1" t="str">
        <f t="shared" si="9"/>
        <v/>
      </c>
      <c r="AA201" s="3" t="str">
        <f t="shared" si="10"/>
        <v/>
      </c>
    </row>
    <row r="202" spans="1:27">
      <c r="A202" s="1" t="s">
        <v>136</v>
      </c>
      <c r="B202" s="1">
        <v>2015</v>
      </c>
      <c r="C202" s="1">
        <v>4652.419922</v>
      </c>
      <c r="D202" s="1">
        <v>62.537998199999997</v>
      </c>
      <c r="E202" s="1">
        <v>97.372127989999996</v>
      </c>
      <c r="F202" s="1">
        <v>0</v>
      </c>
      <c r="G202" s="1">
        <v>2.6278720080000002</v>
      </c>
      <c r="H202" s="1">
        <v>0</v>
      </c>
      <c r="I202" s="1">
        <v>98.01681619</v>
      </c>
      <c r="J202" s="1">
        <v>0</v>
      </c>
      <c r="K202" s="1">
        <v>1.983183812</v>
      </c>
      <c r="L202" s="1">
        <v>0</v>
      </c>
      <c r="M202" s="1">
        <v>96.98594181</v>
      </c>
      <c r="N202" s="1">
        <v>0</v>
      </c>
      <c r="O202" s="1">
        <v>3.014058189</v>
      </c>
      <c r="P202" s="1">
        <v>0</v>
      </c>
      <c r="Q202" s="2">
        <f t="shared" si="0"/>
        <v>5</v>
      </c>
      <c r="R202" s="1">
        <f t="shared" si="1"/>
        <v>5.5157040000011646E-3</v>
      </c>
      <c r="S202" s="1">
        <f t="shared" si="2"/>
        <v>2.3620912000001226E-2</v>
      </c>
      <c r="T202" s="1">
        <f t="shared" si="3"/>
        <v>-1.2111559999993915E-3</v>
      </c>
      <c r="U202" s="1">
        <f t="shared" si="4"/>
        <v>97</v>
      </c>
      <c r="V202" s="3">
        <f t="shared" si="5"/>
        <v>98</v>
      </c>
      <c r="W202" s="3">
        <f t="shared" si="6"/>
        <v>97</v>
      </c>
      <c r="X202" s="3" t="str">
        <f t="shared" si="7"/>
        <v/>
      </c>
      <c r="Y202" s="3" t="str">
        <f t="shared" si="8"/>
        <v/>
      </c>
      <c r="Z202" s="1" t="str">
        <f t="shared" si="9"/>
        <v/>
      </c>
      <c r="AA202" s="3">
        <f t="shared" si="10"/>
        <v>2.4832068000000616E-2</v>
      </c>
    </row>
    <row r="203" spans="1:27">
      <c r="A203" s="1" t="s">
        <v>136</v>
      </c>
      <c r="B203" s="1">
        <v>2020</v>
      </c>
      <c r="C203" s="1">
        <v>4937.7958980000003</v>
      </c>
      <c r="D203" s="1">
        <v>63.652999880000003</v>
      </c>
      <c r="E203" s="1">
        <v>97.399706510000001</v>
      </c>
      <c r="F203" s="1">
        <v>0</v>
      </c>
      <c r="G203" s="1">
        <v>2.6002934849999999</v>
      </c>
      <c r="H203" s="1">
        <v>0</v>
      </c>
      <c r="I203" s="1">
        <v>98.134920750000006</v>
      </c>
      <c r="J203" s="1">
        <v>0</v>
      </c>
      <c r="K203" s="1">
        <v>1.8650792469999999</v>
      </c>
      <c r="L203" s="1">
        <v>0</v>
      </c>
      <c r="M203" s="1">
        <v>96.979886030000003</v>
      </c>
      <c r="N203" s="1">
        <v>0</v>
      </c>
      <c r="O203" s="1">
        <v>3.0201139659999998</v>
      </c>
      <c r="P203" s="1">
        <v>0</v>
      </c>
      <c r="Q203" s="2" t="str">
        <f t="shared" si="0"/>
        <v/>
      </c>
      <c r="R203" s="1" t="str">
        <f t="shared" si="1"/>
        <v/>
      </c>
      <c r="S203" s="1" t="str">
        <f t="shared" si="2"/>
        <v/>
      </c>
      <c r="T203" s="1" t="str">
        <f t="shared" si="3"/>
        <v/>
      </c>
      <c r="U203" s="1">
        <f t="shared" si="4"/>
        <v>97</v>
      </c>
      <c r="V203" s="3">
        <f t="shared" si="5"/>
        <v>98</v>
      </c>
      <c r="W203" s="3">
        <f t="shared" si="6"/>
        <v>97</v>
      </c>
      <c r="X203" s="3" t="str">
        <f t="shared" si="7"/>
        <v/>
      </c>
      <c r="Y203" s="3" t="str">
        <f t="shared" si="8"/>
        <v/>
      </c>
      <c r="Z203" s="1" t="str">
        <f t="shared" si="9"/>
        <v/>
      </c>
      <c r="AA203" s="3" t="str">
        <f t="shared" si="10"/>
        <v/>
      </c>
    </row>
    <row r="204" spans="1:27">
      <c r="A204" s="1" t="s">
        <v>137</v>
      </c>
      <c r="B204" s="1">
        <v>2015</v>
      </c>
      <c r="C204" s="1">
        <v>83.232002260000002</v>
      </c>
      <c r="D204" s="1">
        <v>52.244998930000001</v>
      </c>
      <c r="E204" s="1">
        <v>99.075000000000003</v>
      </c>
      <c r="F204" s="1">
        <v>0</v>
      </c>
      <c r="G204" s="1">
        <v>0.92500000000000004</v>
      </c>
      <c r="H204" s="1">
        <v>0</v>
      </c>
      <c r="I204" s="1" t="s">
        <v>272</v>
      </c>
      <c r="J204" s="1" t="s">
        <v>272</v>
      </c>
      <c r="K204" s="1" t="s">
        <v>272</v>
      </c>
      <c r="L204" s="1" t="s">
        <v>272</v>
      </c>
      <c r="M204" s="1" t="s">
        <v>272</v>
      </c>
      <c r="N204" s="1" t="s">
        <v>272</v>
      </c>
      <c r="O204" s="1" t="s">
        <v>272</v>
      </c>
      <c r="P204" s="1" t="s">
        <v>272</v>
      </c>
      <c r="Q204" s="2">
        <f t="shared" si="0"/>
        <v>5</v>
      </c>
      <c r="R204" s="1">
        <f t="shared" si="1"/>
        <v>0</v>
      </c>
      <c r="S204" s="1" t="str">
        <f t="shared" si="2"/>
        <v>null</v>
      </c>
      <c r="T204" s="1" t="str">
        <f t="shared" si="3"/>
        <v>null</v>
      </c>
      <c r="U204" s="1">
        <f t="shared" si="4"/>
        <v>99</v>
      </c>
      <c r="V204" s="3" t="str">
        <f t="shared" si="5"/>
        <v>null</v>
      </c>
      <c r="W204" s="3" t="str">
        <f t="shared" si="6"/>
        <v>null</v>
      </c>
      <c r="X204" s="3" t="str">
        <f t="shared" si="7"/>
        <v/>
      </c>
      <c r="Y204" s="3" t="str">
        <f t="shared" si="8"/>
        <v/>
      </c>
      <c r="Z204" s="1" t="str">
        <f t="shared" si="9"/>
        <v/>
      </c>
      <c r="AA204" s="3" t="str">
        <f t="shared" si="10"/>
        <v>null</v>
      </c>
    </row>
    <row r="205" spans="1:27">
      <c r="A205" s="1" t="s">
        <v>137</v>
      </c>
      <c r="B205" s="1">
        <v>2020</v>
      </c>
      <c r="C205" s="1">
        <v>85.031997680000003</v>
      </c>
      <c r="D205" s="1">
        <v>52.89800262</v>
      </c>
      <c r="E205" s="1">
        <v>99.075000000000003</v>
      </c>
      <c r="F205" s="1">
        <v>0</v>
      </c>
      <c r="G205" s="1">
        <v>0.92500000000000004</v>
      </c>
      <c r="H205" s="1">
        <v>0</v>
      </c>
      <c r="I205" s="1" t="s">
        <v>272</v>
      </c>
      <c r="J205" s="1" t="s">
        <v>272</v>
      </c>
      <c r="K205" s="1" t="s">
        <v>272</v>
      </c>
      <c r="L205" s="1" t="s">
        <v>272</v>
      </c>
      <c r="M205" s="1" t="s">
        <v>272</v>
      </c>
      <c r="N205" s="1" t="s">
        <v>272</v>
      </c>
      <c r="O205" s="1" t="s">
        <v>272</v>
      </c>
      <c r="P205" s="1" t="s">
        <v>272</v>
      </c>
      <c r="Q205" s="2" t="str">
        <f t="shared" si="0"/>
        <v/>
      </c>
      <c r="R205" s="1" t="str">
        <f t="shared" si="1"/>
        <v/>
      </c>
      <c r="S205" s="1" t="str">
        <f t="shared" si="2"/>
        <v/>
      </c>
      <c r="T205" s="1" t="str">
        <f t="shared" si="3"/>
        <v/>
      </c>
      <c r="U205" s="1">
        <f t="shared" si="4"/>
        <v>99</v>
      </c>
      <c r="V205" s="3" t="str">
        <f t="shared" si="5"/>
        <v>null</v>
      </c>
      <c r="W205" s="3" t="str">
        <f t="shared" si="6"/>
        <v>null</v>
      </c>
      <c r="X205" s="3" t="str">
        <f t="shared" si="7"/>
        <v/>
      </c>
      <c r="Y205" s="3" t="str">
        <f t="shared" si="8"/>
        <v/>
      </c>
      <c r="Z205" s="1" t="str">
        <f t="shared" si="9"/>
        <v/>
      </c>
      <c r="AA205" s="3" t="str">
        <f t="shared" si="10"/>
        <v/>
      </c>
    </row>
    <row r="206" spans="1:27">
      <c r="A206" s="1" t="s">
        <v>138</v>
      </c>
      <c r="B206" s="1">
        <v>2015</v>
      </c>
      <c r="C206" s="1">
        <v>7978.4960940000001</v>
      </c>
      <c r="D206" s="1">
        <v>92.179000849999994</v>
      </c>
      <c r="E206" s="1">
        <v>100.0000015</v>
      </c>
      <c r="F206" s="1">
        <v>0</v>
      </c>
      <c r="G206" s="1">
        <v>0</v>
      </c>
      <c r="H206" s="1">
        <v>0</v>
      </c>
      <c r="I206" s="1">
        <v>100</v>
      </c>
      <c r="J206" s="1">
        <v>0</v>
      </c>
      <c r="K206" s="1">
        <v>0</v>
      </c>
      <c r="L206" s="1">
        <v>0</v>
      </c>
      <c r="M206" s="1">
        <v>100</v>
      </c>
      <c r="N206" s="1">
        <v>0</v>
      </c>
      <c r="O206" s="1">
        <v>0</v>
      </c>
      <c r="P206" s="1">
        <v>0</v>
      </c>
      <c r="Q206" s="2">
        <f t="shared" si="0"/>
        <v>5</v>
      </c>
      <c r="R206" s="1">
        <f t="shared" si="1"/>
        <v>-2.999999992425728E-7</v>
      </c>
      <c r="S206" s="1">
        <f t="shared" si="2"/>
        <v>0</v>
      </c>
      <c r="T206" s="1">
        <f t="shared" si="3"/>
        <v>0</v>
      </c>
      <c r="U206" s="1">
        <f t="shared" si="4"/>
        <v>100</v>
      </c>
      <c r="V206" s="3">
        <f t="shared" si="5"/>
        <v>100</v>
      </c>
      <c r="W206" s="3">
        <f t="shared" si="6"/>
        <v>100</v>
      </c>
      <c r="X206" s="3" t="str">
        <f t="shared" si="7"/>
        <v>fullaccesss</v>
      </c>
      <c r="Y206" s="3" t="str">
        <f t="shared" si="8"/>
        <v>fullaccesss</v>
      </c>
      <c r="Z206" s="1" t="str">
        <f t="shared" si="9"/>
        <v>fullaccesss</v>
      </c>
      <c r="AA206" s="3">
        <f t="shared" si="10"/>
        <v>0</v>
      </c>
    </row>
    <row r="207" spans="1:27">
      <c r="A207" s="1" t="s">
        <v>138</v>
      </c>
      <c r="B207" s="1">
        <v>2020</v>
      </c>
      <c r="C207" s="1">
        <v>8655.5410159999992</v>
      </c>
      <c r="D207" s="1">
        <v>92.58699799</v>
      </c>
      <c r="E207" s="1">
        <v>100</v>
      </c>
      <c r="F207" s="1">
        <v>0</v>
      </c>
      <c r="G207" s="1">
        <v>0</v>
      </c>
      <c r="H207" s="1">
        <v>0</v>
      </c>
      <c r="I207" s="1">
        <v>100</v>
      </c>
      <c r="J207" s="1">
        <v>0</v>
      </c>
      <c r="K207" s="1">
        <v>0</v>
      </c>
      <c r="L207" s="1">
        <v>0</v>
      </c>
      <c r="M207" s="1">
        <v>100</v>
      </c>
      <c r="N207" s="1">
        <v>0</v>
      </c>
      <c r="O207" s="1">
        <v>0</v>
      </c>
      <c r="P207" s="1">
        <v>0</v>
      </c>
      <c r="Q207" s="2" t="str">
        <f t="shared" si="0"/>
        <v/>
      </c>
      <c r="R207" s="1" t="str">
        <f t="shared" si="1"/>
        <v/>
      </c>
      <c r="S207" s="1" t="str">
        <f t="shared" si="2"/>
        <v/>
      </c>
      <c r="T207" s="1" t="str">
        <f t="shared" si="3"/>
        <v/>
      </c>
      <c r="U207" s="1">
        <f t="shared" si="4"/>
        <v>100</v>
      </c>
      <c r="V207" s="3">
        <f t="shared" si="5"/>
        <v>100</v>
      </c>
      <c r="W207" s="3">
        <f t="shared" si="6"/>
        <v>100</v>
      </c>
      <c r="X207" s="3" t="str">
        <f t="shared" si="7"/>
        <v/>
      </c>
      <c r="Y207" s="3" t="str">
        <f t="shared" si="8"/>
        <v/>
      </c>
      <c r="Z207" s="1" t="str">
        <f t="shared" si="9"/>
        <v/>
      </c>
      <c r="AA207" s="3" t="str">
        <f t="shared" si="10"/>
        <v/>
      </c>
    </row>
    <row r="208" spans="1:27">
      <c r="A208" s="1" t="s">
        <v>139</v>
      </c>
      <c r="B208" s="1">
        <v>2015</v>
      </c>
      <c r="C208" s="1">
        <v>60578.488279999998</v>
      </c>
      <c r="D208" s="1">
        <v>69.565002440000001</v>
      </c>
      <c r="E208" s="1">
        <v>99.91703407</v>
      </c>
      <c r="F208" s="1">
        <v>0</v>
      </c>
      <c r="G208" s="1">
        <v>8.2965925910000002E-2</v>
      </c>
      <c r="H208" s="1">
        <v>0</v>
      </c>
      <c r="I208" s="1" t="s">
        <v>272</v>
      </c>
      <c r="J208" s="1" t="s">
        <v>272</v>
      </c>
      <c r="K208" s="1" t="s">
        <v>272</v>
      </c>
      <c r="L208" s="1" t="s">
        <v>272</v>
      </c>
      <c r="M208" s="1" t="s">
        <v>272</v>
      </c>
      <c r="N208" s="1" t="s">
        <v>272</v>
      </c>
      <c r="O208" s="1" t="s">
        <v>272</v>
      </c>
      <c r="P208" s="1" t="s">
        <v>272</v>
      </c>
      <c r="Q208" s="2">
        <f t="shared" si="0"/>
        <v>5</v>
      </c>
      <c r="R208" s="1">
        <f t="shared" si="1"/>
        <v>0</v>
      </c>
      <c r="S208" s="1" t="str">
        <f t="shared" si="2"/>
        <v>null</v>
      </c>
      <c r="T208" s="1" t="str">
        <f t="shared" si="3"/>
        <v>null</v>
      </c>
      <c r="U208" s="1">
        <f t="shared" si="4"/>
        <v>100</v>
      </c>
      <c r="V208" s="3" t="str">
        <f t="shared" si="5"/>
        <v>null</v>
      </c>
      <c r="W208" s="3" t="str">
        <f t="shared" si="6"/>
        <v>null</v>
      </c>
      <c r="X208" s="3" t="str">
        <f t="shared" si="7"/>
        <v>fullaccesss</v>
      </c>
      <c r="Y208" s="3" t="str">
        <f t="shared" si="8"/>
        <v/>
      </c>
      <c r="Z208" s="1" t="str">
        <f t="shared" si="9"/>
        <v/>
      </c>
      <c r="AA208" s="3" t="str">
        <f t="shared" si="10"/>
        <v>null</v>
      </c>
    </row>
    <row r="209" spans="1:27">
      <c r="A209" s="1" t="s">
        <v>139</v>
      </c>
      <c r="B209" s="1">
        <v>2020</v>
      </c>
      <c r="C209" s="1">
        <v>60461.828130000002</v>
      </c>
      <c r="D209" s="1">
        <v>71.038993840000003</v>
      </c>
      <c r="E209" s="1">
        <v>99.91703407</v>
      </c>
      <c r="F209" s="1">
        <v>0</v>
      </c>
      <c r="G209" s="1">
        <v>8.2965925910000002E-2</v>
      </c>
      <c r="H209" s="1">
        <v>0</v>
      </c>
      <c r="I209" s="1" t="s">
        <v>272</v>
      </c>
      <c r="J209" s="1" t="s">
        <v>272</v>
      </c>
      <c r="K209" s="1" t="s">
        <v>272</v>
      </c>
      <c r="L209" s="1" t="s">
        <v>272</v>
      </c>
      <c r="M209" s="1" t="s">
        <v>272</v>
      </c>
      <c r="N209" s="1" t="s">
        <v>272</v>
      </c>
      <c r="O209" s="1" t="s">
        <v>272</v>
      </c>
      <c r="P209" s="1" t="s">
        <v>272</v>
      </c>
      <c r="Q209" s="2" t="str">
        <f t="shared" si="0"/>
        <v/>
      </c>
      <c r="R209" s="1" t="str">
        <f t="shared" si="1"/>
        <v/>
      </c>
      <c r="S209" s="1" t="str">
        <f t="shared" si="2"/>
        <v/>
      </c>
      <c r="T209" s="1" t="str">
        <f t="shared" si="3"/>
        <v/>
      </c>
      <c r="U209" s="1">
        <f t="shared" si="4"/>
        <v>100</v>
      </c>
      <c r="V209" s="3" t="str">
        <f t="shared" si="5"/>
        <v>null</v>
      </c>
      <c r="W209" s="3" t="str">
        <f t="shared" si="6"/>
        <v>null</v>
      </c>
      <c r="X209" s="3" t="str">
        <f t="shared" si="7"/>
        <v/>
      </c>
      <c r="Y209" s="3" t="str">
        <f t="shared" si="8"/>
        <v/>
      </c>
      <c r="Z209" s="1" t="str">
        <f t="shared" si="9"/>
        <v/>
      </c>
      <c r="AA209" s="3" t="str">
        <f t="shared" si="10"/>
        <v/>
      </c>
    </row>
    <row r="210" spans="1:27">
      <c r="A210" s="1" t="s">
        <v>140</v>
      </c>
      <c r="B210" s="1">
        <v>2015</v>
      </c>
      <c r="C210" s="1">
        <v>2891.0239259999998</v>
      </c>
      <c r="D210" s="1">
        <v>54.833004000000003</v>
      </c>
      <c r="E210" s="1">
        <v>90.416796289999994</v>
      </c>
      <c r="F210" s="1">
        <v>5.4073366030000001</v>
      </c>
      <c r="G210" s="1">
        <v>2.169821217</v>
      </c>
      <c r="H210" s="1">
        <v>2.006045893</v>
      </c>
      <c r="I210" s="1">
        <v>84.500709900000004</v>
      </c>
      <c r="J210" s="1">
        <v>8.4013357529999997</v>
      </c>
      <c r="K210" s="1">
        <v>3.055395678</v>
      </c>
      <c r="L210" s="1">
        <v>4.0425586710000001</v>
      </c>
      <c r="M210" s="1">
        <v>95.289990239999995</v>
      </c>
      <c r="N210" s="1">
        <v>2.9411220149999999</v>
      </c>
      <c r="O210" s="1">
        <v>1.440356529</v>
      </c>
      <c r="P210" s="1">
        <v>0.32853121530000001</v>
      </c>
      <c r="Q210" s="2">
        <f t="shared" si="0"/>
        <v>5</v>
      </c>
      <c r="R210" s="1">
        <f t="shared" si="1"/>
        <v>0.12262964200000112</v>
      </c>
      <c r="S210" s="1">
        <f t="shared" si="2"/>
        <v>0.17984045199999912</v>
      </c>
      <c r="T210" s="1">
        <f t="shared" si="3"/>
        <v>2.1605134000000702E-2</v>
      </c>
      <c r="U210" s="1">
        <f t="shared" si="4"/>
        <v>90</v>
      </c>
      <c r="V210" s="3">
        <f t="shared" si="5"/>
        <v>85</v>
      </c>
      <c r="W210" s="3">
        <f t="shared" si="6"/>
        <v>95</v>
      </c>
      <c r="X210" s="3" t="str">
        <f t="shared" si="7"/>
        <v/>
      </c>
      <c r="Y210" s="3" t="str">
        <f t="shared" si="8"/>
        <v/>
      </c>
      <c r="Z210" s="1" t="str">
        <f t="shared" si="9"/>
        <v/>
      </c>
      <c r="AA210" s="3">
        <f t="shared" si="10"/>
        <v>0.15823531799999843</v>
      </c>
    </row>
    <row r="211" spans="1:27">
      <c r="A211" s="1" t="s">
        <v>140</v>
      </c>
      <c r="B211" s="1">
        <v>2020</v>
      </c>
      <c r="C211" s="1">
        <v>2961.1608890000002</v>
      </c>
      <c r="D211" s="1">
        <v>56.311000819999997</v>
      </c>
      <c r="E211" s="1">
        <v>91.029944499999999</v>
      </c>
      <c r="F211" s="1">
        <v>5.3675709139999999</v>
      </c>
      <c r="G211" s="1">
        <v>1.8640102030000001</v>
      </c>
      <c r="H211" s="1">
        <v>1.7384743789999999</v>
      </c>
      <c r="I211" s="1">
        <v>85.39991216</v>
      </c>
      <c r="J211" s="1">
        <v>8.4907373709999998</v>
      </c>
      <c r="K211" s="1">
        <v>2.5689718949999998</v>
      </c>
      <c r="L211" s="1">
        <v>3.540378574</v>
      </c>
      <c r="M211" s="1">
        <v>95.398015909999998</v>
      </c>
      <c r="N211" s="1">
        <v>2.944456223</v>
      </c>
      <c r="O211" s="1">
        <v>1.317064322</v>
      </c>
      <c r="P211" s="1">
        <v>0.34046355</v>
      </c>
      <c r="Q211" s="2" t="str">
        <f t="shared" si="0"/>
        <v/>
      </c>
      <c r="R211" s="1" t="str">
        <f t="shared" si="1"/>
        <v/>
      </c>
      <c r="S211" s="1" t="str">
        <f t="shared" si="2"/>
        <v/>
      </c>
      <c r="T211" s="1" t="str">
        <f t="shared" si="3"/>
        <v/>
      </c>
      <c r="U211" s="1">
        <f t="shared" si="4"/>
        <v>91</v>
      </c>
      <c r="V211" s="3">
        <f t="shared" si="5"/>
        <v>85</v>
      </c>
      <c r="W211" s="3">
        <f t="shared" si="6"/>
        <v>95</v>
      </c>
      <c r="X211" s="3" t="str">
        <f t="shared" si="7"/>
        <v/>
      </c>
      <c r="Y211" s="3" t="str">
        <f t="shared" si="8"/>
        <v/>
      </c>
      <c r="Z211" s="1" t="str">
        <f t="shared" si="9"/>
        <v/>
      </c>
      <c r="AA211" s="3" t="str">
        <f t="shared" si="10"/>
        <v/>
      </c>
    </row>
    <row r="212" spans="1:27">
      <c r="A212" s="1" t="s">
        <v>141</v>
      </c>
      <c r="B212" s="1">
        <v>2015</v>
      </c>
      <c r="C212" s="1">
        <v>127985.1406</v>
      </c>
      <c r="D212" s="1">
        <v>91.380996699999997</v>
      </c>
      <c r="E212" s="1">
        <v>98.922805479999994</v>
      </c>
      <c r="F212" s="1">
        <v>0</v>
      </c>
      <c r="G212" s="1">
        <v>1.0771945169999999</v>
      </c>
      <c r="H212" s="1">
        <v>0</v>
      </c>
      <c r="I212" s="1" t="s">
        <v>272</v>
      </c>
      <c r="J212" s="1" t="s">
        <v>272</v>
      </c>
      <c r="K212" s="1" t="s">
        <v>272</v>
      </c>
      <c r="L212" s="1" t="s">
        <v>272</v>
      </c>
      <c r="M212" s="1" t="s">
        <v>272</v>
      </c>
      <c r="N212" s="1" t="s">
        <v>272</v>
      </c>
      <c r="O212" s="1" t="s">
        <v>272</v>
      </c>
      <c r="P212" s="1" t="s">
        <v>272</v>
      </c>
      <c r="Q212" s="2">
        <f t="shared" si="0"/>
        <v>5</v>
      </c>
      <c r="R212" s="1">
        <f t="shared" si="1"/>
        <v>3.1221394000002078E-2</v>
      </c>
      <c r="S212" s="1" t="str">
        <f t="shared" si="2"/>
        <v>null</v>
      </c>
      <c r="T212" s="1" t="str">
        <f t="shared" si="3"/>
        <v>null</v>
      </c>
      <c r="U212" s="1">
        <f t="shared" si="4"/>
        <v>99</v>
      </c>
      <c r="V212" s="3" t="str">
        <f t="shared" si="5"/>
        <v>null</v>
      </c>
      <c r="W212" s="3" t="str">
        <f t="shared" si="6"/>
        <v>null</v>
      </c>
      <c r="X212" s="3" t="str">
        <f t="shared" si="7"/>
        <v/>
      </c>
      <c r="Y212" s="3" t="str">
        <f t="shared" si="8"/>
        <v/>
      </c>
      <c r="Z212" s="1" t="str">
        <f t="shared" si="9"/>
        <v/>
      </c>
      <c r="AA212" s="3" t="str">
        <f t="shared" si="10"/>
        <v>null</v>
      </c>
    </row>
    <row r="213" spans="1:27">
      <c r="A213" s="1" t="s">
        <v>141</v>
      </c>
      <c r="B213" s="1">
        <v>2020</v>
      </c>
      <c r="C213" s="1">
        <v>126476.46090000001</v>
      </c>
      <c r="D213" s="1">
        <v>91.781997680000003</v>
      </c>
      <c r="E213" s="1">
        <v>99.078912450000004</v>
      </c>
      <c r="F213" s="1">
        <v>0</v>
      </c>
      <c r="G213" s="1">
        <v>0.92108754670000004</v>
      </c>
      <c r="H213" s="1">
        <v>0</v>
      </c>
      <c r="I213" s="1" t="s">
        <v>272</v>
      </c>
      <c r="J213" s="1" t="s">
        <v>272</v>
      </c>
      <c r="K213" s="1" t="s">
        <v>272</v>
      </c>
      <c r="L213" s="1" t="s">
        <v>272</v>
      </c>
      <c r="M213" s="1" t="s">
        <v>272</v>
      </c>
      <c r="N213" s="1" t="s">
        <v>272</v>
      </c>
      <c r="O213" s="1" t="s">
        <v>272</v>
      </c>
      <c r="P213" s="1" t="s">
        <v>272</v>
      </c>
      <c r="Q213" s="2" t="str">
        <f t="shared" si="0"/>
        <v/>
      </c>
      <c r="R213" s="1" t="str">
        <f t="shared" si="1"/>
        <v/>
      </c>
      <c r="S213" s="1" t="str">
        <f t="shared" si="2"/>
        <v/>
      </c>
      <c r="T213" s="1" t="str">
        <f t="shared" si="3"/>
        <v/>
      </c>
      <c r="U213" s="1">
        <f t="shared" si="4"/>
        <v>99</v>
      </c>
      <c r="V213" s="3" t="str">
        <f t="shared" si="5"/>
        <v>null</v>
      </c>
      <c r="W213" s="3" t="str">
        <f t="shared" si="6"/>
        <v>null</v>
      </c>
      <c r="X213" s="3" t="str">
        <f t="shared" si="7"/>
        <v/>
      </c>
      <c r="Y213" s="3" t="str">
        <f t="shared" si="8"/>
        <v/>
      </c>
      <c r="Z213" s="1" t="str">
        <f t="shared" si="9"/>
        <v/>
      </c>
      <c r="AA213" s="3" t="str">
        <f t="shared" si="10"/>
        <v/>
      </c>
    </row>
    <row r="214" spans="1:27">
      <c r="A214" s="1" t="s">
        <v>142</v>
      </c>
      <c r="B214" s="1">
        <v>2015</v>
      </c>
      <c r="C214" s="1">
        <v>9266.5732420000004</v>
      </c>
      <c r="D214" s="1">
        <v>90.256004329999996</v>
      </c>
      <c r="E214" s="1">
        <v>99.006784909999993</v>
      </c>
      <c r="F214" s="1">
        <v>0.15240298360000001</v>
      </c>
      <c r="G214" s="1">
        <v>0.78123116479999999</v>
      </c>
      <c r="H214" s="1">
        <v>5.958093834E-2</v>
      </c>
      <c r="I214" s="1">
        <v>97.362315390000006</v>
      </c>
      <c r="J214" s="1">
        <v>0.62427255179999996</v>
      </c>
      <c r="K214" s="1">
        <v>1.973552059</v>
      </c>
      <c r="L214" s="1">
        <v>3.986E-2</v>
      </c>
      <c r="M214" s="1">
        <v>99.184316820000006</v>
      </c>
      <c r="N214" s="1">
        <v>0.10146013550000001</v>
      </c>
      <c r="O214" s="1">
        <v>0.65251304369999996</v>
      </c>
      <c r="P214" s="1">
        <v>6.1710000000000001E-2</v>
      </c>
      <c r="Q214" s="2">
        <f t="shared" si="0"/>
        <v>5</v>
      </c>
      <c r="R214" s="1">
        <f t="shared" si="1"/>
        <v>-1.3296389999999292E-2</v>
      </c>
      <c r="S214" s="1">
        <f t="shared" si="2"/>
        <v>-1.0167340000000991E-2</v>
      </c>
      <c r="T214" s="1">
        <f t="shared" si="3"/>
        <v>-1.8220846000002667E-2</v>
      </c>
      <c r="U214" s="1">
        <f t="shared" si="4"/>
        <v>99</v>
      </c>
      <c r="V214" s="3">
        <f t="shared" si="5"/>
        <v>97</v>
      </c>
      <c r="W214" s="3">
        <f t="shared" si="6"/>
        <v>99</v>
      </c>
      <c r="X214" s="3" t="str">
        <f t="shared" si="7"/>
        <v/>
      </c>
      <c r="Y214" s="3" t="str">
        <f t="shared" si="8"/>
        <v/>
      </c>
      <c r="Z214" s="1" t="str">
        <f t="shared" si="9"/>
        <v/>
      </c>
      <c r="AA214" s="3">
        <f t="shared" si="10"/>
        <v>8.0535060000016759E-3</v>
      </c>
    </row>
    <row r="215" spans="1:27">
      <c r="A215" s="1" t="s">
        <v>142</v>
      </c>
      <c r="B215" s="1">
        <v>2020</v>
      </c>
      <c r="C215" s="1">
        <v>10203.139649999999</v>
      </c>
      <c r="D215" s="1">
        <v>91.417999269999996</v>
      </c>
      <c r="E215" s="1">
        <v>98.940302959999997</v>
      </c>
      <c r="F215" s="1">
        <v>0.1462147369</v>
      </c>
      <c r="G215" s="1">
        <v>0.8536474704</v>
      </c>
      <c r="H215" s="1">
        <v>5.9834831790000001E-2</v>
      </c>
      <c r="I215" s="1">
        <v>97.311478690000001</v>
      </c>
      <c r="J215" s="1">
        <v>0.62394659450000001</v>
      </c>
      <c r="K215" s="1">
        <v>2.0247147160000001</v>
      </c>
      <c r="L215" s="1">
        <v>3.986E-2</v>
      </c>
      <c r="M215" s="1">
        <v>99.093212589999993</v>
      </c>
      <c r="N215" s="1">
        <v>0.1013669408</v>
      </c>
      <c r="O215" s="1">
        <v>0.74371047069999996</v>
      </c>
      <c r="P215" s="1">
        <v>6.1710000000000001E-2</v>
      </c>
      <c r="Q215" s="2" t="str">
        <f t="shared" si="0"/>
        <v/>
      </c>
      <c r="R215" s="1" t="str">
        <f t="shared" si="1"/>
        <v/>
      </c>
      <c r="S215" s="1" t="str">
        <f t="shared" si="2"/>
        <v/>
      </c>
      <c r="T215" s="1" t="str">
        <f t="shared" si="3"/>
        <v/>
      </c>
      <c r="U215" s="1">
        <f t="shared" si="4"/>
        <v>99</v>
      </c>
      <c r="V215" s="3">
        <f t="shared" si="5"/>
        <v>97</v>
      </c>
      <c r="W215" s="3">
        <f t="shared" si="6"/>
        <v>99</v>
      </c>
      <c r="X215" s="3" t="str">
        <f t="shared" si="7"/>
        <v/>
      </c>
      <c r="Y215" s="3" t="str">
        <f t="shared" si="8"/>
        <v/>
      </c>
      <c r="Z215" s="1" t="str">
        <f t="shared" si="9"/>
        <v/>
      </c>
      <c r="AA215" s="3" t="str">
        <f t="shared" si="10"/>
        <v/>
      </c>
    </row>
    <row r="216" spans="1:27">
      <c r="A216" s="1" t="s">
        <v>143</v>
      </c>
      <c r="B216" s="1">
        <v>2015</v>
      </c>
      <c r="C216" s="1">
        <v>17572.009770000001</v>
      </c>
      <c r="D216" s="1">
        <v>57.191001890000003</v>
      </c>
      <c r="E216" s="1">
        <v>95.025334409999999</v>
      </c>
      <c r="F216" s="1">
        <v>1.812908425</v>
      </c>
      <c r="G216" s="1">
        <v>2.9043926519999999</v>
      </c>
      <c r="H216" s="1">
        <v>0.25736451110000003</v>
      </c>
      <c r="I216" s="1">
        <v>90.747497839999994</v>
      </c>
      <c r="J216" s="1">
        <v>1.8667718499999999</v>
      </c>
      <c r="K216" s="1">
        <v>6.7845377490000001</v>
      </c>
      <c r="L216" s="1">
        <v>0.60119255559999996</v>
      </c>
      <c r="M216" s="1">
        <v>98.227409789999996</v>
      </c>
      <c r="N216" s="1">
        <v>1.7725902060000001</v>
      </c>
      <c r="O216" s="1">
        <v>0</v>
      </c>
      <c r="P216" s="1">
        <v>0</v>
      </c>
      <c r="Q216" s="2">
        <f t="shared" si="0"/>
        <v>5</v>
      </c>
      <c r="R216" s="1">
        <f t="shared" si="1"/>
        <v>8.1927182000001153E-2</v>
      </c>
      <c r="S216" s="1">
        <f t="shared" si="2"/>
        <v>0.23835090000000037</v>
      </c>
      <c r="T216" s="1">
        <f t="shared" si="3"/>
        <v>-4.5335692000000448E-2</v>
      </c>
      <c r="U216" s="1">
        <f t="shared" si="4"/>
        <v>95</v>
      </c>
      <c r="V216" s="3">
        <f t="shared" si="5"/>
        <v>91</v>
      </c>
      <c r="W216" s="3">
        <f t="shared" si="6"/>
        <v>98</v>
      </c>
      <c r="X216" s="3" t="str">
        <f t="shared" si="7"/>
        <v/>
      </c>
      <c r="Y216" s="3" t="str">
        <f t="shared" si="8"/>
        <v/>
      </c>
      <c r="Z216" s="1" t="str">
        <f t="shared" si="9"/>
        <v/>
      </c>
      <c r="AA216" s="3">
        <f t="shared" si="10"/>
        <v>0.28368659200000079</v>
      </c>
    </row>
    <row r="217" spans="1:27">
      <c r="A217" s="1" t="s">
        <v>143</v>
      </c>
      <c r="B217" s="1">
        <v>2020</v>
      </c>
      <c r="C217" s="1">
        <v>18776.707030000001</v>
      </c>
      <c r="D217" s="1">
        <v>57.671001429999997</v>
      </c>
      <c r="E217" s="1">
        <v>95.434970320000005</v>
      </c>
      <c r="F217" s="1">
        <v>1.9414250390000001</v>
      </c>
      <c r="G217" s="1">
        <v>2.5459569339999999</v>
      </c>
      <c r="H217" s="1">
        <v>7.7647704710000001E-2</v>
      </c>
      <c r="I217" s="1">
        <v>91.939252339999996</v>
      </c>
      <c r="J217" s="1">
        <v>1.862616064</v>
      </c>
      <c r="K217" s="1">
        <v>6.0146930489999999</v>
      </c>
      <c r="L217" s="1">
        <v>0.18343854379999999</v>
      </c>
      <c r="M217" s="1">
        <v>98.000731329999994</v>
      </c>
      <c r="N217" s="1">
        <v>1.999268673</v>
      </c>
      <c r="O217" s="1">
        <v>0</v>
      </c>
      <c r="P217" s="1">
        <v>0</v>
      </c>
      <c r="Q217" s="2" t="str">
        <f t="shared" si="0"/>
        <v/>
      </c>
      <c r="R217" s="1" t="str">
        <f t="shared" si="1"/>
        <v/>
      </c>
      <c r="S217" s="1" t="str">
        <f t="shared" si="2"/>
        <v/>
      </c>
      <c r="T217" s="1" t="str">
        <f t="shared" si="3"/>
        <v/>
      </c>
      <c r="U217" s="1">
        <f t="shared" si="4"/>
        <v>95</v>
      </c>
      <c r="V217" s="3">
        <f t="shared" si="5"/>
        <v>92</v>
      </c>
      <c r="W217" s="3">
        <f t="shared" si="6"/>
        <v>98</v>
      </c>
      <c r="X217" s="3" t="str">
        <f t="shared" si="7"/>
        <v/>
      </c>
      <c r="Y217" s="3" t="str">
        <f t="shared" si="8"/>
        <v/>
      </c>
      <c r="Z217" s="1" t="str">
        <f t="shared" si="9"/>
        <v/>
      </c>
      <c r="AA217" s="3" t="str">
        <f t="shared" si="10"/>
        <v/>
      </c>
    </row>
    <row r="218" spans="1:27">
      <c r="A218" s="1" t="s">
        <v>144</v>
      </c>
      <c r="B218" s="1">
        <v>2015</v>
      </c>
      <c r="C218" s="1">
        <v>47878.339840000001</v>
      </c>
      <c r="D218" s="1">
        <v>25.65799904</v>
      </c>
      <c r="E218" s="1">
        <v>58.196927979999998</v>
      </c>
      <c r="F218" s="1">
        <v>8.7967539769999998</v>
      </c>
      <c r="G218" s="1">
        <v>11.522918349999999</v>
      </c>
      <c r="H218" s="1">
        <v>21.483399689999999</v>
      </c>
      <c r="I218" s="1">
        <v>48.272161910000001</v>
      </c>
      <c r="J218" s="1">
        <v>10.37313934</v>
      </c>
      <c r="K218" s="1">
        <v>14.21683468</v>
      </c>
      <c r="L218" s="1">
        <v>27.13786408</v>
      </c>
      <c r="M218" s="1">
        <v>86.953147920000006</v>
      </c>
      <c r="N218" s="1">
        <v>4.2293042700000001</v>
      </c>
      <c r="O218" s="1">
        <v>3.7175043830000001</v>
      </c>
      <c r="P218" s="1">
        <v>5.1000434290000003</v>
      </c>
      <c r="Q218" s="2">
        <f t="shared" si="0"/>
        <v>5</v>
      </c>
      <c r="R218" s="1">
        <f t="shared" si="1"/>
        <v>0.6871927200000002</v>
      </c>
      <c r="S218" s="1">
        <f t="shared" si="2"/>
        <v>0.7015634039999995</v>
      </c>
      <c r="T218" s="1">
        <f t="shared" si="3"/>
        <v>4.4167059999978163E-3</v>
      </c>
      <c r="U218" s="1">
        <f t="shared" si="4"/>
        <v>58</v>
      </c>
      <c r="V218" s="3">
        <f t="shared" si="5"/>
        <v>48</v>
      </c>
      <c r="W218" s="3">
        <f t="shared" si="6"/>
        <v>87</v>
      </c>
      <c r="X218" s="3" t="str">
        <f t="shared" si="7"/>
        <v/>
      </c>
      <c r="Y218" s="3" t="str">
        <f t="shared" si="8"/>
        <v/>
      </c>
      <c r="Z218" s="1" t="str">
        <f t="shared" si="9"/>
        <v/>
      </c>
      <c r="AA218" s="3">
        <f t="shared" si="10"/>
        <v>0.69714669800000173</v>
      </c>
    </row>
    <row r="219" spans="1:27">
      <c r="A219" s="1" t="s">
        <v>144</v>
      </c>
      <c r="B219" s="1">
        <v>2020</v>
      </c>
      <c r="C219" s="1">
        <v>53771.300779999998</v>
      </c>
      <c r="D219" s="1">
        <v>27.994998930000001</v>
      </c>
      <c r="E219" s="1">
        <v>61.632891579999999</v>
      </c>
      <c r="F219" s="1">
        <v>9.54187005</v>
      </c>
      <c r="G219" s="1">
        <v>9.7800875240000007</v>
      </c>
      <c r="H219" s="1">
        <v>19.045150840000002</v>
      </c>
      <c r="I219" s="1">
        <v>51.779978929999999</v>
      </c>
      <c r="J219" s="1">
        <v>11.569004189999999</v>
      </c>
      <c r="K219" s="1">
        <v>12.519113219999999</v>
      </c>
      <c r="L219" s="1">
        <v>24.131903659999999</v>
      </c>
      <c r="M219" s="1">
        <v>86.975231449999995</v>
      </c>
      <c r="N219" s="1">
        <v>4.327944725</v>
      </c>
      <c r="O219" s="1">
        <v>2.7351426299999999</v>
      </c>
      <c r="P219" s="1">
        <v>5.9616811930000004</v>
      </c>
      <c r="Q219" s="2" t="str">
        <f t="shared" si="0"/>
        <v/>
      </c>
      <c r="R219" s="1" t="str">
        <f t="shared" si="1"/>
        <v/>
      </c>
      <c r="S219" s="1" t="str">
        <f t="shared" si="2"/>
        <v/>
      </c>
      <c r="T219" s="1" t="str">
        <f t="shared" si="3"/>
        <v/>
      </c>
      <c r="U219" s="1">
        <f t="shared" si="4"/>
        <v>62</v>
      </c>
      <c r="V219" s="3">
        <f t="shared" si="5"/>
        <v>52</v>
      </c>
      <c r="W219" s="3">
        <f t="shared" si="6"/>
        <v>87</v>
      </c>
      <c r="X219" s="3" t="str">
        <f t="shared" si="7"/>
        <v/>
      </c>
      <c r="Y219" s="3" t="str">
        <f t="shared" si="8"/>
        <v/>
      </c>
      <c r="Z219" s="1" t="str">
        <f t="shared" si="9"/>
        <v/>
      </c>
      <c r="AA219" s="3" t="str">
        <f t="shared" si="10"/>
        <v/>
      </c>
    </row>
    <row r="220" spans="1:27">
      <c r="A220" s="1" t="s">
        <v>145</v>
      </c>
      <c r="B220" s="1">
        <v>2015</v>
      </c>
      <c r="C220" s="1">
        <v>110.927002</v>
      </c>
      <c r="D220" s="1">
        <v>51.618999479999999</v>
      </c>
      <c r="E220" s="1">
        <v>73.848096589999997</v>
      </c>
      <c r="F220" s="1">
        <v>2.3408915690000001</v>
      </c>
      <c r="G220" s="1">
        <v>23.811011839999999</v>
      </c>
      <c r="H220" s="1">
        <v>0</v>
      </c>
      <c r="I220" s="1">
        <v>57.922252589999999</v>
      </c>
      <c r="J220" s="1">
        <v>1.6395879280000001</v>
      </c>
      <c r="K220" s="1">
        <v>40.438159480000003</v>
      </c>
      <c r="L220" s="1">
        <v>0</v>
      </c>
      <c r="M220" s="1">
        <v>88.774932000000007</v>
      </c>
      <c r="N220" s="1">
        <v>2.9982032959999998</v>
      </c>
      <c r="O220" s="1">
        <v>8.2268647060000006</v>
      </c>
      <c r="P220" s="1">
        <v>0</v>
      </c>
      <c r="Q220" s="2">
        <f t="shared" si="0"/>
        <v>5</v>
      </c>
      <c r="R220" s="1">
        <f t="shared" si="1"/>
        <v>0.82456485200000029</v>
      </c>
      <c r="S220" s="1">
        <f t="shared" si="2"/>
        <v>0.61438646000000008</v>
      </c>
      <c r="T220" s="1">
        <f t="shared" si="3"/>
        <v>0.55124856999999849</v>
      </c>
      <c r="U220" s="1">
        <f t="shared" si="4"/>
        <v>74</v>
      </c>
      <c r="V220" s="3">
        <f t="shared" si="5"/>
        <v>58</v>
      </c>
      <c r="W220" s="3">
        <f t="shared" si="6"/>
        <v>89</v>
      </c>
      <c r="X220" s="3" t="str">
        <f t="shared" si="7"/>
        <v/>
      </c>
      <c r="Y220" s="3" t="str">
        <f t="shared" si="8"/>
        <v/>
      </c>
      <c r="Z220" s="1" t="str">
        <f t="shared" si="9"/>
        <v/>
      </c>
      <c r="AA220" s="3">
        <f t="shared" si="10"/>
        <v>6.3137890000001584E-2</v>
      </c>
    </row>
    <row r="221" spans="1:27">
      <c r="A221" s="1" t="s">
        <v>145</v>
      </c>
      <c r="B221" s="1">
        <v>2020</v>
      </c>
      <c r="C221" s="1">
        <v>119.44599909999999</v>
      </c>
      <c r="D221" s="1">
        <v>55.593997960000003</v>
      </c>
      <c r="E221" s="1">
        <v>77.970920849999999</v>
      </c>
      <c r="F221" s="1">
        <v>4.0768996250000002</v>
      </c>
      <c r="G221" s="1">
        <v>17.952179529999999</v>
      </c>
      <c r="H221" s="1">
        <v>0</v>
      </c>
      <c r="I221" s="1">
        <v>60.99418489</v>
      </c>
      <c r="J221" s="1">
        <v>2.0966097989999999</v>
      </c>
      <c r="K221" s="1">
        <v>36.909205319999998</v>
      </c>
      <c r="L221" s="1">
        <v>0</v>
      </c>
      <c r="M221" s="1">
        <v>91.531174849999999</v>
      </c>
      <c r="N221" s="1">
        <v>5.6586664610000001</v>
      </c>
      <c r="O221" s="1">
        <v>2.8101586909999998</v>
      </c>
      <c r="P221" s="1">
        <v>0</v>
      </c>
      <c r="Q221" s="2" t="str">
        <f t="shared" si="0"/>
        <v/>
      </c>
      <c r="R221" s="1" t="str">
        <f t="shared" si="1"/>
        <v/>
      </c>
      <c r="S221" s="1" t="str">
        <f t="shared" si="2"/>
        <v/>
      </c>
      <c r="T221" s="1" t="str">
        <f t="shared" si="3"/>
        <v/>
      </c>
      <c r="U221" s="1">
        <f t="shared" si="4"/>
        <v>78</v>
      </c>
      <c r="V221" s="3">
        <f t="shared" si="5"/>
        <v>61</v>
      </c>
      <c r="W221" s="3">
        <f t="shared" si="6"/>
        <v>92</v>
      </c>
      <c r="X221" s="3" t="str">
        <f t="shared" si="7"/>
        <v/>
      </c>
      <c r="Y221" s="3" t="str">
        <f t="shared" si="8"/>
        <v/>
      </c>
      <c r="Z221" s="1" t="str">
        <f t="shared" si="9"/>
        <v/>
      </c>
      <c r="AA221" s="3" t="str">
        <f t="shared" si="10"/>
        <v/>
      </c>
    </row>
    <row r="222" spans="1:27">
      <c r="A222" s="1" t="s">
        <v>146</v>
      </c>
      <c r="B222" s="1">
        <v>2015</v>
      </c>
      <c r="C222" s="1">
        <v>3835.5878910000001</v>
      </c>
      <c r="D222" s="1">
        <v>100</v>
      </c>
      <c r="E222" s="1">
        <v>100</v>
      </c>
      <c r="F222" s="1">
        <v>0</v>
      </c>
      <c r="G222" s="1">
        <v>0</v>
      </c>
      <c r="H222" s="1">
        <v>0</v>
      </c>
      <c r="I222" s="1" t="s">
        <v>272</v>
      </c>
      <c r="J222" s="1" t="s">
        <v>272</v>
      </c>
      <c r="K222" s="1" t="s">
        <v>272</v>
      </c>
      <c r="L222" s="1" t="s">
        <v>272</v>
      </c>
      <c r="M222" s="1" t="s">
        <v>272</v>
      </c>
      <c r="N222" s="1" t="s">
        <v>272</v>
      </c>
      <c r="O222" s="1" t="s">
        <v>272</v>
      </c>
      <c r="P222" s="1" t="s">
        <v>272</v>
      </c>
      <c r="Q222" s="2">
        <f t="shared" si="0"/>
        <v>5</v>
      </c>
      <c r="R222" s="1">
        <f t="shared" si="1"/>
        <v>0</v>
      </c>
      <c r="S222" s="1" t="str">
        <f t="shared" si="2"/>
        <v>null</v>
      </c>
      <c r="T222" s="1" t="str">
        <f t="shared" si="3"/>
        <v>null</v>
      </c>
      <c r="U222" s="1">
        <f t="shared" si="4"/>
        <v>100</v>
      </c>
      <c r="V222" s="3" t="str">
        <f t="shared" si="5"/>
        <v>null</v>
      </c>
      <c r="W222" s="3" t="str">
        <f t="shared" si="6"/>
        <v>null</v>
      </c>
      <c r="X222" s="3" t="str">
        <f t="shared" si="7"/>
        <v>fullaccesss</v>
      </c>
      <c r="Y222" s="3" t="str">
        <f t="shared" si="8"/>
        <v/>
      </c>
      <c r="Z222" s="1" t="str">
        <f t="shared" si="9"/>
        <v/>
      </c>
      <c r="AA222" s="3" t="str">
        <f t="shared" si="10"/>
        <v>null</v>
      </c>
    </row>
    <row r="223" spans="1:27">
      <c r="A223" s="1" t="s">
        <v>146</v>
      </c>
      <c r="B223" s="1">
        <v>2020</v>
      </c>
      <c r="C223" s="1">
        <v>4270.5629879999997</v>
      </c>
      <c r="D223" s="1">
        <v>100</v>
      </c>
      <c r="E223" s="1">
        <v>100</v>
      </c>
      <c r="F223" s="1">
        <v>0</v>
      </c>
      <c r="G223" s="1">
        <v>0</v>
      </c>
      <c r="H223" s="1">
        <v>0</v>
      </c>
      <c r="I223" s="1" t="s">
        <v>272</v>
      </c>
      <c r="J223" s="1" t="s">
        <v>272</v>
      </c>
      <c r="K223" s="1" t="s">
        <v>272</v>
      </c>
      <c r="L223" s="1" t="s">
        <v>272</v>
      </c>
      <c r="M223" s="1" t="s">
        <v>272</v>
      </c>
      <c r="N223" s="1" t="s">
        <v>272</v>
      </c>
      <c r="O223" s="1" t="s">
        <v>272</v>
      </c>
      <c r="P223" s="1" t="s">
        <v>272</v>
      </c>
      <c r="Q223" s="2" t="str">
        <f t="shared" si="0"/>
        <v/>
      </c>
      <c r="R223" s="1" t="str">
        <f t="shared" si="1"/>
        <v/>
      </c>
      <c r="S223" s="1" t="str">
        <f t="shared" si="2"/>
        <v/>
      </c>
      <c r="T223" s="1" t="str">
        <f t="shared" si="3"/>
        <v/>
      </c>
      <c r="U223" s="1">
        <f t="shared" si="4"/>
        <v>100</v>
      </c>
      <c r="V223" s="3" t="str">
        <f t="shared" si="5"/>
        <v>null</v>
      </c>
      <c r="W223" s="3" t="str">
        <f t="shared" si="6"/>
        <v>null</v>
      </c>
      <c r="X223" s="3" t="str">
        <f t="shared" si="7"/>
        <v/>
      </c>
      <c r="Y223" s="3" t="str">
        <f t="shared" si="8"/>
        <v/>
      </c>
      <c r="Z223" s="1" t="str">
        <f t="shared" si="9"/>
        <v/>
      </c>
      <c r="AA223" s="3" t="str">
        <f t="shared" si="10"/>
        <v/>
      </c>
    </row>
    <row r="224" spans="1:27">
      <c r="A224" s="1" t="s">
        <v>147</v>
      </c>
      <c r="B224" s="1">
        <v>2015</v>
      </c>
      <c r="C224" s="1">
        <v>5959.1259769999997</v>
      </c>
      <c r="D224" s="1">
        <v>35.777000430000001</v>
      </c>
      <c r="E224" s="1">
        <v>88.441761249999999</v>
      </c>
      <c r="F224" s="1">
        <v>1.7899358359999999</v>
      </c>
      <c r="G224" s="1">
        <v>2.2480629049999998</v>
      </c>
      <c r="H224" s="1">
        <v>7.5202400129999996</v>
      </c>
      <c r="I224" s="1">
        <v>83.105217640000006</v>
      </c>
      <c r="J224" s="1">
        <v>2.4159736540000001</v>
      </c>
      <c r="K224" s="1">
        <v>3.3531687830000001</v>
      </c>
      <c r="L224" s="1">
        <v>11.12563993</v>
      </c>
      <c r="M224" s="1">
        <v>98.021346449999996</v>
      </c>
      <c r="N224" s="1">
        <v>0.66614053719999999</v>
      </c>
      <c r="O224" s="1">
        <v>0.26429650360000001</v>
      </c>
      <c r="P224" s="1">
        <v>1.04821651</v>
      </c>
      <c r="Q224" s="2">
        <f t="shared" si="0"/>
        <v>5</v>
      </c>
      <c r="R224" s="1">
        <f t="shared" si="1"/>
        <v>0.65150879400000006</v>
      </c>
      <c r="S224" s="1">
        <f t="shared" si="2"/>
        <v>0.83064227200000007</v>
      </c>
      <c r="T224" s="1">
        <f t="shared" si="3"/>
        <v>0.25726917199999944</v>
      </c>
      <c r="U224" s="1">
        <f t="shared" si="4"/>
        <v>88</v>
      </c>
      <c r="V224" s="3">
        <f t="shared" si="5"/>
        <v>83</v>
      </c>
      <c r="W224" s="3">
        <f t="shared" si="6"/>
        <v>98</v>
      </c>
      <c r="X224" s="3" t="str">
        <f t="shared" si="7"/>
        <v/>
      </c>
      <c r="Y224" s="3" t="str">
        <f t="shared" si="8"/>
        <v/>
      </c>
      <c r="Z224" s="1" t="str">
        <f t="shared" si="9"/>
        <v/>
      </c>
      <c r="AA224" s="3">
        <f t="shared" si="10"/>
        <v>0.57337310000000064</v>
      </c>
    </row>
    <row r="225" spans="1:27">
      <c r="A225" s="1" t="s">
        <v>147</v>
      </c>
      <c r="B225" s="1">
        <v>2020</v>
      </c>
      <c r="C225" s="1">
        <v>6524.1909180000002</v>
      </c>
      <c r="D225" s="1">
        <v>36.855998990000003</v>
      </c>
      <c r="E225" s="1">
        <v>91.699305219999999</v>
      </c>
      <c r="F225" s="1">
        <v>1.900734111</v>
      </c>
      <c r="G225" s="1">
        <v>1.8656486999999999</v>
      </c>
      <c r="H225" s="1">
        <v>4.5343119649999997</v>
      </c>
      <c r="I225" s="1">
        <v>87.258429000000007</v>
      </c>
      <c r="J225" s="1">
        <v>2.606070485</v>
      </c>
      <c r="K225" s="1">
        <v>2.9545936840000002</v>
      </c>
      <c r="L225" s="1">
        <v>7.1809068319999998</v>
      </c>
      <c r="M225" s="1">
        <v>99.307692309999993</v>
      </c>
      <c r="N225" s="1">
        <v>0.6923076923</v>
      </c>
      <c r="O225" s="1">
        <v>0</v>
      </c>
      <c r="P225" s="1">
        <v>0</v>
      </c>
      <c r="Q225" s="2" t="str">
        <f t="shared" si="0"/>
        <v/>
      </c>
      <c r="R225" s="1" t="str">
        <f t="shared" si="1"/>
        <v/>
      </c>
      <c r="S225" s="1" t="str">
        <f t="shared" si="2"/>
        <v/>
      </c>
      <c r="T225" s="1" t="str">
        <f t="shared" si="3"/>
        <v/>
      </c>
      <c r="U225" s="1">
        <f t="shared" si="4"/>
        <v>92</v>
      </c>
      <c r="V225" s="3">
        <f t="shared" si="5"/>
        <v>87</v>
      </c>
      <c r="W225" s="3">
        <f t="shared" si="6"/>
        <v>99</v>
      </c>
      <c r="X225" s="3" t="str">
        <f t="shared" si="7"/>
        <v/>
      </c>
      <c r="Y225" s="3" t="str">
        <f t="shared" si="8"/>
        <v/>
      </c>
      <c r="Z225" s="1" t="str">
        <f t="shared" si="9"/>
        <v/>
      </c>
      <c r="AA225" s="3" t="str">
        <f t="shared" si="10"/>
        <v/>
      </c>
    </row>
    <row r="226" spans="1:27">
      <c r="A226" s="1" t="s">
        <v>148</v>
      </c>
      <c r="B226" s="1">
        <v>2015</v>
      </c>
      <c r="C226" s="1">
        <v>6741.1601559999999</v>
      </c>
      <c r="D226" s="1">
        <v>33.10799789</v>
      </c>
      <c r="E226" s="1">
        <v>77.460572209999995</v>
      </c>
      <c r="F226" s="1">
        <v>3.0523403340000002</v>
      </c>
      <c r="G226" s="1">
        <v>14.22792235</v>
      </c>
      <c r="H226" s="1">
        <v>5.2591651080000004</v>
      </c>
      <c r="I226" s="1">
        <v>70.239686550000002</v>
      </c>
      <c r="J226" s="1">
        <v>4.1702933629999999</v>
      </c>
      <c r="K226" s="1">
        <v>18.202221389999998</v>
      </c>
      <c r="L226" s="1">
        <v>7.3877986939999998</v>
      </c>
      <c r="M226" s="1">
        <v>92.049779979999997</v>
      </c>
      <c r="N226" s="1">
        <v>0.79360784900000003</v>
      </c>
      <c r="O226" s="1">
        <v>6.1981767950000002</v>
      </c>
      <c r="P226" s="1">
        <v>0.95843537109999999</v>
      </c>
      <c r="Q226" s="2">
        <f t="shared" si="0"/>
        <v>5</v>
      </c>
      <c r="R226" s="1">
        <f t="shared" si="1"/>
        <v>1.551834194</v>
      </c>
      <c r="S226" s="1">
        <f t="shared" si="2"/>
        <v>1.6466545739999987</v>
      </c>
      <c r="T226" s="1">
        <f t="shared" si="3"/>
        <v>1.0028964480000013</v>
      </c>
      <c r="U226" s="1">
        <f t="shared" si="4"/>
        <v>77</v>
      </c>
      <c r="V226" s="3">
        <f t="shared" si="5"/>
        <v>70</v>
      </c>
      <c r="W226" s="3">
        <f t="shared" si="6"/>
        <v>92</v>
      </c>
      <c r="X226" s="3" t="str">
        <f t="shared" si="7"/>
        <v/>
      </c>
      <c r="Y226" s="3" t="str">
        <f t="shared" si="8"/>
        <v/>
      </c>
      <c r="Z226" s="1" t="str">
        <f t="shared" si="9"/>
        <v/>
      </c>
      <c r="AA226" s="3">
        <f t="shared" si="10"/>
        <v>0.64375812599999738</v>
      </c>
    </row>
    <row r="227" spans="1:27">
      <c r="A227" s="1" t="s">
        <v>148</v>
      </c>
      <c r="B227" s="1">
        <v>2020</v>
      </c>
      <c r="C227" s="1">
        <v>7275.5561520000001</v>
      </c>
      <c r="D227" s="1">
        <v>36.290000919999997</v>
      </c>
      <c r="E227" s="1">
        <v>85.219743179999995</v>
      </c>
      <c r="F227" s="1">
        <v>3.566857739</v>
      </c>
      <c r="G227" s="1">
        <v>10.62886799</v>
      </c>
      <c r="H227" s="1">
        <v>0.58453109380000001</v>
      </c>
      <c r="I227" s="1">
        <v>78.472959419999995</v>
      </c>
      <c r="J227" s="1">
        <v>5.5985837859999998</v>
      </c>
      <c r="K227" s="1">
        <v>15.010969599999999</v>
      </c>
      <c r="L227" s="1">
        <v>0.91748719570000004</v>
      </c>
      <c r="M227" s="1">
        <v>97.064262220000003</v>
      </c>
      <c r="N227" s="1">
        <v>0</v>
      </c>
      <c r="O227" s="1">
        <v>2.935737778</v>
      </c>
      <c r="P227" s="1">
        <v>0</v>
      </c>
      <c r="Q227" s="2" t="str">
        <f t="shared" si="0"/>
        <v/>
      </c>
      <c r="R227" s="1" t="str">
        <f t="shared" si="1"/>
        <v/>
      </c>
      <c r="S227" s="1" t="str">
        <f t="shared" si="2"/>
        <v/>
      </c>
      <c r="T227" s="1" t="str">
        <f t="shared" si="3"/>
        <v/>
      </c>
      <c r="U227" s="1">
        <f t="shared" si="4"/>
        <v>85</v>
      </c>
      <c r="V227" s="3">
        <f t="shared" si="5"/>
        <v>78</v>
      </c>
      <c r="W227" s="3">
        <f t="shared" si="6"/>
        <v>97</v>
      </c>
      <c r="X227" s="3" t="str">
        <f t="shared" si="7"/>
        <v/>
      </c>
      <c r="Y227" s="3" t="str">
        <f t="shared" si="8"/>
        <v/>
      </c>
      <c r="Z227" s="1" t="str">
        <f t="shared" si="9"/>
        <v/>
      </c>
      <c r="AA227" s="3" t="str">
        <f t="shared" si="10"/>
        <v/>
      </c>
    </row>
    <row r="228" spans="1:27">
      <c r="A228" s="1" t="s">
        <v>149</v>
      </c>
      <c r="B228" s="1">
        <v>2015</v>
      </c>
      <c r="C228" s="1">
        <v>1997.6750489999999</v>
      </c>
      <c r="D228" s="1">
        <v>67.979995729999999</v>
      </c>
      <c r="E228" s="1">
        <v>98.525117280000003</v>
      </c>
      <c r="F228" s="1">
        <v>0.67870742309999998</v>
      </c>
      <c r="G228" s="1">
        <v>0.79617529310000001</v>
      </c>
      <c r="H228" s="1">
        <v>0</v>
      </c>
      <c r="I228" s="1">
        <v>97.854719009999997</v>
      </c>
      <c r="J228" s="1">
        <v>0</v>
      </c>
      <c r="K228" s="1">
        <v>2.145280992</v>
      </c>
      <c r="L228" s="1">
        <v>0</v>
      </c>
      <c r="M228" s="1">
        <v>98.840893339999994</v>
      </c>
      <c r="N228" s="1">
        <v>0.99839286199999999</v>
      </c>
      <c r="O228" s="1">
        <v>0.1607138001</v>
      </c>
      <c r="P228" s="1">
        <v>0</v>
      </c>
      <c r="Q228" s="2">
        <f t="shared" si="0"/>
        <v>5</v>
      </c>
      <c r="R228" s="1">
        <f t="shared" si="1"/>
        <v>5.14967740000003E-2</v>
      </c>
      <c r="S228" s="1">
        <f t="shared" si="2"/>
        <v>0.14490082599999993</v>
      </c>
      <c r="T228" s="1">
        <f t="shared" si="3"/>
        <v>7.206270000000359E-3</v>
      </c>
      <c r="U228" s="1">
        <f t="shared" si="4"/>
        <v>99</v>
      </c>
      <c r="V228" s="3">
        <f t="shared" si="5"/>
        <v>98</v>
      </c>
      <c r="W228" s="3">
        <f t="shared" si="6"/>
        <v>99</v>
      </c>
      <c r="X228" s="3" t="str">
        <f t="shared" si="7"/>
        <v/>
      </c>
      <c r="Y228" s="3" t="str">
        <f t="shared" si="8"/>
        <v/>
      </c>
      <c r="Z228" s="1" t="str">
        <f t="shared" si="9"/>
        <v/>
      </c>
      <c r="AA228" s="3">
        <f t="shared" si="10"/>
        <v>0.13769455599999958</v>
      </c>
    </row>
    <row r="229" spans="1:27">
      <c r="A229" s="1" t="s">
        <v>149</v>
      </c>
      <c r="B229" s="1">
        <v>2020</v>
      </c>
      <c r="C229" s="1">
        <v>1886.2020259999999</v>
      </c>
      <c r="D229" s="1">
        <v>68.315002440000001</v>
      </c>
      <c r="E229" s="1">
        <v>98.782601150000005</v>
      </c>
      <c r="F229" s="1">
        <v>0.68230074240000005</v>
      </c>
      <c r="G229" s="1">
        <v>0.53509810369999999</v>
      </c>
      <c r="H229" s="1">
        <v>0</v>
      </c>
      <c r="I229" s="1">
        <v>98.579223139999996</v>
      </c>
      <c r="J229" s="1">
        <v>0</v>
      </c>
      <c r="K229" s="1">
        <v>1.4207768599999999</v>
      </c>
      <c r="L229" s="1">
        <v>0</v>
      </c>
      <c r="M229" s="1">
        <v>98.876924689999996</v>
      </c>
      <c r="N229" s="1">
        <v>0.99875681510000003</v>
      </c>
      <c r="O229" s="1">
        <v>0.1243184908</v>
      </c>
      <c r="P229" s="1">
        <v>0</v>
      </c>
      <c r="Q229" s="2" t="str">
        <f t="shared" si="0"/>
        <v/>
      </c>
      <c r="R229" s="1" t="str">
        <f t="shared" si="1"/>
        <v/>
      </c>
      <c r="S229" s="1" t="str">
        <f t="shared" si="2"/>
        <v/>
      </c>
      <c r="T229" s="1" t="str">
        <f t="shared" si="3"/>
        <v/>
      </c>
      <c r="U229" s="1">
        <f t="shared" si="4"/>
        <v>99</v>
      </c>
      <c r="V229" s="3">
        <f t="shared" si="5"/>
        <v>99</v>
      </c>
      <c r="W229" s="3">
        <f t="shared" si="6"/>
        <v>99</v>
      </c>
      <c r="X229" s="3" t="str">
        <f t="shared" si="7"/>
        <v/>
      </c>
      <c r="Y229" s="3" t="str">
        <f t="shared" si="8"/>
        <v/>
      </c>
      <c r="Z229" s="1" t="str">
        <f t="shared" si="9"/>
        <v/>
      </c>
      <c r="AA229" s="3" t="str">
        <f t="shared" si="10"/>
        <v/>
      </c>
    </row>
    <row r="230" spans="1:27">
      <c r="A230" s="1" t="s">
        <v>150</v>
      </c>
      <c r="B230" s="1">
        <v>2015</v>
      </c>
      <c r="C230" s="1">
        <v>6532.6811520000001</v>
      </c>
      <c r="D230" s="1">
        <v>88.106002810000007</v>
      </c>
      <c r="E230" s="1">
        <v>91.224322509999993</v>
      </c>
      <c r="F230" s="1">
        <v>7.2900646499999997</v>
      </c>
      <c r="G230" s="1">
        <v>1.3401928400000001</v>
      </c>
      <c r="H230" s="1">
        <v>0.14541999999999999</v>
      </c>
      <c r="I230" s="1" t="s">
        <v>272</v>
      </c>
      <c r="J230" s="1" t="s">
        <v>272</v>
      </c>
      <c r="K230" s="1" t="s">
        <v>272</v>
      </c>
      <c r="L230" s="1" t="s">
        <v>272</v>
      </c>
      <c r="M230" s="1" t="s">
        <v>272</v>
      </c>
      <c r="N230" s="1" t="s">
        <v>272</v>
      </c>
      <c r="O230" s="1" t="s">
        <v>272</v>
      </c>
      <c r="P230" s="1" t="s">
        <v>272</v>
      </c>
      <c r="Q230" s="2">
        <f t="shared" si="0"/>
        <v>5</v>
      </c>
      <c r="R230" s="1">
        <f t="shared" si="1"/>
        <v>0.2751354980000002</v>
      </c>
      <c r="S230" s="1" t="str">
        <f t="shared" si="2"/>
        <v>null</v>
      </c>
      <c r="T230" s="1" t="str">
        <f t="shared" si="3"/>
        <v>null</v>
      </c>
      <c r="U230" s="1">
        <f t="shared" si="4"/>
        <v>91</v>
      </c>
      <c r="V230" s="3" t="str">
        <f t="shared" si="5"/>
        <v>null</v>
      </c>
      <c r="W230" s="3" t="str">
        <f t="shared" si="6"/>
        <v>null</v>
      </c>
      <c r="X230" s="3" t="str">
        <f t="shared" si="7"/>
        <v/>
      </c>
      <c r="Y230" s="3" t="str">
        <f t="shared" si="8"/>
        <v/>
      </c>
      <c r="Z230" s="1" t="str">
        <f t="shared" si="9"/>
        <v/>
      </c>
      <c r="AA230" s="3" t="str">
        <f t="shared" si="10"/>
        <v>null</v>
      </c>
    </row>
    <row r="231" spans="1:27">
      <c r="A231" s="1" t="s">
        <v>150</v>
      </c>
      <c r="B231" s="1">
        <v>2020</v>
      </c>
      <c r="C231" s="1">
        <v>6825.4418949999999</v>
      </c>
      <c r="D231" s="1">
        <v>88.924995420000002</v>
      </c>
      <c r="E231" s="1">
        <v>92.6</v>
      </c>
      <c r="F231" s="1">
        <v>7.4</v>
      </c>
      <c r="G231" s="1">
        <v>0</v>
      </c>
      <c r="H231" s="1">
        <v>0</v>
      </c>
      <c r="I231" s="1" t="s">
        <v>272</v>
      </c>
      <c r="J231" s="1" t="s">
        <v>272</v>
      </c>
      <c r="K231" s="1" t="s">
        <v>272</v>
      </c>
      <c r="L231" s="1" t="s">
        <v>272</v>
      </c>
      <c r="M231" s="1" t="s">
        <v>272</v>
      </c>
      <c r="N231" s="1" t="s">
        <v>272</v>
      </c>
      <c r="O231" s="1" t="s">
        <v>272</v>
      </c>
      <c r="P231" s="1" t="s">
        <v>272</v>
      </c>
      <c r="Q231" s="2" t="str">
        <f t="shared" si="0"/>
        <v/>
      </c>
      <c r="R231" s="1" t="str">
        <f t="shared" si="1"/>
        <v/>
      </c>
      <c r="S231" s="1" t="str">
        <f t="shared" si="2"/>
        <v/>
      </c>
      <c r="T231" s="1" t="str">
        <f t="shared" si="3"/>
        <v/>
      </c>
      <c r="U231" s="1">
        <f t="shared" si="4"/>
        <v>93</v>
      </c>
      <c r="V231" s="3" t="str">
        <f t="shared" si="5"/>
        <v>null</v>
      </c>
      <c r="W231" s="3" t="str">
        <f t="shared" si="6"/>
        <v>null</v>
      </c>
      <c r="X231" s="3" t="str">
        <f t="shared" si="7"/>
        <v/>
      </c>
      <c r="Y231" s="3" t="str">
        <f t="shared" si="8"/>
        <v/>
      </c>
      <c r="Z231" s="1" t="str">
        <f t="shared" si="9"/>
        <v/>
      </c>
      <c r="AA231" s="3" t="str">
        <f t="shared" si="10"/>
        <v/>
      </c>
    </row>
    <row r="232" spans="1:27">
      <c r="A232" s="1" t="s">
        <v>151</v>
      </c>
      <c r="B232" s="1">
        <v>2015</v>
      </c>
      <c r="C232" s="1">
        <v>2059.0109859999998</v>
      </c>
      <c r="D232" s="1">
        <v>26.908000950000002</v>
      </c>
      <c r="E232" s="1">
        <v>70.545689400000001</v>
      </c>
      <c r="F232" s="1">
        <v>10.86331049</v>
      </c>
      <c r="G232" s="1">
        <v>14.534382900000001</v>
      </c>
      <c r="H232" s="1">
        <v>4.0566172079999996</v>
      </c>
      <c r="I232" s="1">
        <v>63.420883150000002</v>
      </c>
      <c r="J232" s="1">
        <v>13.04933941</v>
      </c>
      <c r="K232" s="1">
        <v>18.164904929999999</v>
      </c>
      <c r="L232" s="1">
        <v>5.3648725109999997</v>
      </c>
      <c r="M232" s="1">
        <v>89.899276139999998</v>
      </c>
      <c r="N232" s="1">
        <v>4.9252542349999997</v>
      </c>
      <c r="O232" s="1">
        <v>4.6725536160000001</v>
      </c>
      <c r="P232" s="1">
        <v>0.50291600700000005</v>
      </c>
      <c r="Q232" s="2">
        <f t="shared" si="0"/>
        <v>5</v>
      </c>
      <c r="R232" s="1">
        <f t="shared" si="1"/>
        <v>0.32606997400000071</v>
      </c>
      <c r="S232" s="1">
        <f t="shared" si="2"/>
        <v>4.5894333999999051E-2</v>
      </c>
      <c r="T232" s="1">
        <f t="shared" si="3"/>
        <v>0.62432648200000074</v>
      </c>
      <c r="U232" s="1">
        <f t="shared" si="4"/>
        <v>71</v>
      </c>
      <c r="V232" s="3">
        <f t="shared" si="5"/>
        <v>63</v>
      </c>
      <c r="W232" s="3">
        <f t="shared" si="6"/>
        <v>90</v>
      </c>
      <c r="X232" s="3" t="str">
        <f t="shared" si="7"/>
        <v/>
      </c>
      <c r="Y232" s="3" t="str">
        <f t="shared" si="8"/>
        <v/>
      </c>
      <c r="Z232" s="1" t="str">
        <f t="shared" si="9"/>
        <v/>
      </c>
      <c r="AA232" s="3">
        <f t="shared" si="10"/>
        <v>-0.57843214800000164</v>
      </c>
    </row>
    <row r="233" spans="1:27">
      <c r="A233" s="1" t="s">
        <v>151</v>
      </c>
      <c r="B233" s="1">
        <v>2020</v>
      </c>
      <c r="C233" s="1">
        <v>2142.251953</v>
      </c>
      <c r="D233" s="1">
        <v>29.027999879999999</v>
      </c>
      <c r="E233" s="1">
        <v>72.176039270000004</v>
      </c>
      <c r="F233" s="1">
        <v>10.40592597</v>
      </c>
      <c r="G233" s="1">
        <v>12.21725464</v>
      </c>
      <c r="H233" s="1">
        <v>5.2007801159999998</v>
      </c>
      <c r="I233" s="1">
        <v>63.650354819999997</v>
      </c>
      <c r="J233" s="1">
        <v>13.55843013</v>
      </c>
      <c r="K233" s="1">
        <v>15.73132479</v>
      </c>
      <c r="L233" s="1">
        <v>7.0598902539999999</v>
      </c>
      <c r="M233" s="1">
        <v>93.020908550000001</v>
      </c>
      <c r="N233" s="1">
        <v>2.698211997</v>
      </c>
      <c r="O233" s="1">
        <v>3.625530038</v>
      </c>
      <c r="P233" s="1">
        <v>0.65534941999999996</v>
      </c>
      <c r="Q233" s="2" t="str">
        <f t="shared" si="0"/>
        <v/>
      </c>
      <c r="R233" s="1" t="str">
        <f t="shared" si="1"/>
        <v/>
      </c>
      <c r="S233" s="1" t="str">
        <f t="shared" si="2"/>
        <v/>
      </c>
      <c r="T233" s="1" t="str">
        <f t="shared" si="3"/>
        <v/>
      </c>
      <c r="U233" s="1">
        <f t="shared" si="4"/>
        <v>72</v>
      </c>
      <c r="V233" s="3">
        <f t="shared" si="5"/>
        <v>64</v>
      </c>
      <c r="W233" s="3">
        <f t="shared" si="6"/>
        <v>93</v>
      </c>
      <c r="X233" s="3" t="str">
        <f t="shared" si="7"/>
        <v/>
      </c>
      <c r="Y233" s="3" t="str">
        <f t="shared" si="8"/>
        <v/>
      </c>
      <c r="Z233" s="1" t="str">
        <f t="shared" si="9"/>
        <v/>
      </c>
      <c r="AA233" s="3" t="str">
        <f t="shared" si="10"/>
        <v/>
      </c>
    </row>
    <row r="234" spans="1:27">
      <c r="A234" s="1" t="s">
        <v>152</v>
      </c>
      <c r="B234" s="1">
        <v>2015</v>
      </c>
      <c r="C234" s="1">
        <v>4472.2290039999998</v>
      </c>
      <c r="D234" s="1">
        <v>49.819999690000003</v>
      </c>
      <c r="E234" s="1">
        <v>72.569791940000002</v>
      </c>
      <c r="F234" s="1">
        <v>7.3644226789999996</v>
      </c>
      <c r="G234" s="1">
        <v>6.5372338440000002</v>
      </c>
      <c r="H234" s="1">
        <v>13.52855154</v>
      </c>
      <c r="I234" s="1">
        <v>61.263181959999997</v>
      </c>
      <c r="J234" s="1">
        <v>5.1260422940000003</v>
      </c>
      <c r="K234" s="1">
        <v>7.5241487850000004</v>
      </c>
      <c r="L234" s="1">
        <v>26.08662696</v>
      </c>
      <c r="M234" s="1">
        <v>83.95810401</v>
      </c>
      <c r="N234" s="1">
        <v>9.6189777050000007</v>
      </c>
      <c r="O234" s="1">
        <v>5.5431874099999998</v>
      </c>
      <c r="P234" s="1">
        <v>0.87973087640000003</v>
      </c>
      <c r="Q234" s="2">
        <f t="shared" si="0"/>
        <v>5</v>
      </c>
      <c r="R234" s="1">
        <f t="shared" si="1"/>
        <v>0.53839992999999997</v>
      </c>
      <c r="S234" s="1">
        <f t="shared" si="2"/>
        <v>0.56740698600000028</v>
      </c>
      <c r="T234" s="1">
        <f t="shared" si="3"/>
        <v>0.31400112400000069</v>
      </c>
      <c r="U234" s="1">
        <f t="shared" si="4"/>
        <v>73</v>
      </c>
      <c r="V234" s="3">
        <f t="shared" si="5"/>
        <v>61</v>
      </c>
      <c r="W234" s="3">
        <f t="shared" si="6"/>
        <v>84</v>
      </c>
      <c r="X234" s="3" t="str">
        <f t="shared" si="7"/>
        <v/>
      </c>
      <c r="Y234" s="3" t="str">
        <f t="shared" si="8"/>
        <v/>
      </c>
      <c r="Z234" s="1" t="str">
        <f t="shared" si="9"/>
        <v/>
      </c>
      <c r="AA234" s="3">
        <f t="shared" si="10"/>
        <v>0.25340586199999959</v>
      </c>
    </row>
    <row r="235" spans="1:27">
      <c r="A235" s="1" t="s">
        <v>152</v>
      </c>
      <c r="B235" s="1">
        <v>2020</v>
      </c>
      <c r="C235" s="1">
        <v>5057.6767579999996</v>
      </c>
      <c r="D235" s="1">
        <v>52.088996889999997</v>
      </c>
      <c r="E235" s="1">
        <v>75.261791590000001</v>
      </c>
      <c r="F235" s="1">
        <v>8.7006574749999999</v>
      </c>
      <c r="G235" s="1">
        <v>3.488080869</v>
      </c>
      <c r="H235" s="1">
        <v>12.549470060000001</v>
      </c>
      <c r="I235" s="1">
        <v>64.100216889999999</v>
      </c>
      <c r="J235" s="1">
        <v>6.5377757970000001</v>
      </c>
      <c r="K235" s="1">
        <v>3.3837098750000001</v>
      </c>
      <c r="L235" s="1">
        <v>25.978297439999999</v>
      </c>
      <c r="M235" s="1">
        <v>85.528109630000003</v>
      </c>
      <c r="N235" s="1">
        <v>10.69005698</v>
      </c>
      <c r="O235" s="1">
        <v>3.58408039</v>
      </c>
      <c r="P235" s="1">
        <v>0.19775300060000001</v>
      </c>
      <c r="Q235" s="2" t="str">
        <f t="shared" si="0"/>
        <v/>
      </c>
      <c r="R235" s="1" t="str">
        <f t="shared" si="1"/>
        <v/>
      </c>
      <c r="S235" s="1" t="str">
        <f t="shared" si="2"/>
        <v/>
      </c>
      <c r="T235" s="1" t="str">
        <f t="shared" si="3"/>
        <v/>
      </c>
      <c r="U235" s="1">
        <f t="shared" si="4"/>
        <v>75</v>
      </c>
      <c r="V235" s="3">
        <f t="shared" si="5"/>
        <v>64</v>
      </c>
      <c r="W235" s="3">
        <f t="shared" si="6"/>
        <v>86</v>
      </c>
      <c r="X235" s="3" t="str">
        <f t="shared" si="7"/>
        <v/>
      </c>
      <c r="Y235" s="3" t="str">
        <f t="shared" si="8"/>
        <v/>
      </c>
      <c r="Z235" s="1" t="str">
        <f t="shared" si="9"/>
        <v/>
      </c>
      <c r="AA235" s="3" t="str">
        <f t="shared" si="10"/>
        <v/>
      </c>
    </row>
    <row r="236" spans="1:27">
      <c r="A236" s="1" t="s">
        <v>153</v>
      </c>
      <c r="B236" s="1">
        <v>2015</v>
      </c>
      <c r="C236" s="1">
        <v>6418.3149409999996</v>
      </c>
      <c r="D236" s="1">
        <v>79.270004270000001</v>
      </c>
      <c r="E236" s="1">
        <v>97.281615160000001</v>
      </c>
      <c r="F236" s="1">
        <v>0</v>
      </c>
      <c r="G236" s="1">
        <v>2.7183848410000002</v>
      </c>
      <c r="H236" s="1">
        <v>0</v>
      </c>
      <c r="I236" s="1" t="s">
        <v>272</v>
      </c>
      <c r="J236" s="1" t="s">
        <v>272</v>
      </c>
      <c r="K236" s="1" t="s">
        <v>272</v>
      </c>
      <c r="L236" s="1" t="s">
        <v>272</v>
      </c>
      <c r="M236" s="1" t="s">
        <v>272</v>
      </c>
      <c r="N236" s="1" t="s">
        <v>272</v>
      </c>
      <c r="O236" s="1" t="s">
        <v>272</v>
      </c>
      <c r="P236" s="1" t="s">
        <v>272</v>
      </c>
      <c r="Q236" s="2">
        <f t="shared" si="0"/>
        <v>5</v>
      </c>
      <c r="R236" s="1">
        <f t="shared" si="1"/>
        <v>0.52198172800000009</v>
      </c>
      <c r="S236" s="1" t="str">
        <f t="shared" si="2"/>
        <v>null</v>
      </c>
      <c r="T236" s="1" t="str">
        <f t="shared" si="3"/>
        <v>null</v>
      </c>
      <c r="U236" s="1">
        <f t="shared" si="4"/>
        <v>97</v>
      </c>
      <c r="V236" s="3" t="str">
        <f t="shared" si="5"/>
        <v>null</v>
      </c>
      <c r="W236" s="3" t="str">
        <f t="shared" si="6"/>
        <v>null</v>
      </c>
      <c r="X236" s="3" t="str">
        <f t="shared" si="7"/>
        <v/>
      </c>
      <c r="Y236" s="3" t="str">
        <f t="shared" si="8"/>
        <v/>
      </c>
      <c r="Z236" s="1" t="str">
        <f t="shared" si="9"/>
        <v/>
      </c>
      <c r="AA236" s="3" t="str">
        <f t="shared" si="10"/>
        <v>null</v>
      </c>
    </row>
    <row r="237" spans="1:27">
      <c r="A237" s="1" t="s">
        <v>153</v>
      </c>
      <c r="B237" s="1">
        <v>2020</v>
      </c>
      <c r="C237" s="1">
        <v>6871.2871089999999</v>
      </c>
      <c r="D237" s="1">
        <v>80.691001889999995</v>
      </c>
      <c r="E237" s="1">
        <v>99.891523800000002</v>
      </c>
      <c r="F237" s="1">
        <v>0</v>
      </c>
      <c r="G237" s="1">
        <v>0.1084762012</v>
      </c>
      <c r="H237" s="1">
        <v>0</v>
      </c>
      <c r="I237" s="1" t="s">
        <v>272</v>
      </c>
      <c r="J237" s="1" t="s">
        <v>272</v>
      </c>
      <c r="K237" s="1" t="s">
        <v>272</v>
      </c>
      <c r="L237" s="1" t="s">
        <v>272</v>
      </c>
      <c r="M237" s="1" t="s">
        <v>272</v>
      </c>
      <c r="N237" s="1" t="s">
        <v>272</v>
      </c>
      <c r="O237" s="1" t="s">
        <v>272</v>
      </c>
      <c r="P237" s="1" t="s">
        <v>272</v>
      </c>
      <c r="Q237" s="2" t="str">
        <f t="shared" si="0"/>
        <v/>
      </c>
      <c r="R237" s="1" t="str">
        <f t="shared" si="1"/>
        <v/>
      </c>
      <c r="S237" s="1" t="str">
        <f t="shared" si="2"/>
        <v/>
      </c>
      <c r="T237" s="1" t="str">
        <f t="shared" si="3"/>
        <v/>
      </c>
      <c r="U237" s="1">
        <f t="shared" si="4"/>
        <v>100</v>
      </c>
      <c r="V237" s="3" t="str">
        <f t="shared" si="5"/>
        <v>null</v>
      </c>
      <c r="W237" s="3" t="str">
        <f t="shared" si="6"/>
        <v>null</v>
      </c>
      <c r="X237" s="3" t="str">
        <f t="shared" si="7"/>
        <v/>
      </c>
      <c r="Y237" s="3" t="str">
        <f t="shared" si="8"/>
        <v/>
      </c>
      <c r="Z237" s="1" t="str">
        <f t="shared" si="9"/>
        <v/>
      </c>
      <c r="AA237" s="3" t="str">
        <f t="shared" si="10"/>
        <v/>
      </c>
    </row>
    <row r="238" spans="1:27">
      <c r="A238" s="1" t="s">
        <v>154</v>
      </c>
      <c r="B238" s="1">
        <v>2015</v>
      </c>
      <c r="C238" s="1">
        <v>37.465000150000002</v>
      </c>
      <c r="D238" s="1">
        <v>14.303000450000001</v>
      </c>
      <c r="E238" s="1">
        <v>100</v>
      </c>
      <c r="F238" s="1">
        <v>0</v>
      </c>
      <c r="G238" s="1">
        <v>0</v>
      </c>
      <c r="H238" s="1">
        <v>0</v>
      </c>
      <c r="I238" s="1" t="s">
        <v>272</v>
      </c>
      <c r="J238" s="1" t="s">
        <v>272</v>
      </c>
      <c r="K238" s="1" t="s">
        <v>272</v>
      </c>
      <c r="L238" s="1" t="s">
        <v>272</v>
      </c>
      <c r="M238" s="1" t="s">
        <v>272</v>
      </c>
      <c r="N238" s="1" t="s">
        <v>272</v>
      </c>
      <c r="O238" s="1" t="s">
        <v>272</v>
      </c>
      <c r="P238" s="1" t="s">
        <v>272</v>
      </c>
      <c r="Q238" s="2">
        <f t="shared" si="0"/>
        <v>5</v>
      </c>
      <c r="R238" s="1">
        <f t="shared" si="1"/>
        <v>0</v>
      </c>
      <c r="S238" s="1" t="str">
        <f t="shared" si="2"/>
        <v>null</v>
      </c>
      <c r="T238" s="1" t="str">
        <f t="shared" si="3"/>
        <v>null</v>
      </c>
      <c r="U238" s="1">
        <f t="shared" si="4"/>
        <v>100</v>
      </c>
      <c r="V238" s="3" t="str">
        <f t="shared" si="5"/>
        <v>null</v>
      </c>
      <c r="W238" s="3" t="str">
        <f t="shared" si="6"/>
        <v>null</v>
      </c>
      <c r="X238" s="3" t="str">
        <f t="shared" si="7"/>
        <v>fullaccesss</v>
      </c>
      <c r="Y238" s="3" t="str">
        <f t="shared" si="8"/>
        <v/>
      </c>
      <c r="Z238" s="1" t="str">
        <f t="shared" si="9"/>
        <v/>
      </c>
      <c r="AA238" s="3" t="str">
        <f t="shared" si="10"/>
        <v>null</v>
      </c>
    </row>
    <row r="239" spans="1:27">
      <c r="A239" s="1" t="s">
        <v>154</v>
      </c>
      <c r="B239" s="1">
        <v>2020</v>
      </c>
      <c r="C239" s="1">
        <v>38.137001040000001</v>
      </c>
      <c r="D239" s="1">
        <v>14.416000370000001</v>
      </c>
      <c r="E239" s="1">
        <v>100</v>
      </c>
      <c r="F239" s="1">
        <v>0</v>
      </c>
      <c r="G239" s="1">
        <v>0</v>
      </c>
      <c r="H239" s="1">
        <v>0</v>
      </c>
      <c r="I239" s="1" t="s">
        <v>272</v>
      </c>
      <c r="J239" s="1" t="s">
        <v>272</v>
      </c>
      <c r="K239" s="1" t="s">
        <v>272</v>
      </c>
      <c r="L239" s="1" t="s">
        <v>272</v>
      </c>
      <c r="M239" s="1" t="s">
        <v>272</v>
      </c>
      <c r="N239" s="1" t="s">
        <v>272</v>
      </c>
      <c r="O239" s="1" t="s">
        <v>272</v>
      </c>
      <c r="P239" s="1" t="s">
        <v>272</v>
      </c>
      <c r="Q239" s="2" t="str">
        <f t="shared" si="0"/>
        <v/>
      </c>
      <c r="R239" s="1" t="str">
        <f t="shared" si="1"/>
        <v/>
      </c>
      <c r="S239" s="1" t="str">
        <f t="shared" si="2"/>
        <v/>
      </c>
      <c r="T239" s="1" t="str">
        <f t="shared" si="3"/>
        <v/>
      </c>
      <c r="U239" s="1">
        <f t="shared" si="4"/>
        <v>100</v>
      </c>
      <c r="V239" s="3" t="str">
        <f t="shared" si="5"/>
        <v>null</v>
      </c>
      <c r="W239" s="3" t="str">
        <f t="shared" si="6"/>
        <v>null</v>
      </c>
      <c r="X239" s="3" t="str">
        <f t="shared" si="7"/>
        <v/>
      </c>
      <c r="Y239" s="3" t="str">
        <f t="shared" si="8"/>
        <v/>
      </c>
      <c r="Z239" s="1" t="str">
        <f t="shared" si="9"/>
        <v/>
      </c>
      <c r="AA239" s="3" t="str">
        <f t="shared" si="10"/>
        <v/>
      </c>
    </row>
    <row r="240" spans="1:27">
      <c r="A240" s="1" t="s">
        <v>155</v>
      </c>
      <c r="B240" s="1">
        <v>2015</v>
      </c>
      <c r="C240" s="1">
        <v>2931.8720699999999</v>
      </c>
      <c r="D240" s="1">
        <v>67.229995729999999</v>
      </c>
      <c r="E240" s="1">
        <v>96.604138579999997</v>
      </c>
      <c r="F240" s="1">
        <v>0</v>
      </c>
      <c r="G240" s="1">
        <v>3.3958614219999999</v>
      </c>
      <c r="H240" s="1">
        <v>0</v>
      </c>
      <c r="I240" s="1">
        <v>90.718484410000002</v>
      </c>
      <c r="J240" s="1">
        <v>0</v>
      </c>
      <c r="K240" s="1">
        <v>9.2815155889999996</v>
      </c>
      <c r="L240" s="1">
        <v>0</v>
      </c>
      <c r="M240" s="1">
        <v>99.472990350000003</v>
      </c>
      <c r="N240" s="1">
        <v>0</v>
      </c>
      <c r="O240" s="1">
        <v>0.5270096501</v>
      </c>
      <c r="P240" s="1">
        <v>0</v>
      </c>
      <c r="Q240" s="2">
        <f t="shared" si="0"/>
        <v>5</v>
      </c>
      <c r="R240" s="1">
        <f t="shared" si="1"/>
        <v>0.2818417320000009</v>
      </c>
      <c r="S240" s="1">
        <f t="shared" si="2"/>
        <v>0.61285916399999962</v>
      </c>
      <c r="T240" s="1">
        <f t="shared" si="3"/>
        <v>0.10540192999999931</v>
      </c>
      <c r="U240" s="1">
        <f t="shared" si="4"/>
        <v>97</v>
      </c>
      <c r="V240" s="3">
        <f t="shared" si="5"/>
        <v>91</v>
      </c>
      <c r="W240" s="3">
        <f t="shared" si="6"/>
        <v>99</v>
      </c>
      <c r="X240" s="3" t="str">
        <f t="shared" si="7"/>
        <v/>
      </c>
      <c r="Y240" s="3" t="str">
        <f t="shared" si="8"/>
        <v/>
      </c>
      <c r="Z240" s="1" t="str">
        <f t="shared" si="9"/>
        <v/>
      </c>
      <c r="AA240" s="3">
        <f t="shared" si="10"/>
        <v>0.50745723400000031</v>
      </c>
    </row>
    <row r="241" spans="1:27">
      <c r="A241" s="1" t="s">
        <v>155</v>
      </c>
      <c r="B241" s="1">
        <v>2020</v>
      </c>
      <c r="C241" s="1">
        <v>2722.2910160000001</v>
      </c>
      <c r="D241" s="1">
        <v>68.045997619999994</v>
      </c>
      <c r="E241" s="1">
        <v>98.013347240000002</v>
      </c>
      <c r="F241" s="1">
        <v>0</v>
      </c>
      <c r="G241" s="1">
        <v>1.9866527599999999</v>
      </c>
      <c r="H241" s="1">
        <v>0</v>
      </c>
      <c r="I241" s="1">
        <v>93.78278023</v>
      </c>
      <c r="J241" s="1">
        <v>0</v>
      </c>
      <c r="K241" s="1">
        <v>6.2172197709999999</v>
      </c>
      <c r="L241" s="1">
        <v>0</v>
      </c>
      <c r="M241" s="1">
        <v>100</v>
      </c>
      <c r="N241" s="1">
        <v>0</v>
      </c>
      <c r="O241" s="1">
        <v>0</v>
      </c>
      <c r="P241" s="1">
        <v>0</v>
      </c>
      <c r="Q241" s="2" t="str">
        <f t="shared" si="0"/>
        <v/>
      </c>
      <c r="R241" s="1" t="str">
        <f t="shared" si="1"/>
        <v/>
      </c>
      <c r="S241" s="1" t="str">
        <f t="shared" si="2"/>
        <v/>
      </c>
      <c r="T241" s="1" t="str">
        <f t="shared" si="3"/>
        <v/>
      </c>
      <c r="U241" s="1">
        <f t="shared" si="4"/>
        <v>98</v>
      </c>
      <c r="V241" s="3">
        <f t="shared" si="5"/>
        <v>94</v>
      </c>
      <c r="W241" s="3">
        <f t="shared" si="6"/>
        <v>100</v>
      </c>
      <c r="X241" s="3" t="str">
        <f t="shared" si="7"/>
        <v/>
      </c>
      <c r="Y241" s="3" t="str">
        <f t="shared" si="8"/>
        <v/>
      </c>
      <c r="Z241" s="1" t="str">
        <f t="shared" si="9"/>
        <v/>
      </c>
      <c r="AA241" s="3" t="str">
        <f t="shared" si="10"/>
        <v/>
      </c>
    </row>
    <row r="242" spans="1:27">
      <c r="A242" s="1" t="s">
        <v>156</v>
      </c>
      <c r="B242" s="1">
        <v>2015</v>
      </c>
      <c r="C242" s="1">
        <v>566.74102779999998</v>
      </c>
      <c r="D242" s="1">
        <v>90.179000849999994</v>
      </c>
      <c r="E242" s="1">
        <v>99.925170660000006</v>
      </c>
      <c r="F242" s="1">
        <v>0</v>
      </c>
      <c r="G242" s="1">
        <v>7.4829340019999996E-2</v>
      </c>
      <c r="H242" s="1">
        <v>0</v>
      </c>
      <c r="I242" s="1">
        <v>99.238095240000007</v>
      </c>
      <c r="J242" s="1">
        <v>0</v>
      </c>
      <c r="K242" s="1">
        <v>0.7619047619</v>
      </c>
      <c r="L242" s="1">
        <v>0</v>
      </c>
      <c r="M242" s="1">
        <v>100</v>
      </c>
      <c r="N242" s="1">
        <v>0</v>
      </c>
      <c r="O242" s="1">
        <v>0</v>
      </c>
      <c r="P242" s="1">
        <v>0</v>
      </c>
      <c r="Q242" s="2">
        <f t="shared" si="0"/>
        <v>5</v>
      </c>
      <c r="R242" s="1">
        <f t="shared" si="1"/>
        <v>-9.0476240000015203E-3</v>
      </c>
      <c r="S242" s="1">
        <f t="shared" si="2"/>
        <v>-0.12857142800000076</v>
      </c>
      <c r="T242" s="1">
        <f t="shared" si="3"/>
        <v>0</v>
      </c>
      <c r="U242" s="1">
        <f t="shared" si="4"/>
        <v>100</v>
      </c>
      <c r="V242" s="3">
        <f t="shared" si="5"/>
        <v>99</v>
      </c>
      <c r="W242" s="3">
        <f t="shared" si="6"/>
        <v>100</v>
      </c>
      <c r="X242" s="3" t="str">
        <f t="shared" si="7"/>
        <v>fullaccesss</v>
      </c>
      <c r="Y242" s="3" t="str">
        <f t="shared" si="8"/>
        <v/>
      </c>
      <c r="Z242" s="1" t="str">
        <f t="shared" si="9"/>
        <v>fullaccesss</v>
      </c>
      <c r="AA242" s="3">
        <f t="shared" si="10"/>
        <v>-0.12857142800000076</v>
      </c>
    </row>
    <row r="243" spans="1:27">
      <c r="A243" s="1" t="s">
        <v>156</v>
      </c>
      <c r="B243" s="1">
        <v>2020</v>
      </c>
      <c r="C243" s="1">
        <v>625.97601320000001</v>
      </c>
      <c r="D243" s="1">
        <v>91.452995299999998</v>
      </c>
      <c r="E243" s="1">
        <v>99.879932539999999</v>
      </c>
      <c r="F243" s="1">
        <v>0</v>
      </c>
      <c r="G243" s="1">
        <v>0.1200674649</v>
      </c>
      <c r="H243" s="1">
        <v>0</v>
      </c>
      <c r="I243" s="1">
        <v>98.595238100000003</v>
      </c>
      <c r="J243" s="1">
        <v>0</v>
      </c>
      <c r="K243" s="1">
        <v>1.404761905</v>
      </c>
      <c r="L243" s="1">
        <v>0</v>
      </c>
      <c r="M243" s="1">
        <v>100</v>
      </c>
      <c r="N243" s="1">
        <v>0</v>
      </c>
      <c r="O243" s="1">
        <v>0</v>
      </c>
      <c r="P243" s="1">
        <v>0</v>
      </c>
      <c r="Q243" s="2" t="str">
        <f t="shared" si="0"/>
        <v/>
      </c>
      <c r="R243" s="1" t="str">
        <f t="shared" si="1"/>
        <v/>
      </c>
      <c r="S243" s="1" t="str">
        <f t="shared" si="2"/>
        <v/>
      </c>
      <c r="T243" s="1" t="str">
        <f t="shared" si="3"/>
        <v/>
      </c>
      <c r="U243" s="1">
        <f t="shared" si="4"/>
        <v>100</v>
      </c>
      <c r="V243" s="3">
        <f t="shared" si="5"/>
        <v>99</v>
      </c>
      <c r="W243" s="3">
        <f t="shared" si="6"/>
        <v>100</v>
      </c>
      <c r="X243" s="3" t="str">
        <f t="shared" si="7"/>
        <v/>
      </c>
      <c r="Y243" s="3" t="str">
        <f t="shared" si="8"/>
        <v/>
      </c>
      <c r="Z243" s="1" t="str">
        <f t="shared" si="9"/>
        <v/>
      </c>
      <c r="AA243" s="3" t="str">
        <f t="shared" si="10"/>
        <v/>
      </c>
    </row>
    <row r="244" spans="1:27">
      <c r="A244" s="1" t="s">
        <v>157</v>
      </c>
      <c r="B244" s="1">
        <v>2015</v>
      </c>
      <c r="C244" s="1">
        <v>24234.08008</v>
      </c>
      <c r="D244" s="1">
        <v>35.192996979999997</v>
      </c>
      <c r="E244" s="1">
        <v>48.891773540000003</v>
      </c>
      <c r="F244" s="1">
        <v>2.6771603800000001</v>
      </c>
      <c r="G244" s="1">
        <v>30.406736510000002</v>
      </c>
      <c r="H244" s="1">
        <v>18.024329569999999</v>
      </c>
      <c r="I244" s="1">
        <v>33.144577730000002</v>
      </c>
      <c r="J244" s="1">
        <v>1.743479446</v>
      </c>
      <c r="K244" s="1">
        <v>39.697999690000003</v>
      </c>
      <c r="L244" s="1">
        <v>25.41394313</v>
      </c>
      <c r="M244" s="1">
        <v>77.889830720000006</v>
      </c>
      <c r="N244" s="1">
        <v>4.3965098730000003</v>
      </c>
      <c r="O244" s="1">
        <v>13.29711369</v>
      </c>
      <c r="P244" s="1">
        <v>4.4165457190000001</v>
      </c>
      <c r="Q244" s="2">
        <f t="shared" si="0"/>
        <v>5</v>
      </c>
      <c r="R244" s="1">
        <f t="shared" si="1"/>
        <v>0.89882227399999981</v>
      </c>
      <c r="S244" s="1">
        <f t="shared" si="2"/>
        <v>0.6523685099999994</v>
      </c>
      <c r="T244" s="1">
        <f t="shared" si="3"/>
        <v>0.51603524399999967</v>
      </c>
      <c r="U244" s="1">
        <f t="shared" si="4"/>
        <v>49</v>
      </c>
      <c r="V244" s="3">
        <f t="shared" si="5"/>
        <v>33</v>
      </c>
      <c r="W244" s="3">
        <f t="shared" si="6"/>
        <v>78</v>
      </c>
      <c r="X244" s="3" t="str">
        <f t="shared" si="7"/>
        <v/>
      </c>
      <c r="Y244" s="3" t="str">
        <f t="shared" si="8"/>
        <v/>
      </c>
      <c r="Z244" s="1" t="str">
        <f t="shared" si="9"/>
        <v/>
      </c>
      <c r="AA244" s="3">
        <f t="shared" si="10"/>
        <v>0.13633326599999973</v>
      </c>
    </row>
    <row r="245" spans="1:27">
      <c r="A245" s="1" t="s">
        <v>157</v>
      </c>
      <c r="B245" s="1">
        <v>2020</v>
      </c>
      <c r="C245" s="1">
        <v>27691.019530000001</v>
      </c>
      <c r="D245" s="1">
        <v>38.534000399999996</v>
      </c>
      <c r="E245" s="1">
        <v>53.385884910000001</v>
      </c>
      <c r="F245" s="1">
        <v>2.7179729799999999</v>
      </c>
      <c r="G245" s="1">
        <v>32.311459669999998</v>
      </c>
      <c r="H245" s="1">
        <v>11.58468244</v>
      </c>
      <c r="I245" s="1">
        <v>36.406420279999999</v>
      </c>
      <c r="J245" s="1">
        <v>1.601776163</v>
      </c>
      <c r="K245" s="1">
        <v>43.953893450000002</v>
      </c>
      <c r="L245" s="1">
        <v>18.037910109999999</v>
      </c>
      <c r="M245" s="1">
        <v>80.470006940000005</v>
      </c>
      <c r="N245" s="1">
        <v>4.4984302979999997</v>
      </c>
      <c r="O245" s="1">
        <v>13.74049434</v>
      </c>
      <c r="P245" s="1">
        <v>1.291068417</v>
      </c>
      <c r="Q245" s="2" t="str">
        <f t="shared" si="0"/>
        <v/>
      </c>
      <c r="R245" s="1" t="str">
        <f t="shared" si="1"/>
        <v/>
      </c>
      <c r="S245" s="1" t="str">
        <f t="shared" si="2"/>
        <v/>
      </c>
      <c r="T245" s="1" t="str">
        <f t="shared" si="3"/>
        <v/>
      </c>
      <c r="U245" s="1">
        <f t="shared" si="4"/>
        <v>53</v>
      </c>
      <c r="V245" s="3">
        <f t="shared" si="5"/>
        <v>36</v>
      </c>
      <c r="W245" s="3">
        <f t="shared" si="6"/>
        <v>80</v>
      </c>
      <c r="X245" s="3" t="str">
        <f t="shared" si="7"/>
        <v/>
      </c>
      <c r="Y245" s="3" t="str">
        <f t="shared" si="8"/>
        <v/>
      </c>
      <c r="Z245" s="1" t="str">
        <f t="shared" si="9"/>
        <v/>
      </c>
      <c r="AA245" s="3" t="str">
        <f t="shared" si="10"/>
        <v/>
      </c>
    </row>
    <row r="246" spans="1:27">
      <c r="A246" s="1" t="s">
        <v>158</v>
      </c>
      <c r="B246" s="1">
        <v>2015</v>
      </c>
      <c r="C246" s="1">
        <v>16745.304690000001</v>
      </c>
      <c r="D246" s="1">
        <v>16.312999730000001</v>
      </c>
      <c r="E246" s="1">
        <v>66.154959140000003</v>
      </c>
      <c r="F246" s="1">
        <v>19.716038309999998</v>
      </c>
      <c r="G246" s="1">
        <v>10.55451427</v>
      </c>
      <c r="H246" s="1">
        <v>3.5744882769999999</v>
      </c>
      <c r="I246" s="1">
        <v>62.240608639999998</v>
      </c>
      <c r="J246" s="1">
        <v>21.69810966</v>
      </c>
      <c r="K246" s="1">
        <v>11.875220280000001</v>
      </c>
      <c r="L246" s="1">
        <v>4.186061413</v>
      </c>
      <c r="M246" s="1">
        <v>86.235879850000003</v>
      </c>
      <c r="N246" s="1">
        <v>9.5478494880000007</v>
      </c>
      <c r="O246" s="1">
        <v>3.7792023349999999</v>
      </c>
      <c r="P246" s="1">
        <v>0.43706832449999999</v>
      </c>
      <c r="Q246" s="2">
        <f t="shared" si="0"/>
        <v>5</v>
      </c>
      <c r="R246" s="1">
        <f t="shared" si="1"/>
        <v>0.77855387399999931</v>
      </c>
      <c r="S246" s="1">
        <f t="shared" si="2"/>
        <v>0.8688870240000014</v>
      </c>
      <c r="T246" s="1">
        <f t="shared" si="3"/>
        <v>4.3763672000000045E-2</v>
      </c>
      <c r="U246" s="1">
        <f t="shared" si="4"/>
        <v>66</v>
      </c>
      <c r="V246" s="3">
        <f t="shared" si="5"/>
        <v>62</v>
      </c>
      <c r="W246" s="3">
        <f t="shared" si="6"/>
        <v>86</v>
      </c>
      <c r="X246" s="3" t="str">
        <f t="shared" si="7"/>
        <v/>
      </c>
      <c r="Y246" s="3" t="str">
        <f t="shared" si="8"/>
        <v/>
      </c>
      <c r="Z246" s="1" t="str">
        <f t="shared" si="9"/>
        <v/>
      </c>
      <c r="AA246" s="3">
        <f t="shared" si="10"/>
        <v>0.82512335200000131</v>
      </c>
    </row>
    <row r="247" spans="1:27">
      <c r="A247" s="1" t="s">
        <v>158</v>
      </c>
      <c r="B247" s="1">
        <v>2020</v>
      </c>
      <c r="C247" s="1">
        <v>19129.95508</v>
      </c>
      <c r="D247" s="1">
        <v>17.42700005</v>
      </c>
      <c r="E247" s="1">
        <v>70.047728509999999</v>
      </c>
      <c r="F247" s="1">
        <v>21.95081497</v>
      </c>
      <c r="G247" s="1">
        <v>5.7763044069999996</v>
      </c>
      <c r="H247" s="1">
        <v>2.2251521099999998</v>
      </c>
      <c r="I247" s="1">
        <v>66.585043760000005</v>
      </c>
      <c r="J247" s="1">
        <v>24.414158029999999</v>
      </c>
      <c r="K247" s="1">
        <v>6.3838741460000001</v>
      </c>
      <c r="L247" s="1">
        <v>2.6169240660000002</v>
      </c>
      <c r="M247" s="1">
        <v>86.454698210000004</v>
      </c>
      <c r="N247" s="1">
        <v>10.278948249999999</v>
      </c>
      <c r="O247" s="1">
        <v>2.8975039960000002</v>
      </c>
      <c r="P247" s="1">
        <v>0.36884954460000002</v>
      </c>
      <c r="Q247" s="2" t="str">
        <f t="shared" si="0"/>
        <v/>
      </c>
      <c r="R247" s="1" t="str">
        <f t="shared" si="1"/>
        <v/>
      </c>
      <c r="S247" s="1" t="str">
        <f t="shared" si="2"/>
        <v/>
      </c>
      <c r="T247" s="1" t="str">
        <f t="shared" si="3"/>
        <v/>
      </c>
      <c r="U247" s="1">
        <f t="shared" si="4"/>
        <v>70</v>
      </c>
      <c r="V247" s="3">
        <f t="shared" si="5"/>
        <v>67</v>
      </c>
      <c r="W247" s="3">
        <f t="shared" si="6"/>
        <v>86</v>
      </c>
      <c r="X247" s="3" t="str">
        <f t="shared" si="7"/>
        <v/>
      </c>
      <c r="Y247" s="3" t="str">
        <f t="shared" si="8"/>
        <v/>
      </c>
      <c r="Z247" s="1" t="str">
        <f t="shared" si="9"/>
        <v/>
      </c>
      <c r="AA247" s="3" t="str">
        <f t="shared" si="10"/>
        <v/>
      </c>
    </row>
    <row r="248" spans="1:27">
      <c r="A248" s="1" t="s">
        <v>159</v>
      </c>
      <c r="B248" s="1">
        <v>2015</v>
      </c>
      <c r="C248" s="1">
        <v>30270.964840000001</v>
      </c>
      <c r="D248" s="1">
        <v>74.212997439999995</v>
      </c>
      <c r="E248" s="1">
        <v>97.052202559999998</v>
      </c>
      <c r="F248" s="1">
        <v>0.36300550040000001</v>
      </c>
      <c r="G248" s="1">
        <v>2.584791939</v>
      </c>
      <c r="H248" s="1" t="s">
        <v>272</v>
      </c>
      <c r="I248" s="1">
        <v>90.918309219999998</v>
      </c>
      <c r="J248" s="1">
        <v>0.54880267140000005</v>
      </c>
      <c r="K248" s="1">
        <v>8.5328881049999996</v>
      </c>
      <c r="L248" s="1" t="s">
        <v>272</v>
      </c>
      <c r="M248" s="1">
        <v>99.183566049999996</v>
      </c>
      <c r="N248" s="1">
        <v>0.29844603629999999</v>
      </c>
      <c r="O248" s="1">
        <v>0.427987911</v>
      </c>
      <c r="P248" s="1">
        <v>0.09</v>
      </c>
      <c r="Q248" s="2">
        <f t="shared" si="0"/>
        <v>5</v>
      </c>
      <c r="R248" s="1">
        <f t="shared" si="1"/>
        <v>9.5409020000005278E-3</v>
      </c>
      <c r="S248" s="1">
        <f t="shared" si="2"/>
        <v>-0.14417221999999869</v>
      </c>
      <c r="T248" s="1">
        <f t="shared" si="3"/>
        <v>-8.0940279999992988E-3</v>
      </c>
      <c r="U248" s="1">
        <f t="shared" si="4"/>
        <v>97</v>
      </c>
      <c r="V248" s="3">
        <f t="shared" si="5"/>
        <v>91</v>
      </c>
      <c r="W248" s="3">
        <f t="shared" si="6"/>
        <v>99</v>
      </c>
      <c r="X248" s="3" t="str">
        <f t="shared" si="7"/>
        <v/>
      </c>
      <c r="Y248" s="3" t="str">
        <f t="shared" si="8"/>
        <v/>
      </c>
      <c r="Z248" s="1" t="str">
        <f t="shared" si="9"/>
        <v/>
      </c>
      <c r="AA248" s="3">
        <f t="shared" si="10"/>
        <v>-0.13607819199999938</v>
      </c>
    </row>
    <row r="249" spans="1:27">
      <c r="A249" s="1" t="s">
        <v>159</v>
      </c>
      <c r="B249" s="1">
        <v>2020</v>
      </c>
      <c r="C249" s="1">
        <v>32365.998049999998</v>
      </c>
      <c r="D249" s="1">
        <v>77.159996030000002</v>
      </c>
      <c r="E249" s="1">
        <v>97.09990707</v>
      </c>
      <c r="F249" s="1">
        <v>0.35453968650000001</v>
      </c>
      <c r="G249" s="1">
        <v>2.5455532409999999</v>
      </c>
      <c r="H249" s="1" t="s">
        <v>272</v>
      </c>
      <c r="I249" s="1">
        <v>90.197448120000004</v>
      </c>
      <c r="J249" s="1">
        <v>0.54445139710000001</v>
      </c>
      <c r="K249" s="1">
        <v>9.2581004779999994</v>
      </c>
      <c r="L249" s="1" t="s">
        <v>272</v>
      </c>
      <c r="M249" s="1">
        <v>99.14309591</v>
      </c>
      <c r="N249" s="1">
        <v>0.29832426049999999</v>
      </c>
      <c r="O249" s="1">
        <v>0.46857983190000002</v>
      </c>
      <c r="P249" s="1">
        <v>0.09</v>
      </c>
      <c r="Q249" s="2" t="str">
        <f t="shared" si="0"/>
        <v/>
      </c>
      <c r="R249" s="1" t="str">
        <f t="shared" si="1"/>
        <v/>
      </c>
      <c r="S249" s="1" t="str">
        <f t="shared" si="2"/>
        <v/>
      </c>
      <c r="T249" s="1" t="str">
        <f t="shared" si="3"/>
        <v/>
      </c>
      <c r="U249" s="1">
        <f t="shared" si="4"/>
        <v>97</v>
      </c>
      <c r="V249" s="3">
        <f t="shared" si="5"/>
        <v>90</v>
      </c>
      <c r="W249" s="3">
        <f t="shared" si="6"/>
        <v>99</v>
      </c>
      <c r="X249" s="3" t="str">
        <f t="shared" si="7"/>
        <v/>
      </c>
      <c r="Y249" s="3" t="str">
        <f t="shared" si="8"/>
        <v/>
      </c>
      <c r="Z249" s="1" t="str">
        <f t="shared" si="9"/>
        <v/>
      </c>
      <c r="AA249" s="3" t="str">
        <f t="shared" si="10"/>
        <v/>
      </c>
    </row>
    <row r="250" spans="1:27">
      <c r="A250" s="1" t="s">
        <v>160</v>
      </c>
      <c r="B250" s="1">
        <v>2015</v>
      </c>
      <c r="C250" s="1">
        <v>454.91400149999998</v>
      </c>
      <c r="D250" s="1">
        <v>38.528999329999998</v>
      </c>
      <c r="E250" s="1">
        <v>98.814244290000005</v>
      </c>
      <c r="F250" s="1">
        <v>0.11215787989999999</v>
      </c>
      <c r="G250" s="1">
        <v>1.0735978349999999</v>
      </c>
      <c r="H250" s="1">
        <v>0</v>
      </c>
      <c r="I250" s="1">
        <v>98.879699270000003</v>
      </c>
      <c r="J250" s="1">
        <v>0.16698528160000001</v>
      </c>
      <c r="K250" s="1">
        <v>0.95331545299999998</v>
      </c>
      <c r="L250" s="1">
        <v>0</v>
      </c>
      <c r="M250" s="1">
        <v>98.709805689999996</v>
      </c>
      <c r="N250" s="1">
        <v>2.4683622329999998E-2</v>
      </c>
      <c r="O250" s="1">
        <v>1.265510688</v>
      </c>
      <c r="P250" s="1">
        <v>0</v>
      </c>
      <c r="Q250" s="2">
        <f t="shared" si="0"/>
        <v>5</v>
      </c>
      <c r="R250" s="1">
        <f t="shared" si="1"/>
        <v>0.14603886200000032</v>
      </c>
      <c r="S250" s="1">
        <f t="shared" si="2"/>
        <v>0.2078626459999981</v>
      </c>
      <c r="T250" s="1">
        <f t="shared" si="3"/>
        <v>5.7636648000001858E-2</v>
      </c>
      <c r="U250" s="1">
        <f t="shared" si="4"/>
        <v>99</v>
      </c>
      <c r="V250" s="3">
        <f t="shared" si="5"/>
        <v>99</v>
      </c>
      <c r="W250" s="3">
        <f t="shared" si="6"/>
        <v>99</v>
      </c>
      <c r="X250" s="3" t="str">
        <f t="shared" si="7"/>
        <v/>
      </c>
      <c r="Y250" s="3" t="str">
        <f t="shared" si="8"/>
        <v/>
      </c>
      <c r="Z250" s="1" t="str">
        <f t="shared" si="9"/>
        <v/>
      </c>
      <c r="AA250" s="3">
        <f t="shared" si="10"/>
        <v>0.15022599799999625</v>
      </c>
    </row>
    <row r="251" spans="1:27">
      <c r="A251" s="1" t="s">
        <v>160</v>
      </c>
      <c r="B251" s="1">
        <v>2020</v>
      </c>
      <c r="C251" s="1">
        <v>540.54199219999998</v>
      </c>
      <c r="D251" s="1">
        <v>40.668998719999998</v>
      </c>
      <c r="E251" s="1">
        <v>99.544438600000007</v>
      </c>
      <c r="F251" s="1">
        <v>4.8050691299999997E-2</v>
      </c>
      <c r="G251" s="1">
        <v>0.40751070499999997</v>
      </c>
      <c r="H251" s="1">
        <v>0</v>
      </c>
      <c r="I251" s="1">
        <v>99.919012499999994</v>
      </c>
      <c r="J251" s="1">
        <v>8.0987500000000004E-2</v>
      </c>
      <c r="K251" s="1">
        <v>0</v>
      </c>
      <c r="L251" s="1">
        <v>0</v>
      </c>
      <c r="M251" s="1">
        <v>98.997988930000005</v>
      </c>
      <c r="N251" s="1">
        <v>0</v>
      </c>
      <c r="O251" s="1">
        <v>1.0020110689999999</v>
      </c>
      <c r="P251" s="1">
        <v>0</v>
      </c>
      <c r="Q251" s="2" t="str">
        <f t="shared" si="0"/>
        <v/>
      </c>
      <c r="R251" s="1" t="str">
        <f t="shared" si="1"/>
        <v/>
      </c>
      <c r="S251" s="1" t="str">
        <f t="shared" si="2"/>
        <v/>
      </c>
      <c r="T251" s="1" t="str">
        <f t="shared" si="3"/>
        <v/>
      </c>
      <c r="U251" s="1">
        <f t="shared" si="4"/>
        <v>100</v>
      </c>
      <c r="V251" s="3">
        <f t="shared" si="5"/>
        <v>100</v>
      </c>
      <c r="W251" s="3">
        <f t="shared" si="6"/>
        <v>99</v>
      </c>
      <c r="X251" s="3" t="str">
        <f t="shared" si="7"/>
        <v/>
      </c>
      <c r="Y251" s="3" t="str">
        <f t="shared" si="8"/>
        <v/>
      </c>
      <c r="Z251" s="1" t="str">
        <f t="shared" si="9"/>
        <v/>
      </c>
      <c r="AA251" s="3" t="str">
        <f t="shared" si="10"/>
        <v/>
      </c>
    </row>
    <row r="252" spans="1:27">
      <c r="A252" s="1" t="s">
        <v>161</v>
      </c>
      <c r="B252" s="1">
        <v>2015</v>
      </c>
      <c r="C252" s="1">
        <v>17438.771479999999</v>
      </c>
      <c r="D252" s="1">
        <v>39.990997309999997</v>
      </c>
      <c r="E252" s="1">
        <v>74.399512220000005</v>
      </c>
      <c r="F252" s="1">
        <v>4.1718464529999997</v>
      </c>
      <c r="G252" s="1">
        <v>19.37992934</v>
      </c>
      <c r="H252" s="1">
        <v>2.0487119809999998</v>
      </c>
      <c r="I252" s="1">
        <v>63.395714030000001</v>
      </c>
      <c r="J252" s="1">
        <v>4.4493824149999996</v>
      </c>
      <c r="K252" s="1">
        <v>28.94484164</v>
      </c>
      <c r="L252" s="1">
        <v>3.2100619199999998</v>
      </c>
      <c r="M252" s="1">
        <v>90.911405529999996</v>
      </c>
      <c r="N252" s="1">
        <v>3.7553866569999999</v>
      </c>
      <c r="O252" s="1">
        <v>5.0271739789999996</v>
      </c>
      <c r="P252" s="1">
        <v>0.306033834</v>
      </c>
      <c r="Q252" s="2">
        <f t="shared" si="0"/>
        <v>5</v>
      </c>
      <c r="R252" s="1">
        <f t="shared" si="1"/>
        <v>1.6295557619999983</v>
      </c>
      <c r="S252" s="1">
        <f t="shared" si="2"/>
        <v>1.7370362359999987</v>
      </c>
      <c r="T252" s="1">
        <f t="shared" si="3"/>
        <v>1.0012098440000017</v>
      </c>
      <c r="U252" s="1">
        <f t="shared" si="4"/>
        <v>74</v>
      </c>
      <c r="V252" s="3">
        <f t="shared" si="5"/>
        <v>63</v>
      </c>
      <c r="W252" s="3">
        <f t="shared" si="6"/>
        <v>91</v>
      </c>
      <c r="X252" s="3" t="str">
        <f t="shared" si="7"/>
        <v/>
      </c>
      <c r="Y252" s="3" t="str">
        <f t="shared" si="8"/>
        <v/>
      </c>
      <c r="Z252" s="1" t="str">
        <f t="shared" si="9"/>
        <v/>
      </c>
      <c r="AA252" s="3">
        <f t="shared" si="10"/>
        <v>0.735826391999997</v>
      </c>
    </row>
    <row r="253" spans="1:27">
      <c r="A253" s="1" t="s">
        <v>161</v>
      </c>
      <c r="B253" s="1">
        <v>2020</v>
      </c>
      <c r="C253" s="1">
        <v>20250.833979999999</v>
      </c>
      <c r="D253" s="1">
        <v>43.909004209999999</v>
      </c>
      <c r="E253" s="1">
        <v>82.547291029999997</v>
      </c>
      <c r="F253" s="1">
        <v>3.8547345270000002</v>
      </c>
      <c r="G253" s="1">
        <v>12.246971350000001</v>
      </c>
      <c r="H253" s="1">
        <v>1.3510030900000001</v>
      </c>
      <c r="I253" s="1">
        <v>72.080895209999994</v>
      </c>
      <c r="J253" s="1">
        <v>3.7824122299999998</v>
      </c>
      <c r="K253" s="1">
        <v>21.72810084</v>
      </c>
      <c r="L253" s="1">
        <v>2.4085917170000002</v>
      </c>
      <c r="M253" s="1">
        <v>95.917454750000005</v>
      </c>
      <c r="N253" s="1">
        <v>3.947121723</v>
      </c>
      <c r="O253" s="1">
        <v>0.13542353139999999</v>
      </c>
      <c r="P253" s="1">
        <v>0</v>
      </c>
      <c r="Q253" s="2" t="str">
        <f t="shared" si="0"/>
        <v/>
      </c>
      <c r="R253" s="1" t="str">
        <f t="shared" si="1"/>
        <v/>
      </c>
      <c r="S253" s="1" t="str">
        <f t="shared" si="2"/>
        <v/>
      </c>
      <c r="T253" s="1" t="str">
        <f t="shared" si="3"/>
        <v/>
      </c>
      <c r="U253" s="1">
        <f t="shared" si="4"/>
        <v>83</v>
      </c>
      <c r="V253" s="3">
        <f t="shared" si="5"/>
        <v>72</v>
      </c>
      <c r="W253" s="3">
        <f t="shared" si="6"/>
        <v>96</v>
      </c>
      <c r="X253" s="3" t="str">
        <f t="shared" si="7"/>
        <v/>
      </c>
      <c r="Y253" s="3" t="str">
        <f t="shared" si="8"/>
        <v/>
      </c>
      <c r="Z253" s="1" t="str">
        <f t="shared" si="9"/>
        <v/>
      </c>
      <c r="AA253" s="3" t="str">
        <f t="shared" si="10"/>
        <v/>
      </c>
    </row>
    <row r="254" spans="1:27">
      <c r="A254" s="1" t="s">
        <v>162</v>
      </c>
      <c r="B254" s="1">
        <v>2015</v>
      </c>
      <c r="C254" s="1">
        <v>433.55899049999999</v>
      </c>
      <c r="D254" s="1">
        <v>94.414001459999994</v>
      </c>
      <c r="E254" s="1">
        <v>100</v>
      </c>
      <c r="F254" s="1">
        <v>0</v>
      </c>
      <c r="G254" s="1">
        <v>0</v>
      </c>
      <c r="H254" s="1">
        <v>0</v>
      </c>
      <c r="I254" s="1">
        <v>100</v>
      </c>
      <c r="J254" s="1">
        <v>0</v>
      </c>
      <c r="K254" s="1">
        <v>0</v>
      </c>
      <c r="L254" s="1">
        <v>0</v>
      </c>
      <c r="M254" s="1">
        <v>100</v>
      </c>
      <c r="N254" s="1">
        <v>0</v>
      </c>
      <c r="O254" s="1">
        <v>0</v>
      </c>
      <c r="P254" s="1">
        <v>0</v>
      </c>
      <c r="Q254" s="2">
        <f t="shared" si="0"/>
        <v>5</v>
      </c>
      <c r="R254" s="1">
        <f t="shared" si="1"/>
        <v>8.0000000934887789E-8</v>
      </c>
      <c r="S254" s="1">
        <f t="shared" si="2"/>
        <v>0</v>
      </c>
      <c r="T254" s="1">
        <f t="shared" si="3"/>
        <v>0</v>
      </c>
      <c r="U254" s="1">
        <f t="shared" si="4"/>
        <v>100</v>
      </c>
      <c r="V254" s="3">
        <f t="shared" si="5"/>
        <v>100</v>
      </c>
      <c r="W254" s="3">
        <f t="shared" si="6"/>
        <v>100</v>
      </c>
      <c r="X254" s="3" t="str">
        <f t="shared" si="7"/>
        <v>fullaccesss</v>
      </c>
      <c r="Y254" s="3" t="str">
        <f t="shared" si="8"/>
        <v>fullaccesss</v>
      </c>
      <c r="Z254" s="1" t="str">
        <f t="shared" si="9"/>
        <v>fullaccesss</v>
      </c>
      <c r="AA254" s="3">
        <f t="shared" si="10"/>
        <v>0</v>
      </c>
    </row>
    <row r="255" spans="1:27">
      <c r="A255" s="1" t="s">
        <v>162</v>
      </c>
      <c r="B255" s="1">
        <v>2020</v>
      </c>
      <c r="C255" s="1">
        <v>441.53900149999998</v>
      </c>
      <c r="D255" s="1">
        <v>94.744003300000003</v>
      </c>
      <c r="E255" s="1">
        <v>100.0000004</v>
      </c>
      <c r="F255" s="1">
        <v>0</v>
      </c>
      <c r="G255" s="1">
        <v>0</v>
      </c>
      <c r="H255" s="1">
        <v>0</v>
      </c>
      <c r="I255" s="1">
        <v>100</v>
      </c>
      <c r="J255" s="1">
        <v>0</v>
      </c>
      <c r="K255" s="1">
        <v>0</v>
      </c>
      <c r="L255" s="1">
        <v>0</v>
      </c>
      <c r="M255" s="1">
        <v>100</v>
      </c>
      <c r="N255" s="1">
        <v>0</v>
      </c>
      <c r="O255" s="1">
        <v>0</v>
      </c>
      <c r="P255" s="1">
        <v>0</v>
      </c>
      <c r="Q255" s="2" t="str">
        <f t="shared" si="0"/>
        <v/>
      </c>
      <c r="R255" s="1" t="str">
        <f t="shared" si="1"/>
        <v/>
      </c>
      <c r="S255" s="1" t="str">
        <f t="shared" si="2"/>
        <v/>
      </c>
      <c r="T255" s="1" t="str">
        <f t="shared" si="3"/>
        <v/>
      </c>
      <c r="U255" s="1">
        <f t="shared" si="4"/>
        <v>100</v>
      </c>
      <c r="V255" s="3">
        <f t="shared" si="5"/>
        <v>100</v>
      </c>
      <c r="W255" s="3">
        <f t="shared" si="6"/>
        <v>100</v>
      </c>
      <c r="X255" s="3" t="str">
        <f t="shared" si="7"/>
        <v/>
      </c>
      <c r="Y255" s="3" t="str">
        <f t="shared" si="8"/>
        <v/>
      </c>
      <c r="Z255" s="1" t="str">
        <f t="shared" si="9"/>
        <v/>
      </c>
      <c r="AA255" s="3" t="str">
        <f t="shared" si="10"/>
        <v/>
      </c>
    </row>
    <row r="256" spans="1:27">
      <c r="A256" s="1" t="s">
        <v>163</v>
      </c>
      <c r="B256" s="1">
        <v>2015</v>
      </c>
      <c r="C256" s="1">
        <v>57.444000240000001</v>
      </c>
      <c r="D256" s="1">
        <v>75.810997009999994</v>
      </c>
      <c r="E256" s="1">
        <v>88.342523619999994</v>
      </c>
      <c r="F256" s="1">
        <v>11.18141559</v>
      </c>
      <c r="G256" s="1">
        <v>0.47606079179999999</v>
      </c>
      <c r="H256" s="1">
        <v>0</v>
      </c>
      <c r="I256" s="1">
        <v>94.278360000000006</v>
      </c>
      <c r="J256" s="1">
        <v>5.38164</v>
      </c>
      <c r="K256" s="1">
        <v>0.34</v>
      </c>
      <c r="L256" s="1">
        <v>0</v>
      </c>
      <c r="M256" s="1">
        <v>86.448577369999995</v>
      </c>
      <c r="N256" s="1">
        <v>13.03194895</v>
      </c>
      <c r="O256" s="1">
        <v>0.51947368419999995</v>
      </c>
      <c r="P256" s="1">
        <v>0</v>
      </c>
      <c r="Q256" s="2">
        <f t="shared" si="0"/>
        <v>5</v>
      </c>
      <c r="R256" s="1">
        <f t="shared" si="1"/>
        <v>4.5904672000000347E-2</v>
      </c>
      <c r="S256" s="1">
        <f t="shared" si="2"/>
        <v>3.0271999999999365E-2</v>
      </c>
      <c r="T256" s="1">
        <f t="shared" si="3"/>
        <v>9.0284526000002072E-2</v>
      </c>
      <c r="U256" s="1">
        <f t="shared" si="4"/>
        <v>88</v>
      </c>
      <c r="V256" s="3">
        <f t="shared" si="5"/>
        <v>94</v>
      </c>
      <c r="W256" s="3">
        <f t="shared" si="6"/>
        <v>86</v>
      </c>
      <c r="X256" s="3" t="str">
        <f t="shared" si="7"/>
        <v/>
      </c>
      <c r="Y256" s="3" t="str">
        <f t="shared" si="8"/>
        <v/>
      </c>
      <c r="Z256" s="1" t="str">
        <f t="shared" si="9"/>
        <v/>
      </c>
      <c r="AA256" s="3">
        <f t="shared" si="10"/>
        <v>-6.0012526000002703E-2</v>
      </c>
    </row>
    <row r="257" spans="1:27">
      <c r="A257" s="1" t="s">
        <v>163</v>
      </c>
      <c r="B257" s="1">
        <v>2020</v>
      </c>
      <c r="C257" s="1">
        <v>59.194000240000001</v>
      </c>
      <c r="D257" s="1">
        <v>77.793991090000006</v>
      </c>
      <c r="E257" s="1">
        <v>88.572046979999996</v>
      </c>
      <c r="F257" s="1">
        <v>11.387979</v>
      </c>
      <c r="G257" s="1">
        <v>3.9974025849999997E-2</v>
      </c>
      <c r="H257" s="1">
        <v>0</v>
      </c>
      <c r="I257" s="1">
        <v>94.429720000000003</v>
      </c>
      <c r="J257" s="1">
        <v>5.3902799999999997</v>
      </c>
      <c r="K257" s="1">
        <v>0.18</v>
      </c>
      <c r="L257" s="1">
        <v>0</v>
      </c>
      <c r="M257" s="1">
        <v>86.9</v>
      </c>
      <c r="N257" s="1">
        <v>13.1</v>
      </c>
      <c r="O257" s="1">
        <v>0</v>
      </c>
      <c r="P257" s="1">
        <v>0</v>
      </c>
      <c r="Q257" s="2" t="str">
        <f t="shared" ref="Q257:Q463" si="11">IF(A258=A257,B258-B257,"")</f>
        <v/>
      </c>
      <c r="R257" s="1" t="str">
        <f t="shared" ref="R257:R463" si="12">IFERROR(IF($A258=$A257,($E258-$E257)/($B258-$B257),""),"null")</f>
        <v/>
      </c>
      <c r="S257" s="1" t="str">
        <f t="shared" ref="S257:S463" si="13">IFERROR(IF($A258=$A257,($I258-$I257)/($B258-$B257),""),"null")</f>
        <v/>
      </c>
      <c r="T257" s="1" t="str">
        <f t="shared" ref="T257:T463" si="14">IFERROR(IF($A258=$A257,($M258-$M257)/($B258-$B257),""),"null")</f>
        <v/>
      </c>
      <c r="U257" s="1">
        <f t="shared" ref="U257:U463" si="15">IFERROR(ROUND(E257,0),"null")</f>
        <v>89</v>
      </c>
      <c r="V257" s="3">
        <f t="shared" ref="V257:V463" si="16">IFERROR(ROUND(I257,0),"null")</f>
        <v>94</v>
      </c>
      <c r="W257" s="3">
        <f t="shared" ref="W257:W463" si="17">IFERROR(ROUND(M257,0),"null")</f>
        <v>87</v>
      </c>
      <c r="X257" s="3" t="str">
        <f t="shared" ref="X257:X463" si="18">IF(AND($A258=$A257,$U257=100,$U258=100),"fullaccesss","")</f>
        <v/>
      </c>
      <c r="Y257" s="3" t="str">
        <f t="shared" ref="Y257:Y463" si="19">IF(AND($A258=$A257,$V257=100,$V258=100),"fullaccesss","")</f>
        <v/>
      </c>
      <c r="Z257" s="1" t="str">
        <f t="shared" ref="Z257:Z463" si="20">IF(AND($A258=$A257,$W257=100,$W258=100),"fullaccesss","")</f>
        <v/>
      </c>
      <c r="AA257" s="3" t="str">
        <f t="shared" ref="AA257:AA463" si="21">IFERROR(IF(AND(S257&lt;&gt;"",T257&lt;&gt;""),S257-T257,""),"null")</f>
        <v/>
      </c>
    </row>
    <row r="258" spans="1:27">
      <c r="A258" s="1" t="s">
        <v>164</v>
      </c>
      <c r="B258" s="1">
        <v>2015</v>
      </c>
      <c r="C258" s="1">
        <v>378.48300169999999</v>
      </c>
      <c r="D258" s="1">
        <v>88.981002810000007</v>
      </c>
      <c r="E258" s="1">
        <v>99.796030000000002</v>
      </c>
      <c r="F258" s="1">
        <v>0</v>
      </c>
      <c r="G258" s="1">
        <v>0.20396999539999999</v>
      </c>
      <c r="H258" s="1">
        <v>0</v>
      </c>
      <c r="I258" s="1" t="s">
        <v>272</v>
      </c>
      <c r="J258" s="1" t="s">
        <v>272</v>
      </c>
      <c r="K258" s="1" t="s">
        <v>272</v>
      </c>
      <c r="L258" s="1" t="s">
        <v>272</v>
      </c>
      <c r="M258" s="1" t="s">
        <v>272</v>
      </c>
      <c r="N258" s="1" t="s">
        <v>272</v>
      </c>
      <c r="O258" s="1" t="s">
        <v>272</v>
      </c>
      <c r="P258" s="1" t="s">
        <v>272</v>
      </c>
      <c r="Q258" s="2">
        <f t="shared" si="11"/>
        <v>5</v>
      </c>
      <c r="R258" s="1">
        <f t="shared" si="12"/>
        <v>9.1881559999990262E-3</v>
      </c>
      <c r="S258" s="1" t="str">
        <f t="shared" si="13"/>
        <v>null</v>
      </c>
      <c r="T258" s="1" t="str">
        <f t="shared" si="14"/>
        <v>null</v>
      </c>
      <c r="U258" s="1">
        <f t="shared" si="15"/>
        <v>100</v>
      </c>
      <c r="V258" s="3" t="str">
        <f t="shared" si="16"/>
        <v>null</v>
      </c>
      <c r="W258" s="3" t="str">
        <f t="shared" si="17"/>
        <v>null</v>
      </c>
      <c r="X258" s="3" t="str">
        <f t="shared" si="18"/>
        <v>fullaccesss</v>
      </c>
      <c r="Y258" s="3" t="str">
        <f t="shared" si="19"/>
        <v/>
      </c>
      <c r="Z258" s="1" t="str">
        <f t="shared" si="20"/>
        <v/>
      </c>
      <c r="AA258" s="3" t="str">
        <f t="shared" si="21"/>
        <v>null</v>
      </c>
    </row>
    <row r="259" spans="1:27">
      <c r="A259" s="1" t="s">
        <v>164</v>
      </c>
      <c r="B259" s="1">
        <v>2020</v>
      </c>
      <c r="C259" s="1">
        <v>375.26501459999997</v>
      </c>
      <c r="D259" s="1">
        <v>89.13999939</v>
      </c>
      <c r="E259" s="1">
        <v>99.841970779999997</v>
      </c>
      <c r="F259" s="1">
        <v>0</v>
      </c>
      <c r="G259" s="1">
        <v>0.15802921580000001</v>
      </c>
      <c r="H259" s="1">
        <v>0</v>
      </c>
      <c r="I259" s="1" t="s">
        <v>272</v>
      </c>
      <c r="J259" s="1" t="s">
        <v>272</v>
      </c>
      <c r="K259" s="1" t="s">
        <v>272</v>
      </c>
      <c r="L259" s="1" t="s">
        <v>272</v>
      </c>
      <c r="M259" s="1" t="s">
        <v>272</v>
      </c>
      <c r="N259" s="1" t="s">
        <v>272</v>
      </c>
      <c r="O259" s="1" t="s">
        <v>272</v>
      </c>
      <c r="P259" s="1" t="s">
        <v>272</v>
      </c>
      <c r="Q259" s="2" t="str">
        <f t="shared" si="11"/>
        <v/>
      </c>
      <c r="R259" s="1" t="str">
        <f t="shared" si="12"/>
        <v/>
      </c>
      <c r="S259" s="1" t="str">
        <f t="shared" si="13"/>
        <v/>
      </c>
      <c r="T259" s="1" t="str">
        <f t="shared" si="14"/>
        <v/>
      </c>
      <c r="U259" s="1">
        <f t="shared" si="15"/>
        <v>100</v>
      </c>
      <c r="V259" s="3" t="str">
        <f t="shared" si="16"/>
        <v>null</v>
      </c>
      <c r="W259" s="3" t="str">
        <f t="shared" si="17"/>
        <v>null</v>
      </c>
      <c r="X259" s="3" t="str">
        <f t="shared" si="18"/>
        <v/>
      </c>
      <c r="Y259" s="3" t="str">
        <f t="shared" si="19"/>
        <v/>
      </c>
      <c r="Z259" s="1" t="str">
        <f t="shared" si="20"/>
        <v/>
      </c>
      <c r="AA259" s="3" t="str">
        <f t="shared" si="21"/>
        <v/>
      </c>
    </row>
    <row r="260" spans="1:27">
      <c r="A260" s="1" t="s">
        <v>165</v>
      </c>
      <c r="B260" s="1">
        <v>2015</v>
      </c>
      <c r="C260" s="1">
        <v>4046.3039549999999</v>
      </c>
      <c r="D260" s="1">
        <v>51.0890007</v>
      </c>
      <c r="E260" s="1">
        <v>66.973309400000005</v>
      </c>
      <c r="F260" s="1">
        <v>14.811653570000001</v>
      </c>
      <c r="G260" s="1">
        <v>17.637023750000001</v>
      </c>
      <c r="H260" s="1">
        <v>0.57801328240000005</v>
      </c>
      <c r="I260" s="1">
        <v>46.69284218</v>
      </c>
      <c r="J260" s="1">
        <v>18.20063085</v>
      </c>
      <c r="K260" s="1">
        <v>33.924761500000002</v>
      </c>
      <c r="L260" s="1">
        <v>1.1817654639999999</v>
      </c>
      <c r="M260" s="1">
        <v>86.389188590000003</v>
      </c>
      <c r="N260" s="1">
        <v>11.56715369</v>
      </c>
      <c r="O260" s="1">
        <v>2.043657719</v>
      </c>
      <c r="P260" s="1">
        <v>0</v>
      </c>
      <c r="Q260" s="2">
        <f t="shared" si="11"/>
        <v>5</v>
      </c>
      <c r="R260" s="1">
        <f t="shared" si="12"/>
        <v>0.94154796599999879</v>
      </c>
      <c r="S260" s="1">
        <f t="shared" si="13"/>
        <v>0.64369934399999951</v>
      </c>
      <c r="T260" s="1">
        <f t="shared" si="14"/>
        <v>0.57390121199999844</v>
      </c>
      <c r="U260" s="1">
        <f t="shared" si="15"/>
        <v>67</v>
      </c>
      <c r="V260" s="3">
        <f t="shared" si="16"/>
        <v>47</v>
      </c>
      <c r="W260" s="3">
        <f t="shared" si="17"/>
        <v>86</v>
      </c>
      <c r="X260" s="3" t="str">
        <f t="shared" si="18"/>
        <v/>
      </c>
      <c r="Y260" s="3" t="str">
        <f t="shared" si="19"/>
        <v/>
      </c>
      <c r="Z260" s="1" t="str">
        <f t="shared" si="20"/>
        <v/>
      </c>
      <c r="AA260" s="3">
        <f t="shared" si="21"/>
        <v>6.9798132000001067E-2</v>
      </c>
    </row>
    <row r="261" spans="1:27">
      <c r="A261" s="1" t="s">
        <v>165</v>
      </c>
      <c r="B261" s="1">
        <v>2020</v>
      </c>
      <c r="C261" s="1">
        <v>4649.6601559999999</v>
      </c>
      <c r="D261" s="1">
        <v>55.326995850000003</v>
      </c>
      <c r="E261" s="1">
        <v>71.681049229999999</v>
      </c>
      <c r="F261" s="1">
        <v>13.476891930000001</v>
      </c>
      <c r="G261" s="1">
        <v>14.820326809999999</v>
      </c>
      <c r="H261" s="1">
        <v>2.173203433E-2</v>
      </c>
      <c r="I261" s="1">
        <v>49.911338899999997</v>
      </c>
      <c r="J261" s="1">
        <v>18.49039689</v>
      </c>
      <c r="K261" s="1">
        <v>31.549617300000001</v>
      </c>
      <c r="L261" s="1">
        <v>4.8646907220000001E-2</v>
      </c>
      <c r="M261" s="1">
        <v>89.258694649999995</v>
      </c>
      <c r="N261" s="1">
        <v>9.4288080829999998</v>
      </c>
      <c r="O261" s="1">
        <v>1.3124972699999999</v>
      </c>
      <c r="P261" s="1">
        <v>0</v>
      </c>
      <c r="Q261" s="2" t="str">
        <f t="shared" si="11"/>
        <v/>
      </c>
      <c r="R261" s="1" t="str">
        <f t="shared" si="12"/>
        <v/>
      </c>
      <c r="S261" s="1" t="str">
        <f t="shared" si="13"/>
        <v/>
      </c>
      <c r="T261" s="1" t="str">
        <f t="shared" si="14"/>
        <v/>
      </c>
      <c r="U261" s="1">
        <f t="shared" si="15"/>
        <v>72</v>
      </c>
      <c r="V261" s="3">
        <f t="shared" si="16"/>
        <v>50</v>
      </c>
      <c r="W261" s="3">
        <f t="shared" si="17"/>
        <v>89</v>
      </c>
      <c r="X261" s="3" t="str">
        <f t="shared" si="18"/>
        <v/>
      </c>
      <c r="Y261" s="3" t="str">
        <f t="shared" si="19"/>
        <v/>
      </c>
      <c r="Z261" s="1" t="str">
        <f t="shared" si="20"/>
        <v/>
      </c>
      <c r="AA261" s="3" t="str">
        <f t="shared" si="21"/>
        <v/>
      </c>
    </row>
    <row r="262" spans="1:27">
      <c r="A262" s="1" t="s">
        <v>166</v>
      </c>
      <c r="B262" s="1">
        <v>2015</v>
      </c>
      <c r="C262" s="1">
        <v>1259.4570309999999</v>
      </c>
      <c r="D262" s="1">
        <v>41</v>
      </c>
      <c r="E262" s="1">
        <v>99.866481820000004</v>
      </c>
      <c r="F262" s="1">
        <v>0</v>
      </c>
      <c r="G262" s="1">
        <v>0.13351818090000001</v>
      </c>
      <c r="H262" s="1">
        <v>0</v>
      </c>
      <c r="I262" s="1">
        <v>99.827682339999996</v>
      </c>
      <c r="J262" s="1">
        <v>0</v>
      </c>
      <c r="K262" s="1">
        <v>0.17231766179999999</v>
      </c>
      <c r="L262" s="1">
        <v>0</v>
      </c>
      <c r="M262" s="1">
        <v>99.922315220000002</v>
      </c>
      <c r="N262" s="1">
        <v>0</v>
      </c>
      <c r="O262" s="1">
        <v>7.7684781189999996E-2</v>
      </c>
      <c r="P262" s="1">
        <v>0</v>
      </c>
      <c r="Q262" s="2">
        <f t="shared" si="11"/>
        <v>5</v>
      </c>
      <c r="R262" s="1">
        <f t="shared" si="12"/>
        <v>-4.5424000001048624E-5</v>
      </c>
      <c r="S262" s="1">
        <f t="shared" si="13"/>
        <v>0</v>
      </c>
      <c r="T262" s="1">
        <f t="shared" si="14"/>
        <v>0</v>
      </c>
      <c r="U262" s="1">
        <f t="shared" si="15"/>
        <v>100</v>
      </c>
      <c r="V262" s="3">
        <f t="shared" si="16"/>
        <v>100</v>
      </c>
      <c r="W262" s="3">
        <f t="shared" si="17"/>
        <v>100</v>
      </c>
      <c r="X262" s="3" t="str">
        <f t="shared" si="18"/>
        <v>fullaccesss</v>
      </c>
      <c r="Y262" s="3" t="str">
        <f t="shared" si="19"/>
        <v>fullaccesss</v>
      </c>
      <c r="Z262" s="1" t="str">
        <f t="shared" si="20"/>
        <v>fullaccesss</v>
      </c>
      <c r="AA262" s="3">
        <f t="shared" si="21"/>
        <v>0</v>
      </c>
    </row>
    <row r="263" spans="1:27">
      <c r="A263" s="1" t="s">
        <v>166</v>
      </c>
      <c r="B263" s="1">
        <v>2020</v>
      </c>
      <c r="C263" s="1">
        <v>1271.7669679999999</v>
      </c>
      <c r="D263" s="1">
        <v>40.759998320000001</v>
      </c>
      <c r="E263" s="1">
        <v>99.866254699999999</v>
      </c>
      <c r="F263" s="1">
        <v>0</v>
      </c>
      <c r="G263" s="1">
        <v>0.13374530139999999</v>
      </c>
      <c r="H263" s="1">
        <v>0</v>
      </c>
      <c r="I263" s="1">
        <v>99.827682339999996</v>
      </c>
      <c r="J263" s="1">
        <v>0</v>
      </c>
      <c r="K263" s="1">
        <v>0.17231766179999999</v>
      </c>
      <c r="L263" s="1">
        <v>0</v>
      </c>
      <c r="M263" s="1">
        <v>99.922315220000002</v>
      </c>
      <c r="N263" s="1">
        <v>0</v>
      </c>
      <c r="O263" s="1">
        <v>7.7684781189999996E-2</v>
      </c>
      <c r="P263" s="1">
        <v>0</v>
      </c>
      <c r="Q263" s="2" t="str">
        <f t="shared" si="11"/>
        <v/>
      </c>
      <c r="R263" s="1" t="str">
        <f t="shared" si="12"/>
        <v/>
      </c>
      <c r="S263" s="1" t="str">
        <f t="shared" si="13"/>
        <v/>
      </c>
      <c r="T263" s="1" t="str">
        <f t="shared" si="14"/>
        <v/>
      </c>
      <c r="U263" s="1">
        <f t="shared" si="15"/>
        <v>100</v>
      </c>
      <c r="V263" s="3">
        <f t="shared" si="16"/>
        <v>100</v>
      </c>
      <c r="W263" s="3">
        <f t="shared" si="17"/>
        <v>100</v>
      </c>
      <c r="X263" s="3" t="str">
        <f t="shared" si="18"/>
        <v/>
      </c>
      <c r="Y263" s="3" t="str">
        <f t="shared" si="19"/>
        <v/>
      </c>
      <c r="Z263" s="1" t="str">
        <f t="shared" si="20"/>
        <v/>
      </c>
      <c r="AA263" s="3" t="str">
        <f t="shared" si="21"/>
        <v/>
      </c>
    </row>
    <row r="264" spans="1:27">
      <c r="A264" s="1" t="s">
        <v>167</v>
      </c>
      <c r="B264" s="1">
        <v>2015</v>
      </c>
      <c r="C264" s="1">
        <v>240.01100159999999</v>
      </c>
      <c r="D264" s="1">
        <v>46.989002229999997</v>
      </c>
      <c r="E264" s="1">
        <v>96.837811279999997</v>
      </c>
      <c r="F264" s="1">
        <v>0</v>
      </c>
      <c r="G264" s="1">
        <v>0.28201846689999999</v>
      </c>
      <c r="H264" s="1">
        <v>2.880170256</v>
      </c>
      <c r="I264" s="1" t="s">
        <v>272</v>
      </c>
      <c r="J264" s="1" t="s">
        <v>272</v>
      </c>
      <c r="K264" s="1" t="s">
        <v>272</v>
      </c>
      <c r="L264" s="1" t="s">
        <v>272</v>
      </c>
      <c r="M264" s="1" t="s">
        <v>272</v>
      </c>
      <c r="N264" s="1" t="s">
        <v>272</v>
      </c>
      <c r="O264" s="1" t="s">
        <v>272</v>
      </c>
      <c r="P264" s="1" t="s">
        <v>272</v>
      </c>
      <c r="Q264" s="2">
        <f t="shared" si="11"/>
        <v>5</v>
      </c>
      <c r="R264" s="1">
        <f t="shared" si="12"/>
        <v>-9.3326313999997981E-2</v>
      </c>
      <c r="S264" s="1" t="str">
        <f t="shared" si="13"/>
        <v>null</v>
      </c>
      <c r="T264" s="1" t="str">
        <f t="shared" si="14"/>
        <v>null</v>
      </c>
      <c r="U264" s="1">
        <f t="shared" si="15"/>
        <v>97</v>
      </c>
      <c r="V264" s="3" t="str">
        <f t="shared" si="16"/>
        <v>null</v>
      </c>
      <c r="W264" s="3" t="str">
        <f t="shared" si="17"/>
        <v>null</v>
      </c>
      <c r="X264" s="3" t="str">
        <f t="shared" si="18"/>
        <v/>
      </c>
      <c r="Y264" s="3" t="str">
        <f t="shared" si="19"/>
        <v/>
      </c>
      <c r="Z264" s="1" t="str">
        <f t="shared" si="20"/>
        <v/>
      </c>
      <c r="AA264" s="3" t="str">
        <f t="shared" si="21"/>
        <v>null</v>
      </c>
    </row>
    <row r="265" spans="1:27">
      <c r="A265" s="1" t="s">
        <v>167</v>
      </c>
      <c r="B265" s="1">
        <v>2020</v>
      </c>
      <c r="C265" s="1">
        <v>272.81298829999997</v>
      </c>
      <c r="D265" s="1">
        <v>45.750999450000002</v>
      </c>
      <c r="E265" s="1">
        <v>96.371179710000007</v>
      </c>
      <c r="F265" s="1">
        <v>0</v>
      </c>
      <c r="G265" s="1">
        <v>3.6288202950000001</v>
      </c>
      <c r="H265" s="1" t="s">
        <v>272</v>
      </c>
      <c r="I265" s="1" t="s">
        <v>272</v>
      </c>
      <c r="J265" s="1" t="s">
        <v>272</v>
      </c>
      <c r="K265" s="1" t="s">
        <v>272</v>
      </c>
      <c r="L265" s="1" t="s">
        <v>272</v>
      </c>
      <c r="M265" s="1" t="s">
        <v>272</v>
      </c>
      <c r="N265" s="1" t="s">
        <v>272</v>
      </c>
      <c r="O265" s="1" t="s">
        <v>272</v>
      </c>
      <c r="P265" s="1" t="s">
        <v>272</v>
      </c>
      <c r="Q265" s="2" t="str">
        <f t="shared" si="11"/>
        <v/>
      </c>
      <c r="R265" s="1" t="str">
        <f t="shared" si="12"/>
        <v/>
      </c>
      <c r="S265" s="1" t="str">
        <f t="shared" si="13"/>
        <v/>
      </c>
      <c r="T265" s="1" t="str">
        <f t="shared" si="14"/>
        <v/>
      </c>
      <c r="U265" s="1">
        <f t="shared" si="15"/>
        <v>96</v>
      </c>
      <c r="V265" s="3" t="str">
        <f t="shared" si="16"/>
        <v>null</v>
      </c>
      <c r="W265" s="3" t="str">
        <f t="shared" si="17"/>
        <v>null</v>
      </c>
      <c r="X265" s="3" t="str">
        <f t="shared" si="18"/>
        <v/>
      </c>
      <c r="Y265" s="3" t="str">
        <f t="shared" si="19"/>
        <v/>
      </c>
      <c r="Z265" s="1" t="str">
        <f t="shared" si="20"/>
        <v/>
      </c>
      <c r="AA265" s="3" t="str">
        <f t="shared" si="21"/>
        <v/>
      </c>
    </row>
    <row r="266" spans="1:27">
      <c r="A266" s="1" t="s">
        <v>168</v>
      </c>
      <c r="B266" s="1">
        <v>2015</v>
      </c>
      <c r="C266" s="1">
        <v>121858.25</v>
      </c>
      <c r="D266" s="1">
        <v>79.284996030000002</v>
      </c>
      <c r="E266" s="1">
        <v>98.025443539999998</v>
      </c>
      <c r="F266" s="1">
        <v>0</v>
      </c>
      <c r="G266" s="1">
        <v>1.4123609640000001</v>
      </c>
      <c r="H266" s="1">
        <v>0.56219549209999997</v>
      </c>
      <c r="I266" s="1">
        <v>93.286694030000007</v>
      </c>
      <c r="J266" s="1">
        <v>0</v>
      </c>
      <c r="K266" s="1">
        <v>4.3109388519999996</v>
      </c>
      <c r="L266" s="1">
        <v>2.4023671210000002</v>
      </c>
      <c r="M266" s="1">
        <v>99.263552899999993</v>
      </c>
      <c r="N266" s="1">
        <v>0</v>
      </c>
      <c r="O266" s="1">
        <v>0.65503800599999995</v>
      </c>
      <c r="P266" s="1">
        <v>8.140909465E-2</v>
      </c>
      <c r="Q266" s="2">
        <f t="shared" si="11"/>
        <v>5</v>
      </c>
      <c r="R266" s="1">
        <f t="shared" si="12"/>
        <v>0.33082494800000006</v>
      </c>
      <c r="S266" s="1">
        <f t="shared" si="13"/>
        <v>1.0100749799999988</v>
      </c>
      <c r="T266" s="1">
        <f t="shared" si="14"/>
        <v>0.14728942000000131</v>
      </c>
      <c r="U266" s="1">
        <f t="shared" si="15"/>
        <v>98</v>
      </c>
      <c r="V266" s="3">
        <f t="shared" si="16"/>
        <v>93</v>
      </c>
      <c r="W266" s="3">
        <f t="shared" si="17"/>
        <v>99</v>
      </c>
      <c r="X266" s="3" t="str">
        <f t="shared" si="18"/>
        <v/>
      </c>
      <c r="Y266" s="3" t="str">
        <f t="shared" si="19"/>
        <v/>
      </c>
      <c r="Z266" s="1" t="str">
        <f t="shared" si="20"/>
        <v/>
      </c>
      <c r="AA266" s="3">
        <f t="shared" si="21"/>
        <v>0.86278555999999751</v>
      </c>
    </row>
    <row r="267" spans="1:27">
      <c r="A267" s="1" t="s">
        <v>168</v>
      </c>
      <c r="B267" s="1">
        <v>2020</v>
      </c>
      <c r="C267" s="1">
        <v>128932.75</v>
      </c>
      <c r="D267" s="1">
        <v>80.730995179999994</v>
      </c>
      <c r="E267" s="1">
        <v>99.679568279999998</v>
      </c>
      <c r="F267" s="1">
        <v>0</v>
      </c>
      <c r="G267" s="1">
        <v>0.3204317169</v>
      </c>
      <c r="H267" s="1">
        <v>0</v>
      </c>
      <c r="I267" s="1">
        <v>98.337068930000001</v>
      </c>
      <c r="J267" s="1">
        <v>0</v>
      </c>
      <c r="K267" s="1">
        <v>1.6629310669999999</v>
      </c>
      <c r="L267" s="1">
        <v>0</v>
      </c>
      <c r="M267" s="1">
        <v>100</v>
      </c>
      <c r="N267" s="1">
        <v>0</v>
      </c>
      <c r="O267" s="1">
        <v>0</v>
      </c>
      <c r="P267" s="1">
        <v>0</v>
      </c>
      <c r="Q267" s="2" t="str">
        <f t="shared" si="11"/>
        <v/>
      </c>
      <c r="R267" s="1" t="str">
        <f t="shared" si="12"/>
        <v/>
      </c>
      <c r="S267" s="1" t="str">
        <f t="shared" si="13"/>
        <v/>
      </c>
      <c r="T267" s="1" t="str">
        <f t="shared" si="14"/>
        <v/>
      </c>
      <c r="U267" s="1">
        <f t="shared" si="15"/>
        <v>100</v>
      </c>
      <c r="V267" s="3">
        <f t="shared" si="16"/>
        <v>98</v>
      </c>
      <c r="W267" s="3">
        <f t="shared" si="17"/>
        <v>100</v>
      </c>
      <c r="X267" s="3" t="str">
        <f t="shared" si="18"/>
        <v/>
      </c>
      <c r="Y267" s="3" t="str">
        <f t="shared" si="19"/>
        <v/>
      </c>
      <c r="Z267" s="1" t="str">
        <f t="shared" si="20"/>
        <v/>
      </c>
      <c r="AA267" s="3" t="str">
        <f t="shared" si="21"/>
        <v/>
      </c>
    </row>
    <row r="268" spans="1:27">
      <c r="A268" s="1" t="s">
        <v>169</v>
      </c>
      <c r="B268" s="1">
        <v>2015</v>
      </c>
      <c r="C268" s="1">
        <v>108.8860016</v>
      </c>
      <c r="D268" s="1">
        <v>22.455999370000001</v>
      </c>
      <c r="E268" s="1">
        <v>88.308156679999996</v>
      </c>
      <c r="F268" s="1">
        <v>0</v>
      </c>
      <c r="G268" s="1">
        <v>11.69184332</v>
      </c>
      <c r="H268" s="1" t="s">
        <v>272</v>
      </c>
      <c r="I268" s="1" t="s">
        <v>272</v>
      </c>
      <c r="J268" s="1" t="s">
        <v>272</v>
      </c>
      <c r="K268" s="1" t="s">
        <v>272</v>
      </c>
      <c r="L268" s="1" t="s">
        <v>272</v>
      </c>
      <c r="M268" s="1" t="s">
        <v>272</v>
      </c>
      <c r="N268" s="1" t="s">
        <v>272</v>
      </c>
      <c r="O268" s="1" t="s">
        <v>272</v>
      </c>
      <c r="P268" s="1" t="s">
        <v>272</v>
      </c>
      <c r="Q268" s="2">
        <f t="shared" si="11"/>
        <v>4</v>
      </c>
      <c r="R268" s="1">
        <f t="shared" si="12"/>
        <v>0</v>
      </c>
      <c r="S268" s="1" t="str">
        <f t="shared" si="13"/>
        <v>null</v>
      </c>
      <c r="T268" s="1" t="str">
        <f t="shared" si="14"/>
        <v>null</v>
      </c>
      <c r="U268" s="1">
        <f t="shared" si="15"/>
        <v>88</v>
      </c>
      <c r="V268" s="3" t="str">
        <f t="shared" si="16"/>
        <v>null</v>
      </c>
      <c r="W268" s="3" t="str">
        <f t="shared" si="17"/>
        <v>null</v>
      </c>
      <c r="X268" s="3" t="str">
        <f t="shared" si="18"/>
        <v/>
      </c>
      <c r="Y268" s="3" t="str">
        <f t="shared" si="19"/>
        <v/>
      </c>
      <c r="Z268" s="1" t="str">
        <f t="shared" si="20"/>
        <v/>
      </c>
      <c r="AA268" s="3" t="str">
        <f t="shared" si="21"/>
        <v>null</v>
      </c>
    </row>
    <row r="269" spans="1:27">
      <c r="A269" s="1" t="s">
        <v>169</v>
      </c>
      <c r="B269" s="1">
        <v>2019</v>
      </c>
      <c r="C269" s="1">
        <v>113.810997</v>
      </c>
      <c r="D269" s="1">
        <v>22.812000269999999</v>
      </c>
      <c r="E269" s="1">
        <v>88.308156679999996</v>
      </c>
      <c r="F269" s="1">
        <v>0</v>
      </c>
      <c r="G269" s="1">
        <v>11.69184332</v>
      </c>
      <c r="H269" s="1" t="s">
        <v>272</v>
      </c>
      <c r="I269" s="1" t="s">
        <v>272</v>
      </c>
      <c r="J269" s="1" t="s">
        <v>272</v>
      </c>
      <c r="K269" s="1" t="s">
        <v>272</v>
      </c>
      <c r="L269" s="1" t="s">
        <v>272</v>
      </c>
      <c r="M269" s="1" t="s">
        <v>272</v>
      </c>
      <c r="N269" s="1" t="s">
        <v>272</v>
      </c>
      <c r="O269" s="1" t="s">
        <v>272</v>
      </c>
      <c r="P269" s="1" t="s">
        <v>272</v>
      </c>
      <c r="Q269" s="2" t="str">
        <f t="shared" si="11"/>
        <v/>
      </c>
      <c r="R269" s="1" t="str">
        <f t="shared" si="12"/>
        <v/>
      </c>
      <c r="S269" s="1" t="str">
        <f t="shared" si="13"/>
        <v/>
      </c>
      <c r="T269" s="1" t="str">
        <f t="shared" si="14"/>
        <v/>
      </c>
      <c r="U269" s="1">
        <f t="shared" si="15"/>
        <v>88</v>
      </c>
      <c r="V269" s="3" t="str">
        <f t="shared" si="16"/>
        <v>null</v>
      </c>
      <c r="W269" s="3" t="str">
        <f t="shared" si="17"/>
        <v>null</v>
      </c>
      <c r="X269" s="3" t="str">
        <f t="shared" si="18"/>
        <v/>
      </c>
      <c r="Y269" s="3" t="str">
        <f t="shared" si="19"/>
        <v/>
      </c>
      <c r="Z269" s="1" t="str">
        <f t="shared" si="20"/>
        <v/>
      </c>
      <c r="AA269" s="3" t="str">
        <f t="shared" si="21"/>
        <v/>
      </c>
    </row>
    <row r="270" spans="1:27">
      <c r="A270" s="1" t="s">
        <v>170</v>
      </c>
      <c r="B270" s="1">
        <v>2015</v>
      </c>
      <c r="C270" s="1">
        <v>37.722999569999999</v>
      </c>
      <c r="D270" s="1">
        <v>100</v>
      </c>
      <c r="E270" s="1">
        <v>100</v>
      </c>
      <c r="F270" s="1">
        <v>0</v>
      </c>
      <c r="G270" s="1">
        <v>0</v>
      </c>
      <c r="H270" s="1">
        <v>0</v>
      </c>
      <c r="I270" s="1" t="s">
        <v>272</v>
      </c>
      <c r="J270" s="1" t="s">
        <v>272</v>
      </c>
      <c r="K270" s="1" t="s">
        <v>272</v>
      </c>
      <c r="L270" s="1" t="s">
        <v>272</v>
      </c>
      <c r="M270" s="1">
        <v>100</v>
      </c>
      <c r="N270" s="1">
        <v>0</v>
      </c>
      <c r="O270" s="1">
        <v>0</v>
      </c>
      <c r="P270" s="1">
        <v>0</v>
      </c>
      <c r="Q270" s="2">
        <f t="shared" si="11"/>
        <v>5</v>
      </c>
      <c r="R270" s="1">
        <f t="shared" si="12"/>
        <v>0</v>
      </c>
      <c r="S270" s="1" t="str">
        <f t="shared" si="13"/>
        <v>null</v>
      </c>
      <c r="T270" s="1">
        <f t="shared" si="14"/>
        <v>0</v>
      </c>
      <c r="U270" s="1">
        <f t="shared" si="15"/>
        <v>100</v>
      </c>
      <c r="V270" s="3" t="str">
        <f t="shared" si="16"/>
        <v>null</v>
      </c>
      <c r="W270" s="3">
        <f t="shared" si="17"/>
        <v>100</v>
      </c>
      <c r="X270" s="3" t="str">
        <f t="shared" si="18"/>
        <v>fullaccesss</v>
      </c>
      <c r="Y270" s="3" t="str">
        <f t="shared" si="19"/>
        <v/>
      </c>
      <c r="Z270" s="1" t="str">
        <f t="shared" si="20"/>
        <v>fullaccesss</v>
      </c>
      <c r="AA270" s="3" t="str">
        <f t="shared" si="21"/>
        <v>null</v>
      </c>
    </row>
    <row r="271" spans="1:27">
      <c r="A271" s="1" t="s">
        <v>170</v>
      </c>
      <c r="B271" s="1">
        <v>2020</v>
      </c>
      <c r="C271" s="1">
        <v>39.243999479999999</v>
      </c>
      <c r="D271" s="1">
        <v>100</v>
      </c>
      <c r="E271" s="1">
        <v>100</v>
      </c>
      <c r="F271" s="1">
        <v>0</v>
      </c>
      <c r="G271" s="1">
        <v>0</v>
      </c>
      <c r="H271" s="1">
        <v>0</v>
      </c>
      <c r="I271" s="1" t="s">
        <v>272</v>
      </c>
      <c r="J271" s="1" t="s">
        <v>272</v>
      </c>
      <c r="K271" s="1" t="s">
        <v>272</v>
      </c>
      <c r="L271" s="1" t="s">
        <v>272</v>
      </c>
      <c r="M271" s="1">
        <v>100</v>
      </c>
      <c r="N271" s="1">
        <v>0</v>
      </c>
      <c r="O271" s="1">
        <v>0</v>
      </c>
      <c r="P271" s="1">
        <v>0</v>
      </c>
      <c r="Q271" s="2" t="str">
        <f t="shared" si="11"/>
        <v/>
      </c>
      <c r="R271" s="1" t="str">
        <f t="shared" si="12"/>
        <v/>
      </c>
      <c r="S271" s="1" t="str">
        <f t="shared" si="13"/>
        <v/>
      </c>
      <c r="T271" s="1" t="str">
        <f t="shared" si="14"/>
        <v/>
      </c>
      <c r="U271" s="1">
        <f t="shared" si="15"/>
        <v>100</v>
      </c>
      <c r="V271" s="3" t="str">
        <f t="shared" si="16"/>
        <v>null</v>
      </c>
      <c r="W271" s="3">
        <f t="shared" si="17"/>
        <v>100</v>
      </c>
      <c r="X271" s="3" t="str">
        <f t="shared" si="18"/>
        <v/>
      </c>
      <c r="Y271" s="3" t="str">
        <f t="shared" si="19"/>
        <v/>
      </c>
      <c r="Z271" s="1" t="str">
        <f t="shared" si="20"/>
        <v/>
      </c>
      <c r="AA271" s="3" t="str">
        <f t="shared" si="21"/>
        <v/>
      </c>
    </row>
    <row r="272" spans="1:27">
      <c r="A272" s="1" t="s">
        <v>171</v>
      </c>
      <c r="B272" s="1">
        <v>2015</v>
      </c>
      <c r="C272" s="1">
        <v>2998.4331050000001</v>
      </c>
      <c r="D272" s="1">
        <v>68.229995729999999</v>
      </c>
      <c r="E272" s="1">
        <v>80.813012090000001</v>
      </c>
      <c r="F272" s="1">
        <v>3.905181378</v>
      </c>
      <c r="G272" s="1">
        <v>7.5786445809999998</v>
      </c>
      <c r="H272" s="1">
        <v>7.7031619500000001</v>
      </c>
      <c r="I272" s="1">
        <v>52.093888010000001</v>
      </c>
      <c r="J272" s="1">
        <v>5.3335891499999999</v>
      </c>
      <c r="K272" s="1">
        <v>18.718643360000002</v>
      </c>
      <c r="L272" s="1">
        <v>23.85387948</v>
      </c>
      <c r="M272" s="1">
        <v>94.185527239999999</v>
      </c>
      <c r="N272" s="1">
        <v>3.240070405</v>
      </c>
      <c r="O272" s="1">
        <v>2.3915155440000002</v>
      </c>
      <c r="P272" s="1">
        <v>0.1828868106</v>
      </c>
      <c r="Q272" s="2">
        <f t="shared" si="11"/>
        <v>5</v>
      </c>
      <c r="R272" s="1">
        <f t="shared" si="12"/>
        <v>0.93652263600000085</v>
      </c>
      <c r="S272" s="1">
        <f t="shared" si="13"/>
        <v>1.7953726259999996</v>
      </c>
      <c r="T272" s="1">
        <f t="shared" si="14"/>
        <v>0.4920876679999992</v>
      </c>
      <c r="U272" s="1">
        <f t="shared" si="15"/>
        <v>81</v>
      </c>
      <c r="V272" s="3">
        <f t="shared" si="16"/>
        <v>52</v>
      </c>
      <c r="W272" s="3">
        <f t="shared" si="17"/>
        <v>94</v>
      </c>
      <c r="X272" s="3" t="str">
        <f t="shared" si="18"/>
        <v/>
      </c>
      <c r="Y272" s="3" t="str">
        <f t="shared" si="19"/>
        <v/>
      </c>
      <c r="Z272" s="1" t="str">
        <f t="shared" si="20"/>
        <v/>
      </c>
      <c r="AA272" s="3">
        <f t="shared" si="21"/>
        <v>1.3032849580000003</v>
      </c>
    </row>
    <row r="273" spans="1:27">
      <c r="A273" s="1" t="s">
        <v>171</v>
      </c>
      <c r="B273" s="1">
        <v>2020</v>
      </c>
      <c r="C273" s="1">
        <v>3278.2919919999999</v>
      </c>
      <c r="D273" s="1">
        <v>68.656997680000003</v>
      </c>
      <c r="E273" s="1">
        <v>85.495625270000005</v>
      </c>
      <c r="F273" s="1">
        <v>2.1464289299999999</v>
      </c>
      <c r="G273" s="1">
        <v>6.6333667140000001</v>
      </c>
      <c r="H273" s="1">
        <v>5.7245790809999999</v>
      </c>
      <c r="I273" s="1">
        <v>61.070751139999999</v>
      </c>
      <c r="J273" s="1">
        <v>3.0841705720000001</v>
      </c>
      <c r="K273" s="1">
        <v>17.580781160000001</v>
      </c>
      <c r="L273" s="1">
        <v>18.264297129999999</v>
      </c>
      <c r="M273" s="1">
        <v>96.645965579999995</v>
      </c>
      <c r="N273" s="1">
        <v>1.718335079</v>
      </c>
      <c r="O273" s="1">
        <v>1.635699341</v>
      </c>
      <c r="P273" s="1">
        <v>0</v>
      </c>
      <c r="Q273" s="2" t="str">
        <f t="shared" si="11"/>
        <v/>
      </c>
      <c r="R273" s="1" t="str">
        <f t="shared" si="12"/>
        <v/>
      </c>
      <c r="S273" s="1" t="str">
        <f t="shared" si="13"/>
        <v/>
      </c>
      <c r="T273" s="1" t="str">
        <f t="shared" si="14"/>
        <v/>
      </c>
      <c r="U273" s="1">
        <f t="shared" si="15"/>
        <v>85</v>
      </c>
      <c r="V273" s="3">
        <f t="shared" si="16"/>
        <v>61</v>
      </c>
      <c r="W273" s="3">
        <f t="shared" si="17"/>
        <v>97</v>
      </c>
      <c r="X273" s="3" t="str">
        <f t="shared" si="18"/>
        <v/>
      </c>
      <c r="Y273" s="3" t="str">
        <f t="shared" si="19"/>
        <v/>
      </c>
      <c r="Z273" s="1" t="str">
        <f t="shared" si="20"/>
        <v/>
      </c>
      <c r="AA273" s="3" t="str">
        <f t="shared" si="21"/>
        <v/>
      </c>
    </row>
    <row r="274" spans="1:27">
      <c r="A274" s="1" t="s">
        <v>172</v>
      </c>
      <c r="B274" s="1">
        <v>2015</v>
      </c>
      <c r="C274" s="1">
        <v>626.9569702</v>
      </c>
      <c r="D274" s="1">
        <v>65.805999760000006</v>
      </c>
      <c r="E274" s="1">
        <v>97.391295369999995</v>
      </c>
      <c r="F274" s="1">
        <v>1.68690191</v>
      </c>
      <c r="G274" s="1">
        <v>0.88144584619999999</v>
      </c>
      <c r="H274" s="1">
        <v>4.035686954E-2</v>
      </c>
      <c r="I274" s="1">
        <v>95.96066218</v>
      </c>
      <c r="J274" s="1">
        <v>1.539303155</v>
      </c>
      <c r="K274" s="1">
        <v>2.3820114100000001</v>
      </c>
      <c r="L274" s="1">
        <v>0.1180232558</v>
      </c>
      <c r="M274" s="1">
        <v>98.134678449999996</v>
      </c>
      <c r="N274" s="1">
        <v>1.763596913</v>
      </c>
      <c r="O274" s="1">
        <v>0.10172463599999999</v>
      </c>
      <c r="P274" s="1">
        <v>0</v>
      </c>
      <c r="Q274" s="2">
        <f t="shared" si="11"/>
        <v>5</v>
      </c>
      <c r="R274" s="1">
        <f t="shared" si="12"/>
        <v>0.29312423000000082</v>
      </c>
      <c r="S274" s="1">
        <f t="shared" si="13"/>
        <v>0.44024507199999902</v>
      </c>
      <c r="T274" s="1">
        <f t="shared" si="14"/>
        <v>0.21141222800000037</v>
      </c>
      <c r="U274" s="1">
        <f t="shared" si="15"/>
        <v>97</v>
      </c>
      <c r="V274" s="3">
        <f t="shared" si="16"/>
        <v>96</v>
      </c>
      <c r="W274" s="3">
        <f t="shared" si="17"/>
        <v>98</v>
      </c>
      <c r="X274" s="3" t="str">
        <f t="shared" si="18"/>
        <v/>
      </c>
      <c r="Y274" s="3" t="str">
        <f t="shared" si="19"/>
        <v/>
      </c>
      <c r="Z274" s="1" t="str">
        <f t="shared" si="20"/>
        <v/>
      </c>
      <c r="AA274" s="3">
        <f t="shared" si="21"/>
        <v>0.22883284399999865</v>
      </c>
    </row>
    <row r="275" spans="1:27">
      <c r="A275" s="1" t="s">
        <v>172</v>
      </c>
      <c r="B275" s="1">
        <v>2020</v>
      </c>
      <c r="C275" s="1">
        <v>628.06201169999997</v>
      </c>
      <c r="D275" s="1">
        <v>67.488006589999998</v>
      </c>
      <c r="E275" s="1">
        <v>98.856916519999999</v>
      </c>
      <c r="F275" s="1">
        <v>0.54547882039999995</v>
      </c>
      <c r="G275" s="1">
        <v>0.59231201099999997</v>
      </c>
      <c r="H275" s="1">
        <v>5.2926508940000002E-3</v>
      </c>
      <c r="I275" s="1">
        <v>98.161887539999995</v>
      </c>
      <c r="J275" s="1">
        <v>0</v>
      </c>
      <c r="K275" s="1">
        <v>1.821833386</v>
      </c>
      <c r="L275" s="1">
        <v>1.6279069770000001E-2</v>
      </c>
      <c r="M275" s="1">
        <v>99.191739589999997</v>
      </c>
      <c r="N275" s="1">
        <v>0.80826041280000005</v>
      </c>
      <c r="O275" s="1">
        <v>0</v>
      </c>
      <c r="P275" s="1">
        <v>0</v>
      </c>
      <c r="Q275" s="2" t="str">
        <f t="shared" si="11"/>
        <v/>
      </c>
      <c r="R275" s="1" t="str">
        <f t="shared" si="12"/>
        <v/>
      </c>
      <c r="S275" s="1" t="str">
        <f t="shared" si="13"/>
        <v/>
      </c>
      <c r="T275" s="1" t="str">
        <f t="shared" si="14"/>
        <v/>
      </c>
      <c r="U275" s="1">
        <f t="shared" si="15"/>
        <v>99</v>
      </c>
      <c r="V275" s="3">
        <f t="shared" si="16"/>
        <v>98</v>
      </c>
      <c r="W275" s="3">
        <f t="shared" si="17"/>
        <v>99</v>
      </c>
      <c r="X275" s="3" t="str">
        <f t="shared" si="18"/>
        <v/>
      </c>
      <c r="Y275" s="3" t="str">
        <f t="shared" si="19"/>
        <v/>
      </c>
      <c r="Z275" s="1" t="str">
        <f t="shared" si="20"/>
        <v/>
      </c>
      <c r="AA275" s="3" t="str">
        <f t="shared" si="21"/>
        <v/>
      </c>
    </row>
    <row r="276" spans="1:27">
      <c r="A276" s="1" t="s">
        <v>173</v>
      </c>
      <c r="B276" s="1">
        <v>2015</v>
      </c>
      <c r="C276" s="1">
        <v>4.9660000799999997</v>
      </c>
      <c r="D276" s="1">
        <v>9.0410003660000005</v>
      </c>
      <c r="E276" s="1">
        <v>98.070820560000001</v>
      </c>
      <c r="F276" s="1">
        <v>0</v>
      </c>
      <c r="G276" s="1">
        <v>1.9291794390000001</v>
      </c>
      <c r="H276" s="1">
        <v>0</v>
      </c>
      <c r="I276" s="1" t="s">
        <v>272</v>
      </c>
      <c r="J276" s="1" t="s">
        <v>272</v>
      </c>
      <c r="K276" s="1" t="s">
        <v>272</v>
      </c>
      <c r="L276" s="1" t="s">
        <v>272</v>
      </c>
      <c r="M276" s="1" t="s">
        <v>272</v>
      </c>
      <c r="N276" s="1" t="s">
        <v>272</v>
      </c>
      <c r="O276" s="1" t="s">
        <v>272</v>
      </c>
      <c r="P276" s="1" t="s">
        <v>272</v>
      </c>
      <c r="Q276" s="2">
        <f t="shared" si="11"/>
        <v>5</v>
      </c>
      <c r="R276" s="1">
        <f t="shared" si="12"/>
        <v>1.3324119999992945E-3</v>
      </c>
      <c r="S276" s="1" t="str">
        <f t="shared" si="13"/>
        <v>null</v>
      </c>
      <c r="T276" s="1" t="str">
        <f t="shared" si="14"/>
        <v>null</v>
      </c>
      <c r="U276" s="1">
        <f t="shared" si="15"/>
        <v>98</v>
      </c>
      <c r="V276" s="3" t="str">
        <f t="shared" si="16"/>
        <v>null</v>
      </c>
      <c r="W276" s="3" t="str">
        <f t="shared" si="17"/>
        <v>null</v>
      </c>
      <c r="X276" s="3" t="str">
        <f t="shared" si="18"/>
        <v/>
      </c>
      <c r="Y276" s="3" t="str">
        <f t="shared" si="19"/>
        <v/>
      </c>
      <c r="Z276" s="1" t="str">
        <f t="shared" si="20"/>
        <v/>
      </c>
      <c r="AA276" s="3" t="str">
        <f t="shared" si="21"/>
        <v>null</v>
      </c>
    </row>
    <row r="277" spans="1:27">
      <c r="A277" s="1" t="s">
        <v>173</v>
      </c>
      <c r="B277" s="1">
        <v>2020</v>
      </c>
      <c r="C277" s="1">
        <v>4.9990000720000003</v>
      </c>
      <c r="D277" s="1">
        <v>9.1149997710000008</v>
      </c>
      <c r="E277" s="1">
        <v>98.077482619999998</v>
      </c>
      <c r="F277" s="1">
        <v>0</v>
      </c>
      <c r="G277" s="1">
        <v>1.922517378</v>
      </c>
      <c r="H277" s="1">
        <v>0</v>
      </c>
      <c r="I277" s="1" t="s">
        <v>272</v>
      </c>
      <c r="J277" s="1" t="s">
        <v>272</v>
      </c>
      <c r="K277" s="1" t="s">
        <v>272</v>
      </c>
      <c r="L277" s="1" t="s">
        <v>272</v>
      </c>
      <c r="M277" s="1" t="s">
        <v>272</v>
      </c>
      <c r="N277" s="1" t="s">
        <v>272</v>
      </c>
      <c r="O277" s="1" t="s">
        <v>272</v>
      </c>
      <c r="P277" s="1" t="s">
        <v>272</v>
      </c>
      <c r="Q277" s="2" t="str">
        <f t="shared" si="11"/>
        <v/>
      </c>
      <c r="R277" s="1" t="str">
        <f t="shared" si="12"/>
        <v/>
      </c>
      <c r="S277" s="1" t="str">
        <f t="shared" si="13"/>
        <v/>
      </c>
      <c r="T277" s="1" t="str">
        <f t="shared" si="14"/>
        <v/>
      </c>
      <c r="U277" s="1">
        <f t="shared" si="15"/>
        <v>98</v>
      </c>
      <c r="V277" s="3" t="str">
        <f t="shared" si="16"/>
        <v>null</v>
      </c>
      <c r="W277" s="3" t="str">
        <f t="shared" si="17"/>
        <v>null</v>
      </c>
      <c r="X277" s="3" t="str">
        <f t="shared" si="18"/>
        <v/>
      </c>
      <c r="Y277" s="3" t="str">
        <f t="shared" si="19"/>
        <v/>
      </c>
      <c r="Z277" s="1" t="str">
        <f t="shared" si="20"/>
        <v/>
      </c>
      <c r="AA277" s="3" t="str">
        <f t="shared" si="21"/>
        <v/>
      </c>
    </row>
    <row r="278" spans="1:27">
      <c r="A278" s="1" t="s">
        <v>174</v>
      </c>
      <c r="B278" s="1">
        <v>2015</v>
      </c>
      <c r="C278" s="1">
        <v>34663.609380000002</v>
      </c>
      <c r="D278" s="1">
        <v>60.808998109999997</v>
      </c>
      <c r="E278" s="1">
        <v>83.75113288</v>
      </c>
      <c r="F278" s="1">
        <v>5.9371884149999996</v>
      </c>
      <c r="G278" s="1">
        <v>8.5178818580000009</v>
      </c>
      <c r="H278" s="1">
        <v>1.793796851</v>
      </c>
      <c r="I278" s="1">
        <v>64.172528740000004</v>
      </c>
      <c r="J278" s="1">
        <v>12.25581871</v>
      </c>
      <c r="K278" s="1">
        <v>19.029579640000001</v>
      </c>
      <c r="L278" s="1">
        <v>4.5420729140000002</v>
      </c>
      <c r="M278" s="1">
        <v>96.369415020000005</v>
      </c>
      <c r="N278" s="1">
        <v>1.864872571</v>
      </c>
      <c r="O278" s="1">
        <v>1.743161481</v>
      </c>
      <c r="P278" s="1">
        <v>2.255092798E-2</v>
      </c>
      <c r="Q278" s="2">
        <f t="shared" si="11"/>
        <v>5</v>
      </c>
      <c r="R278" s="1">
        <f t="shared" si="12"/>
        <v>1.3302423599999997</v>
      </c>
      <c r="S278" s="1">
        <f t="shared" si="13"/>
        <v>2.6347200439999994</v>
      </c>
      <c r="T278" s="1">
        <f t="shared" si="14"/>
        <v>0.30546619799999919</v>
      </c>
      <c r="U278" s="1">
        <f t="shared" si="15"/>
        <v>84</v>
      </c>
      <c r="V278" s="3">
        <f t="shared" si="16"/>
        <v>64</v>
      </c>
      <c r="W278" s="3">
        <f t="shared" si="17"/>
        <v>96</v>
      </c>
      <c r="X278" s="3" t="str">
        <f t="shared" si="18"/>
        <v/>
      </c>
      <c r="Y278" s="3" t="str">
        <f t="shared" si="19"/>
        <v/>
      </c>
      <c r="Z278" s="1" t="str">
        <f t="shared" si="20"/>
        <v/>
      </c>
      <c r="AA278" s="3">
        <f t="shared" si="21"/>
        <v>2.3292538460000003</v>
      </c>
    </row>
    <row r="279" spans="1:27">
      <c r="A279" s="1" t="s">
        <v>174</v>
      </c>
      <c r="B279" s="1">
        <v>2020</v>
      </c>
      <c r="C279" s="1">
        <v>36910.558590000001</v>
      </c>
      <c r="D279" s="1">
        <v>63.531997680000003</v>
      </c>
      <c r="E279" s="1">
        <v>90.402344679999999</v>
      </c>
      <c r="F279" s="1">
        <v>5.2635496010000002</v>
      </c>
      <c r="G279" s="1">
        <v>2.8776725000000001</v>
      </c>
      <c r="H279" s="1">
        <v>1.456433219</v>
      </c>
      <c r="I279" s="1">
        <v>77.346128960000001</v>
      </c>
      <c r="J279" s="1">
        <v>12.03707816</v>
      </c>
      <c r="K279" s="1">
        <v>6.6230633729999999</v>
      </c>
      <c r="L279" s="1">
        <v>3.9937295019999999</v>
      </c>
      <c r="M279" s="1">
        <v>97.896746010000001</v>
      </c>
      <c r="N279" s="1">
        <v>1.375477117</v>
      </c>
      <c r="O279" s="1">
        <v>0.72777687589999995</v>
      </c>
      <c r="P279" s="1">
        <v>0</v>
      </c>
      <c r="Q279" s="2" t="str">
        <f t="shared" si="11"/>
        <v/>
      </c>
      <c r="R279" s="1" t="str">
        <f t="shared" si="12"/>
        <v/>
      </c>
      <c r="S279" s="1" t="str">
        <f t="shared" si="13"/>
        <v/>
      </c>
      <c r="T279" s="1" t="str">
        <f t="shared" si="14"/>
        <v/>
      </c>
      <c r="U279" s="1">
        <f t="shared" si="15"/>
        <v>90</v>
      </c>
      <c r="V279" s="3">
        <f t="shared" si="16"/>
        <v>77</v>
      </c>
      <c r="W279" s="3">
        <f t="shared" si="17"/>
        <v>98</v>
      </c>
      <c r="X279" s="3" t="str">
        <f t="shared" si="18"/>
        <v/>
      </c>
      <c r="Y279" s="3" t="str">
        <f t="shared" si="19"/>
        <v/>
      </c>
      <c r="Z279" s="1" t="str">
        <f t="shared" si="20"/>
        <v/>
      </c>
      <c r="AA279" s="3" t="str">
        <f t="shared" si="21"/>
        <v/>
      </c>
    </row>
    <row r="280" spans="1:27">
      <c r="A280" s="1" t="s">
        <v>175</v>
      </c>
      <c r="B280" s="1">
        <v>2015</v>
      </c>
      <c r="C280" s="1">
        <v>27042.001950000002</v>
      </c>
      <c r="D280" s="1">
        <v>34.400001529999997</v>
      </c>
      <c r="E280" s="1">
        <v>51.176175209999997</v>
      </c>
      <c r="F280" s="1">
        <v>10.3714084</v>
      </c>
      <c r="G280" s="1">
        <v>26.513493149999999</v>
      </c>
      <c r="H280" s="1">
        <v>11.938923239999999</v>
      </c>
      <c r="I280" s="1">
        <v>35.97137876</v>
      </c>
      <c r="J280" s="1">
        <v>12.36707992</v>
      </c>
      <c r="K280" s="1">
        <v>34.814873949999999</v>
      </c>
      <c r="L280" s="1">
        <v>16.846667360000001</v>
      </c>
      <c r="M280" s="1">
        <v>80.171365829999999</v>
      </c>
      <c r="N280" s="1">
        <v>6.5657095710000002</v>
      </c>
      <c r="O280" s="1">
        <v>10.68295442</v>
      </c>
      <c r="P280" s="1">
        <v>2.5799701810000002</v>
      </c>
      <c r="Q280" s="2">
        <f t="shared" si="11"/>
        <v>5</v>
      </c>
      <c r="R280" s="1">
        <f t="shared" si="12"/>
        <v>2.4386500840000012</v>
      </c>
      <c r="S280" s="1">
        <f t="shared" si="13"/>
        <v>2.5790615479999999</v>
      </c>
      <c r="T280" s="1">
        <f t="shared" si="14"/>
        <v>1.5627364180000001</v>
      </c>
      <c r="U280" s="1">
        <f t="shared" si="15"/>
        <v>51</v>
      </c>
      <c r="V280" s="3">
        <f t="shared" si="16"/>
        <v>36</v>
      </c>
      <c r="W280" s="3">
        <f t="shared" si="17"/>
        <v>80</v>
      </c>
      <c r="X280" s="3" t="str">
        <f t="shared" si="18"/>
        <v/>
      </c>
      <c r="Y280" s="3" t="str">
        <f t="shared" si="19"/>
        <v/>
      </c>
      <c r="Z280" s="1" t="str">
        <f t="shared" si="20"/>
        <v/>
      </c>
      <c r="AA280" s="3">
        <f t="shared" si="21"/>
        <v>1.0163251299999998</v>
      </c>
    </row>
    <row r="281" spans="1:27">
      <c r="A281" s="1" t="s">
        <v>175</v>
      </c>
      <c r="B281" s="1">
        <v>2020</v>
      </c>
      <c r="C281" s="1">
        <v>31255.435549999998</v>
      </c>
      <c r="D281" s="1">
        <v>37.073997499999997</v>
      </c>
      <c r="E281" s="1">
        <v>63.369425630000002</v>
      </c>
      <c r="F281" s="1">
        <v>9.9757845070000002</v>
      </c>
      <c r="G281" s="1">
        <v>16.726145110000001</v>
      </c>
      <c r="H281" s="1">
        <v>9.9286447590000009</v>
      </c>
      <c r="I281" s="1">
        <v>48.8666865</v>
      </c>
      <c r="J281" s="1">
        <v>12.64088359</v>
      </c>
      <c r="K281" s="1">
        <v>23.686256400000001</v>
      </c>
      <c r="L281" s="1">
        <v>14.80617352</v>
      </c>
      <c r="M281" s="1">
        <v>87.98504792</v>
      </c>
      <c r="N281" s="1">
        <v>5.4522910270000002</v>
      </c>
      <c r="O281" s="1">
        <v>4.9126846439999996</v>
      </c>
      <c r="P281" s="1">
        <v>1.649976404</v>
      </c>
      <c r="Q281" s="2" t="str">
        <f t="shared" si="11"/>
        <v/>
      </c>
      <c r="R281" s="1" t="str">
        <f t="shared" si="12"/>
        <v/>
      </c>
      <c r="S281" s="1" t="str">
        <f t="shared" si="13"/>
        <v/>
      </c>
      <c r="T281" s="1" t="str">
        <f t="shared" si="14"/>
        <v/>
      </c>
      <c r="U281" s="1">
        <f t="shared" si="15"/>
        <v>63</v>
      </c>
      <c r="V281" s="3">
        <f t="shared" si="16"/>
        <v>49</v>
      </c>
      <c r="W281" s="3">
        <f t="shared" si="17"/>
        <v>88</v>
      </c>
      <c r="X281" s="3" t="str">
        <f t="shared" si="18"/>
        <v/>
      </c>
      <c r="Y281" s="3" t="str">
        <f t="shared" si="19"/>
        <v/>
      </c>
      <c r="Z281" s="1" t="str">
        <f t="shared" si="20"/>
        <v/>
      </c>
      <c r="AA281" s="3" t="str">
        <f t="shared" si="21"/>
        <v/>
      </c>
    </row>
    <row r="282" spans="1:27">
      <c r="A282" s="1" t="s">
        <v>176</v>
      </c>
      <c r="B282" s="1">
        <v>2015</v>
      </c>
      <c r="C282" s="1">
        <v>52680.722659999999</v>
      </c>
      <c r="D282" s="1">
        <v>29.857999800000002</v>
      </c>
      <c r="E282" s="1">
        <v>73.587470499999995</v>
      </c>
      <c r="F282" s="1">
        <v>6.8355322689999998</v>
      </c>
      <c r="G282" s="1">
        <v>8.269037119</v>
      </c>
      <c r="H282" s="1">
        <v>11.30796011</v>
      </c>
      <c r="I282" s="1">
        <v>67.249613539999999</v>
      </c>
      <c r="J282" s="1">
        <v>8.0422803540000007</v>
      </c>
      <c r="K282" s="1">
        <v>10.1459869</v>
      </c>
      <c r="L282" s="1">
        <v>14.562119210000001</v>
      </c>
      <c r="M282" s="1">
        <v>88.476276290000001</v>
      </c>
      <c r="N282" s="1">
        <v>4.0006563789999996</v>
      </c>
      <c r="O282" s="1">
        <v>3.859732696</v>
      </c>
      <c r="P282" s="1">
        <v>3.6633346320000002</v>
      </c>
      <c r="Q282" s="2">
        <f t="shared" si="11"/>
        <v>5</v>
      </c>
      <c r="R282" s="1">
        <f t="shared" si="12"/>
        <v>2.0261442820000015</v>
      </c>
      <c r="S282" s="1">
        <f t="shared" si="13"/>
        <v>2.2345902300000007</v>
      </c>
      <c r="T282" s="1">
        <f t="shared" si="14"/>
        <v>1.3903219540000009</v>
      </c>
      <c r="U282" s="1">
        <f t="shared" si="15"/>
        <v>74</v>
      </c>
      <c r="V282" s="3">
        <f t="shared" si="16"/>
        <v>67</v>
      </c>
      <c r="W282" s="3">
        <f t="shared" si="17"/>
        <v>88</v>
      </c>
      <c r="X282" s="3" t="str">
        <f t="shared" si="18"/>
        <v/>
      </c>
      <c r="Y282" s="3" t="str">
        <f t="shared" si="19"/>
        <v/>
      </c>
      <c r="Z282" s="1" t="str">
        <f t="shared" si="20"/>
        <v/>
      </c>
      <c r="AA282" s="3">
        <f t="shared" si="21"/>
        <v>0.84426827599999976</v>
      </c>
    </row>
    <row r="283" spans="1:27">
      <c r="A283" s="1" t="s">
        <v>176</v>
      </c>
      <c r="B283" s="1">
        <v>2020</v>
      </c>
      <c r="C283" s="1">
        <v>54409.792970000002</v>
      </c>
      <c r="D283" s="1">
        <v>31.14100075</v>
      </c>
      <c r="E283" s="1">
        <v>83.718191910000002</v>
      </c>
      <c r="F283" s="1">
        <v>1.595436949</v>
      </c>
      <c r="G283" s="1">
        <v>5.1094247800000003</v>
      </c>
      <c r="H283" s="1">
        <v>9.5769463619999993</v>
      </c>
      <c r="I283" s="1">
        <v>78.422564690000002</v>
      </c>
      <c r="J283" s="1">
        <v>2.3169621419999999</v>
      </c>
      <c r="K283" s="1">
        <v>6.5923936940000001</v>
      </c>
      <c r="L283" s="1">
        <v>12.66807947</v>
      </c>
      <c r="M283" s="1">
        <v>95.427886060000006</v>
      </c>
      <c r="N283" s="1">
        <v>0</v>
      </c>
      <c r="O283" s="1">
        <v>1.8302830059999999</v>
      </c>
      <c r="P283" s="1">
        <v>2.741830931</v>
      </c>
      <c r="Q283" s="2" t="str">
        <f t="shared" si="11"/>
        <v/>
      </c>
      <c r="R283" s="1" t="str">
        <f t="shared" si="12"/>
        <v/>
      </c>
      <c r="S283" s="1" t="str">
        <f t="shared" si="13"/>
        <v/>
      </c>
      <c r="T283" s="1" t="str">
        <f t="shared" si="14"/>
        <v/>
      </c>
      <c r="U283" s="1">
        <f t="shared" si="15"/>
        <v>84</v>
      </c>
      <c r="V283" s="3">
        <f t="shared" si="16"/>
        <v>78</v>
      </c>
      <c r="W283" s="3">
        <f t="shared" si="17"/>
        <v>95</v>
      </c>
      <c r="X283" s="3" t="str">
        <f t="shared" si="18"/>
        <v/>
      </c>
      <c r="Y283" s="3" t="str">
        <f t="shared" si="19"/>
        <v/>
      </c>
      <c r="Z283" s="1" t="str">
        <f t="shared" si="20"/>
        <v/>
      </c>
      <c r="AA283" s="3" t="str">
        <f t="shared" si="21"/>
        <v/>
      </c>
    </row>
    <row r="284" spans="1:27">
      <c r="A284" s="1" t="s">
        <v>177</v>
      </c>
      <c r="B284" s="1">
        <v>2015</v>
      </c>
      <c r="C284" s="1">
        <v>2314.9008789999998</v>
      </c>
      <c r="D284" s="1">
        <v>46.90000534</v>
      </c>
      <c r="E284" s="1">
        <v>82.524135150000006</v>
      </c>
      <c r="F284" s="1">
        <v>7.2754761539999997</v>
      </c>
      <c r="G284" s="1">
        <v>4.4164614110000002</v>
      </c>
      <c r="H284" s="1">
        <v>5.7839272810000004</v>
      </c>
      <c r="I284" s="1">
        <v>70.141031380000001</v>
      </c>
      <c r="J284" s="1">
        <v>11.72007222</v>
      </c>
      <c r="K284" s="1">
        <v>7.6143896370000004</v>
      </c>
      <c r="L284" s="1">
        <v>10.52450676</v>
      </c>
      <c r="M284" s="1">
        <v>96.544235619999995</v>
      </c>
      <c r="N284" s="1">
        <v>2.2433222979999998</v>
      </c>
      <c r="O284" s="1">
        <v>0.79577988889999995</v>
      </c>
      <c r="P284" s="1">
        <v>0.41666219110000002</v>
      </c>
      <c r="Q284" s="2">
        <f t="shared" si="11"/>
        <v>5</v>
      </c>
      <c r="R284" s="1">
        <f t="shared" si="12"/>
        <v>0.34918022599999859</v>
      </c>
      <c r="S284" s="1">
        <f t="shared" si="13"/>
        <v>0.22302721000000075</v>
      </c>
      <c r="T284" s="1">
        <f t="shared" si="14"/>
        <v>-5.5454053999997657E-2</v>
      </c>
      <c r="U284" s="1">
        <f t="shared" si="15"/>
        <v>83</v>
      </c>
      <c r="V284" s="3">
        <f t="shared" si="16"/>
        <v>70</v>
      </c>
      <c r="W284" s="3">
        <f t="shared" si="17"/>
        <v>97</v>
      </c>
      <c r="X284" s="3" t="str">
        <f t="shared" si="18"/>
        <v/>
      </c>
      <c r="Y284" s="3" t="str">
        <f t="shared" si="19"/>
        <v/>
      </c>
      <c r="Z284" s="1" t="str">
        <f t="shared" si="20"/>
        <v/>
      </c>
      <c r="AA284" s="3">
        <f t="shared" si="21"/>
        <v>0.2784812639999984</v>
      </c>
    </row>
    <row r="285" spans="1:27">
      <c r="A285" s="1" t="s">
        <v>177</v>
      </c>
      <c r="B285" s="1">
        <v>2020</v>
      </c>
      <c r="C285" s="1">
        <v>2540.9160160000001</v>
      </c>
      <c r="D285" s="1">
        <v>52.033000950000002</v>
      </c>
      <c r="E285" s="1">
        <v>84.270036279999999</v>
      </c>
      <c r="F285" s="1">
        <v>7.0876275099999999</v>
      </c>
      <c r="G285" s="1">
        <v>3.740143722</v>
      </c>
      <c r="H285" s="1">
        <v>4.9021924849999996</v>
      </c>
      <c r="I285" s="1">
        <v>71.256167430000005</v>
      </c>
      <c r="J285" s="1">
        <v>11.97218925</v>
      </c>
      <c r="K285" s="1">
        <v>7.0818037589999996</v>
      </c>
      <c r="L285" s="1">
        <v>9.6898395629999996</v>
      </c>
      <c r="M285" s="1">
        <v>96.266965350000007</v>
      </c>
      <c r="N285" s="1">
        <v>2.5847589649999998</v>
      </c>
      <c r="O285" s="1">
        <v>0.65961026379999999</v>
      </c>
      <c r="P285" s="1">
        <v>0.4886654211</v>
      </c>
      <c r="Q285" s="2" t="str">
        <f t="shared" si="11"/>
        <v/>
      </c>
      <c r="R285" s="1" t="str">
        <f t="shared" si="12"/>
        <v/>
      </c>
      <c r="S285" s="1" t="str">
        <f t="shared" si="13"/>
        <v/>
      </c>
      <c r="T285" s="1" t="str">
        <f t="shared" si="14"/>
        <v/>
      </c>
      <c r="U285" s="1">
        <f t="shared" si="15"/>
        <v>84</v>
      </c>
      <c r="V285" s="3">
        <f t="shared" si="16"/>
        <v>71</v>
      </c>
      <c r="W285" s="3">
        <f t="shared" si="17"/>
        <v>96</v>
      </c>
      <c r="X285" s="3" t="str">
        <f t="shared" si="18"/>
        <v/>
      </c>
      <c r="Y285" s="3" t="str">
        <f t="shared" si="19"/>
        <v/>
      </c>
      <c r="Z285" s="1" t="str">
        <f t="shared" si="20"/>
        <v/>
      </c>
      <c r="AA285" s="3" t="str">
        <f t="shared" si="21"/>
        <v/>
      </c>
    </row>
    <row r="286" spans="1:27">
      <c r="A286" s="1" t="s">
        <v>178</v>
      </c>
      <c r="B286" s="1">
        <v>2015</v>
      </c>
      <c r="C286" s="1">
        <v>10.373999599999999</v>
      </c>
      <c r="D286" s="1">
        <v>100</v>
      </c>
      <c r="E286" s="1">
        <v>100</v>
      </c>
      <c r="F286" s="1">
        <v>0</v>
      </c>
      <c r="G286" s="1">
        <v>0</v>
      </c>
      <c r="H286" s="1">
        <v>0</v>
      </c>
      <c r="I286" s="1" t="s">
        <v>272</v>
      </c>
      <c r="J286" s="1" t="s">
        <v>272</v>
      </c>
      <c r="K286" s="1" t="s">
        <v>272</v>
      </c>
      <c r="L286" s="1" t="s">
        <v>272</v>
      </c>
      <c r="M286" s="1">
        <v>100</v>
      </c>
      <c r="N286" s="1">
        <v>0</v>
      </c>
      <c r="O286" s="1">
        <v>0</v>
      </c>
      <c r="P286" s="1">
        <v>0</v>
      </c>
      <c r="Q286" s="2">
        <f t="shared" si="11"/>
        <v>5</v>
      </c>
      <c r="R286" s="1">
        <f t="shared" si="12"/>
        <v>0</v>
      </c>
      <c r="S286" s="1" t="str">
        <f t="shared" si="13"/>
        <v>null</v>
      </c>
      <c r="T286" s="1">
        <f t="shared" si="14"/>
        <v>0</v>
      </c>
      <c r="U286" s="1">
        <f t="shared" si="15"/>
        <v>100</v>
      </c>
      <c r="V286" s="3" t="str">
        <f t="shared" si="16"/>
        <v>null</v>
      </c>
      <c r="W286" s="3">
        <f t="shared" si="17"/>
        <v>100</v>
      </c>
      <c r="X286" s="3" t="str">
        <f t="shared" si="18"/>
        <v>fullaccesss</v>
      </c>
      <c r="Y286" s="3" t="str">
        <f t="shared" si="19"/>
        <v/>
      </c>
      <c r="Z286" s="1" t="str">
        <f t="shared" si="20"/>
        <v>fullaccesss</v>
      </c>
      <c r="AA286" s="3" t="str">
        <f t="shared" si="21"/>
        <v>null</v>
      </c>
    </row>
    <row r="287" spans="1:27">
      <c r="A287" s="1" t="s">
        <v>178</v>
      </c>
      <c r="B287" s="1">
        <v>2020</v>
      </c>
      <c r="C287" s="1">
        <v>10.833999629999999</v>
      </c>
      <c r="D287" s="1">
        <v>100</v>
      </c>
      <c r="E287" s="1">
        <v>100</v>
      </c>
      <c r="F287" s="1">
        <v>0</v>
      </c>
      <c r="G287" s="1">
        <v>0</v>
      </c>
      <c r="H287" s="1">
        <v>0</v>
      </c>
      <c r="I287" s="1" t="s">
        <v>272</v>
      </c>
      <c r="J287" s="1" t="s">
        <v>272</v>
      </c>
      <c r="K287" s="1" t="s">
        <v>272</v>
      </c>
      <c r="L287" s="1" t="s">
        <v>272</v>
      </c>
      <c r="M287" s="1">
        <v>100</v>
      </c>
      <c r="N287" s="1">
        <v>0</v>
      </c>
      <c r="O287" s="1">
        <v>0</v>
      </c>
      <c r="P287" s="1">
        <v>0</v>
      </c>
      <c r="Q287" s="2" t="str">
        <f t="shared" si="11"/>
        <v/>
      </c>
      <c r="R287" s="1" t="str">
        <f t="shared" si="12"/>
        <v/>
      </c>
      <c r="S287" s="1" t="str">
        <f t="shared" si="13"/>
        <v/>
      </c>
      <c r="T287" s="1" t="str">
        <f t="shared" si="14"/>
        <v/>
      </c>
      <c r="U287" s="1">
        <f t="shared" si="15"/>
        <v>100</v>
      </c>
      <c r="V287" s="3" t="str">
        <f t="shared" si="16"/>
        <v>null</v>
      </c>
      <c r="W287" s="3">
        <f t="shared" si="17"/>
        <v>100</v>
      </c>
      <c r="X287" s="3" t="str">
        <f t="shared" si="18"/>
        <v/>
      </c>
      <c r="Y287" s="3" t="str">
        <f t="shared" si="19"/>
        <v/>
      </c>
      <c r="Z287" s="1" t="str">
        <f t="shared" si="20"/>
        <v/>
      </c>
      <c r="AA287" s="3" t="str">
        <f t="shared" si="21"/>
        <v/>
      </c>
    </row>
    <row r="288" spans="1:27">
      <c r="A288" s="1" t="s">
        <v>179</v>
      </c>
      <c r="B288" s="1">
        <v>2015</v>
      </c>
      <c r="C288" s="1">
        <v>27015.033200000002</v>
      </c>
      <c r="D288" s="1">
        <v>18.556999210000001</v>
      </c>
      <c r="E288" s="1">
        <v>87.808467590000006</v>
      </c>
      <c r="F288" s="1">
        <v>3.1679044589999998</v>
      </c>
      <c r="G288" s="1">
        <v>7.2642085280000002</v>
      </c>
      <c r="H288" s="1">
        <v>1.759419423</v>
      </c>
      <c r="I288" s="1">
        <v>87.241979639999997</v>
      </c>
      <c r="J288" s="1">
        <v>3.3102712580000002</v>
      </c>
      <c r="K288" s="1">
        <v>7.5313174839999997</v>
      </c>
      <c r="L288" s="1">
        <v>1.9164316180000001</v>
      </c>
      <c r="M288" s="1">
        <v>90.294671100000002</v>
      </c>
      <c r="N288" s="1">
        <v>2.5430847519999999</v>
      </c>
      <c r="O288" s="1">
        <v>6.091920182</v>
      </c>
      <c r="P288" s="1">
        <v>1.07032397</v>
      </c>
      <c r="Q288" s="2">
        <f t="shared" si="11"/>
        <v>5</v>
      </c>
      <c r="R288" s="1">
        <f t="shared" si="12"/>
        <v>0.45321483999999829</v>
      </c>
      <c r="S288" s="1">
        <f t="shared" si="13"/>
        <v>0.59225840200000168</v>
      </c>
      <c r="T288" s="1">
        <f t="shared" si="14"/>
        <v>-0.14340758799999948</v>
      </c>
      <c r="U288" s="1">
        <f t="shared" si="15"/>
        <v>88</v>
      </c>
      <c r="V288" s="3">
        <f t="shared" si="16"/>
        <v>87</v>
      </c>
      <c r="W288" s="3">
        <f t="shared" si="17"/>
        <v>90</v>
      </c>
      <c r="X288" s="3" t="str">
        <f t="shared" si="18"/>
        <v/>
      </c>
      <c r="Y288" s="3" t="str">
        <f t="shared" si="19"/>
        <v/>
      </c>
      <c r="Z288" s="1" t="str">
        <f t="shared" si="20"/>
        <v/>
      </c>
      <c r="AA288" s="3">
        <f t="shared" si="21"/>
        <v>0.7356659900000011</v>
      </c>
    </row>
    <row r="289" spans="1:27">
      <c r="A289" s="1" t="s">
        <v>179</v>
      </c>
      <c r="B289" s="1">
        <v>2020</v>
      </c>
      <c r="C289" s="1">
        <v>29136.808590000001</v>
      </c>
      <c r="D289" s="1">
        <v>20.57600021</v>
      </c>
      <c r="E289" s="1">
        <v>90.074541789999998</v>
      </c>
      <c r="F289" s="1">
        <v>3.979825725</v>
      </c>
      <c r="G289" s="1">
        <v>4.699081176</v>
      </c>
      <c r="H289" s="1">
        <v>1.246551314</v>
      </c>
      <c r="I289" s="1">
        <v>90.203271650000005</v>
      </c>
      <c r="J289" s="1">
        <v>4.2073482459999996</v>
      </c>
      <c r="K289" s="1">
        <v>4.2690239510000003</v>
      </c>
      <c r="L289" s="1">
        <v>1.320356149</v>
      </c>
      <c r="M289" s="1">
        <v>89.577633160000005</v>
      </c>
      <c r="N289" s="1">
        <v>3.1015814110000002</v>
      </c>
      <c r="O289" s="1">
        <v>6.359123168</v>
      </c>
      <c r="P289" s="1">
        <v>0.96166225849999998</v>
      </c>
      <c r="Q289" s="2" t="str">
        <f t="shared" si="11"/>
        <v/>
      </c>
      <c r="R289" s="1" t="str">
        <f t="shared" si="12"/>
        <v/>
      </c>
      <c r="S289" s="1" t="str">
        <f t="shared" si="13"/>
        <v/>
      </c>
      <c r="T289" s="1" t="str">
        <f t="shared" si="14"/>
        <v/>
      </c>
      <c r="U289" s="1">
        <f t="shared" si="15"/>
        <v>90</v>
      </c>
      <c r="V289" s="3">
        <f t="shared" si="16"/>
        <v>90</v>
      </c>
      <c r="W289" s="3">
        <f t="shared" si="17"/>
        <v>90</v>
      </c>
      <c r="X289" s="3" t="str">
        <f t="shared" si="18"/>
        <v/>
      </c>
      <c r="Y289" s="3" t="str">
        <f t="shared" si="19"/>
        <v/>
      </c>
      <c r="Z289" s="1" t="str">
        <f t="shared" si="20"/>
        <v/>
      </c>
      <c r="AA289" s="3" t="str">
        <f t="shared" si="21"/>
        <v/>
      </c>
    </row>
    <row r="290" spans="1:27">
      <c r="A290" s="1" t="s">
        <v>180</v>
      </c>
      <c r="B290" s="1">
        <v>2015</v>
      </c>
      <c r="C290" s="1">
        <v>16938.492190000001</v>
      </c>
      <c r="D290" s="1">
        <v>90.172996519999998</v>
      </c>
      <c r="E290" s="1">
        <v>99.999998559999995</v>
      </c>
      <c r="F290" s="1">
        <v>0</v>
      </c>
      <c r="G290" s="1">
        <v>1.441336238E-6</v>
      </c>
      <c r="H290" s="1">
        <v>0</v>
      </c>
      <c r="I290" s="1">
        <v>100</v>
      </c>
      <c r="J290" s="1">
        <v>0</v>
      </c>
      <c r="K290" s="1">
        <v>0</v>
      </c>
      <c r="L290" s="1">
        <v>0</v>
      </c>
      <c r="M290" s="1">
        <v>100</v>
      </c>
      <c r="N290" s="1">
        <v>0</v>
      </c>
      <c r="O290" s="1">
        <v>0</v>
      </c>
      <c r="P290" s="1">
        <v>0</v>
      </c>
      <c r="Q290" s="2">
        <f t="shared" si="11"/>
        <v>5</v>
      </c>
      <c r="R290" s="1">
        <f t="shared" si="12"/>
        <v>1.4600000213249588E-7</v>
      </c>
      <c r="S290" s="1">
        <f t="shared" si="13"/>
        <v>0</v>
      </c>
      <c r="T290" s="1">
        <f t="shared" si="14"/>
        <v>0</v>
      </c>
      <c r="U290" s="1">
        <f t="shared" si="15"/>
        <v>100</v>
      </c>
      <c r="V290" s="3">
        <f t="shared" si="16"/>
        <v>100</v>
      </c>
      <c r="W290" s="3">
        <f t="shared" si="17"/>
        <v>100</v>
      </c>
      <c r="X290" s="3" t="str">
        <f t="shared" si="18"/>
        <v>fullaccesss</v>
      </c>
      <c r="Y290" s="3" t="str">
        <f t="shared" si="19"/>
        <v>fullaccesss</v>
      </c>
      <c r="Z290" s="1" t="str">
        <f t="shared" si="20"/>
        <v>fullaccesss</v>
      </c>
      <c r="AA290" s="3">
        <f t="shared" si="21"/>
        <v>0</v>
      </c>
    </row>
    <row r="291" spans="1:27">
      <c r="A291" s="1" t="s">
        <v>180</v>
      </c>
      <c r="B291" s="1">
        <v>2020</v>
      </c>
      <c r="C291" s="1">
        <v>17134.873049999998</v>
      </c>
      <c r="D291" s="1">
        <v>92.236000059999995</v>
      </c>
      <c r="E291" s="1">
        <v>99.999999290000005</v>
      </c>
      <c r="F291" s="1">
        <v>0</v>
      </c>
      <c r="G291" s="1">
        <v>7.1240862099999999E-7</v>
      </c>
      <c r="H291" s="1">
        <v>0</v>
      </c>
      <c r="I291" s="1">
        <v>100</v>
      </c>
      <c r="J291" s="1">
        <v>0</v>
      </c>
      <c r="K291" s="1">
        <v>0</v>
      </c>
      <c r="L291" s="1">
        <v>0</v>
      </c>
      <c r="M291" s="1">
        <v>100</v>
      </c>
      <c r="N291" s="1">
        <v>0</v>
      </c>
      <c r="O291" s="1">
        <v>0</v>
      </c>
      <c r="P291" s="1">
        <v>0</v>
      </c>
      <c r="Q291" s="2" t="str">
        <f t="shared" si="11"/>
        <v/>
      </c>
      <c r="R291" s="1" t="str">
        <f t="shared" si="12"/>
        <v/>
      </c>
      <c r="S291" s="1" t="str">
        <f t="shared" si="13"/>
        <v/>
      </c>
      <c r="T291" s="1" t="str">
        <f t="shared" si="14"/>
        <v/>
      </c>
      <c r="U291" s="1">
        <f t="shared" si="15"/>
        <v>100</v>
      </c>
      <c r="V291" s="3">
        <f t="shared" si="16"/>
        <v>100</v>
      </c>
      <c r="W291" s="3">
        <f t="shared" si="17"/>
        <v>100</v>
      </c>
      <c r="X291" s="3" t="str">
        <f t="shared" si="18"/>
        <v/>
      </c>
      <c r="Y291" s="3" t="str">
        <f t="shared" si="19"/>
        <v/>
      </c>
      <c r="Z291" s="1" t="str">
        <f t="shared" si="20"/>
        <v/>
      </c>
      <c r="AA291" s="3" t="str">
        <f t="shared" si="21"/>
        <v/>
      </c>
    </row>
    <row r="292" spans="1:27">
      <c r="A292" s="1" t="s">
        <v>181</v>
      </c>
      <c r="B292" s="1">
        <v>2015</v>
      </c>
      <c r="C292" s="1">
        <v>271.06201170000003</v>
      </c>
      <c r="D292" s="1">
        <v>69.379005430000007</v>
      </c>
      <c r="E292" s="1">
        <v>98.138558489999994</v>
      </c>
      <c r="F292" s="1">
        <v>0</v>
      </c>
      <c r="G292" s="1">
        <v>1.861441508</v>
      </c>
      <c r="H292" s="1">
        <v>0</v>
      </c>
      <c r="I292" s="1" t="s">
        <v>272</v>
      </c>
      <c r="J292" s="1" t="s">
        <v>272</v>
      </c>
      <c r="K292" s="1" t="s">
        <v>272</v>
      </c>
      <c r="L292" s="1" t="s">
        <v>272</v>
      </c>
      <c r="M292" s="1" t="s">
        <v>272</v>
      </c>
      <c r="N292" s="1" t="s">
        <v>272</v>
      </c>
      <c r="O292" s="1" t="s">
        <v>272</v>
      </c>
      <c r="P292" s="1" t="s">
        <v>272</v>
      </c>
      <c r="Q292" s="2">
        <f t="shared" si="11"/>
        <v>5</v>
      </c>
      <c r="R292" s="1">
        <f t="shared" si="12"/>
        <v>0.23335241600000245</v>
      </c>
      <c r="S292" s="1" t="str">
        <f t="shared" si="13"/>
        <v>null</v>
      </c>
      <c r="T292" s="1" t="str">
        <f t="shared" si="14"/>
        <v>null</v>
      </c>
      <c r="U292" s="1">
        <f t="shared" si="15"/>
        <v>98</v>
      </c>
      <c r="V292" s="3" t="str">
        <f t="shared" si="16"/>
        <v>null</v>
      </c>
      <c r="W292" s="3" t="str">
        <f t="shared" si="17"/>
        <v>null</v>
      </c>
      <c r="X292" s="3" t="str">
        <f t="shared" si="18"/>
        <v/>
      </c>
      <c r="Y292" s="3" t="str">
        <f t="shared" si="19"/>
        <v/>
      </c>
      <c r="Z292" s="1" t="str">
        <f t="shared" si="20"/>
        <v/>
      </c>
      <c r="AA292" s="3" t="str">
        <f t="shared" si="21"/>
        <v>null</v>
      </c>
    </row>
    <row r="293" spans="1:27">
      <c r="A293" s="1" t="s">
        <v>181</v>
      </c>
      <c r="B293" s="1">
        <v>2020</v>
      </c>
      <c r="C293" s="1">
        <v>285.4909973</v>
      </c>
      <c r="D293" s="1">
        <v>71.517997739999998</v>
      </c>
      <c r="E293" s="1">
        <v>99.305320570000006</v>
      </c>
      <c r="F293" s="1">
        <v>0</v>
      </c>
      <c r="G293" s="1">
        <v>0.69467942780000003</v>
      </c>
      <c r="H293" s="1">
        <v>0</v>
      </c>
      <c r="I293" s="1" t="s">
        <v>272</v>
      </c>
      <c r="J293" s="1" t="s">
        <v>272</v>
      </c>
      <c r="K293" s="1" t="s">
        <v>272</v>
      </c>
      <c r="L293" s="1" t="s">
        <v>272</v>
      </c>
      <c r="M293" s="1" t="s">
        <v>272</v>
      </c>
      <c r="N293" s="1" t="s">
        <v>272</v>
      </c>
      <c r="O293" s="1" t="s">
        <v>272</v>
      </c>
      <c r="P293" s="1" t="s">
        <v>272</v>
      </c>
      <c r="Q293" s="2" t="str">
        <f t="shared" si="11"/>
        <v/>
      </c>
      <c r="R293" s="1" t="str">
        <f t="shared" si="12"/>
        <v/>
      </c>
      <c r="S293" s="1" t="str">
        <f t="shared" si="13"/>
        <v/>
      </c>
      <c r="T293" s="1" t="str">
        <f t="shared" si="14"/>
        <v/>
      </c>
      <c r="U293" s="1">
        <f t="shared" si="15"/>
        <v>99</v>
      </c>
      <c r="V293" s="3" t="str">
        <f t="shared" si="16"/>
        <v>null</v>
      </c>
      <c r="W293" s="3" t="str">
        <f t="shared" si="17"/>
        <v>null</v>
      </c>
      <c r="X293" s="3" t="str">
        <f t="shared" si="18"/>
        <v/>
      </c>
      <c r="Y293" s="3" t="str">
        <f t="shared" si="19"/>
        <v/>
      </c>
      <c r="Z293" s="1" t="str">
        <f t="shared" si="20"/>
        <v/>
      </c>
      <c r="AA293" s="3" t="str">
        <f t="shared" si="21"/>
        <v/>
      </c>
    </row>
    <row r="294" spans="1:27">
      <c r="A294" s="1" t="s">
        <v>182</v>
      </c>
      <c r="B294" s="1">
        <v>2015</v>
      </c>
      <c r="C294" s="1">
        <v>4614.5268550000001</v>
      </c>
      <c r="D294" s="1">
        <v>86.340995789999994</v>
      </c>
      <c r="E294" s="1">
        <v>99.999997350000001</v>
      </c>
      <c r="F294" s="1">
        <v>0</v>
      </c>
      <c r="G294" s="1">
        <v>2.6453484029999998E-6</v>
      </c>
      <c r="H294" s="1">
        <v>0</v>
      </c>
      <c r="I294" s="1">
        <v>100</v>
      </c>
      <c r="J294" s="1">
        <v>0</v>
      </c>
      <c r="K294" s="1">
        <v>0</v>
      </c>
      <c r="L294" s="1">
        <v>0</v>
      </c>
      <c r="M294" s="1">
        <v>100</v>
      </c>
      <c r="N294" s="1">
        <v>0</v>
      </c>
      <c r="O294" s="1">
        <v>0</v>
      </c>
      <c r="P294" s="1">
        <v>0</v>
      </c>
      <c r="Q294" s="2">
        <f t="shared" si="11"/>
        <v>5</v>
      </c>
      <c r="R294" s="1">
        <f t="shared" si="12"/>
        <v>7.8999999857387589E-7</v>
      </c>
      <c r="S294" s="1">
        <f t="shared" si="13"/>
        <v>0</v>
      </c>
      <c r="T294" s="1">
        <f t="shared" si="14"/>
        <v>0</v>
      </c>
      <c r="U294" s="1">
        <f t="shared" si="15"/>
        <v>100</v>
      </c>
      <c r="V294" s="3">
        <f t="shared" si="16"/>
        <v>100</v>
      </c>
      <c r="W294" s="3">
        <f t="shared" si="17"/>
        <v>100</v>
      </c>
      <c r="X294" s="3" t="str">
        <f t="shared" si="18"/>
        <v>fullaccesss</v>
      </c>
      <c r="Y294" s="3" t="str">
        <f t="shared" si="19"/>
        <v>fullaccesss</v>
      </c>
      <c r="Z294" s="1" t="str">
        <f t="shared" si="20"/>
        <v>fullaccesss</v>
      </c>
      <c r="AA294" s="3">
        <f t="shared" si="21"/>
        <v>0</v>
      </c>
    </row>
    <row r="295" spans="1:27">
      <c r="A295" s="1" t="s">
        <v>182</v>
      </c>
      <c r="B295" s="1">
        <v>2020</v>
      </c>
      <c r="C295" s="1">
        <v>4822.2329099999997</v>
      </c>
      <c r="D295" s="1">
        <v>86.698997500000004</v>
      </c>
      <c r="E295" s="1">
        <v>100.00000129999999</v>
      </c>
      <c r="F295" s="1">
        <v>0</v>
      </c>
      <c r="G295" s="1">
        <v>0</v>
      </c>
      <c r="H295" s="1">
        <v>0</v>
      </c>
      <c r="I295" s="1">
        <v>100</v>
      </c>
      <c r="J295" s="1">
        <v>0</v>
      </c>
      <c r="K295" s="1">
        <v>0</v>
      </c>
      <c r="L295" s="1">
        <v>0</v>
      </c>
      <c r="M295" s="1">
        <v>100</v>
      </c>
      <c r="N295" s="1">
        <v>0</v>
      </c>
      <c r="O295" s="1">
        <v>0</v>
      </c>
      <c r="P295" s="1">
        <v>0</v>
      </c>
      <c r="Q295" s="2" t="str">
        <f t="shared" si="11"/>
        <v/>
      </c>
      <c r="R295" s="1" t="str">
        <f t="shared" si="12"/>
        <v/>
      </c>
      <c r="S295" s="1" t="str">
        <f t="shared" si="13"/>
        <v/>
      </c>
      <c r="T295" s="1" t="str">
        <f t="shared" si="14"/>
        <v/>
      </c>
      <c r="U295" s="1">
        <f t="shared" si="15"/>
        <v>100</v>
      </c>
      <c r="V295" s="3">
        <f t="shared" si="16"/>
        <v>100</v>
      </c>
      <c r="W295" s="3">
        <f t="shared" si="17"/>
        <v>100</v>
      </c>
      <c r="X295" s="3" t="str">
        <f t="shared" si="18"/>
        <v/>
      </c>
      <c r="Y295" s="3" t="str">
        <f t="shared" si="19"/>
        <v/>
      </c>
      <c r="Z295" s="1" t="str">
        <f t="shared" si="20"/>
        <v/>
      </c>
      <c r="AA295" s="3" t="str">
        <f t="shared" si="21"/>
        <v/>
      </c>
    </row>
    <row r="296" spans="1:27">
      <c r="A296" s="1" t="s">
        <v>183</v>
      </c>
      <c r="B296" s="1">
        <v>2015</v>
      </c>
      <c r="C296" s="1">
        <v>6223.2338870000003</v>
      </c>
      <c r="D296" s="1">
        <v>57.894996640000002</v>
      </c>
      <c r="E296" s="1">
        <v>81.35312854</v>
      </c>
      <c r="F296" s="1">
        <v>1.4259273880000001</v>
      </c>
      <c r="G296" s="1">
        <v>13.835758999999999</v>
      </c>
      <c r="H296" s="1">
        <v>3.3851850699999999</v>
      </c>
      <c r="I296" s="1">
        <v>59.50465784</v>
      </c>
      <c r="J296" s="1">
        <v>3.2389618649999998</v>
      </c>
      <c r="K296" s="1">
        <v>29.55960602</v>
      </c>
      <c r="L296" s="1">
        <v>7.6967742709999998</v>
      </c>
      <c r="M296" s="1">
        <v>97.242754880000007</v>
      </c>
      <c r="N296" s="1">
        <v>0.1073710103</v>
      </c>
      <c r="O296" s="1">
        <v>2.4003566219999999</v>
      </c>
      <c r="P296" s="1">
        <v>0.24951748460000001</v>
      </c>
      <c r="Q296" s="2">
        <f t="shared" si="11"/>
        <v>5</v>
      </c>
      <c r="R296" s="1">
        <f t="shared" si="12"/>
        <v>7.11250519999993E-2</v>
      </c>
      <c r="S296" s="1">
        <f t="shared" si="13"/>
        <v>-7.9442242000000357E-2</v>
      </c>
      <c r="T296" s="1">
        <f t="shared" si="14"/>
        <v>3.2840345999997564E-2</v>
      </c>
      <c r="U296" s="1">
        <f t="shared" si="15"/>
        <v>81</v>
      </c>
      <c r="V296" s="3">
        <f t="shared" si="16"/>
        <v>60</v>
      </c>
      <c r="W296" s="3">
        <f t="shared" si="17"/>
        <v>97</v>
      </c>
      <c r="X296" s="3" t="str">
        <f t="shared" si="18"/>
        <v/>
      </c>
      <c r="Y296" s="3" t="str">
        <f t="shared" si="19"/>
        <v/>
      </c>
      <c r="Z296" s="1" t="str">
        <f t="shared" si="20"/>
        <v/>
      </c>
      <c r="AA296" s="3">
        <f t="shared" si="21"/>
        <v>-0.11228258799999792</v>
      </c>
    </row>
    <row r="297" spans="1:27">
      <c r="A297" s="1" t="s">
        <v>183</v>
      </c>
      <c r="B297" s="1">
        <v>2020</v>
      </c>
      <c r="C297" s="1">
        <v>6624.5541990000002</v>
      </c>
      <c r="D297" s="1">
        <v>59.012001040000001</v>
      </c>
      <c r="E297" s="1">
        <v>81.708753799999997</v>
      </c>
      <c r="F297" s="1">
        <v>1.506645682</v>
      </c>
      <c r="G297" s="1">
        <v>13.530531140000001</v>
      </c>
      <c r="H297" s="1">
        <v>3.2540693780000001</v>
      </c>
      <c r="I297" s="1">
        <v>59.107446629999998</v>
      </c>
      <c r="J297" s="1">
        <v>3.5209742849999999</v>
      </c>
      <c r="K297" s="1">
        <v>29.780173680000001</v>
      </c>
      <c r="L297" s="1">
        <v>7.5914054000000002</v>
      </c>
      <c r="M297" s="1">
        <v>97.406956609999995</v>
      </c>
      <c r="N297" s="1">
        <v>0.10755231429999999</v>
      </c>
      <c r="O297" s="1">
        <v>2.244007656</v>
      </c>
      <c r="P297" s="1">
        <v>0.24148342289999999</v>
      </c>
      <c r="Q297" s="2" t="str">
        <f t="shared" si="11"/>
        <v/>
      </c>
      <c r="R297" s="1" t="str">
        <f t="shared" si="12"/>
        <v/>
      </c>
      <c r="S297" s="1" t="str">
        <f t="shared" si="13"/>
        <v/>
      </c>
      <c r="T297" s="1" t="str">
        <f t="shared" si="14"/>
        <v/>
      </c>
      <c r="U297" s="1">
        <f t="shared" si="15"/>
        <v>82</v>
      </c>
      <c r="V297" s="3">
        <f t="shared" si="16"/>
        <v>59</v>
      </c>
      <c r="W297" s="3">
        <f t="shared" si="17"/>
        <v>97</v>
      </c>
      <c r="X297" s="3" t="str">
        <f t="shared" si="18"/>
        <v/>
      </c>
      <c r="Y297" s="3" t="str">
        <f t="shared" si="19"/>
        <v/>
      </c>
      <c r="Z297" s="1" t="str">
        <f t="shared" si="20"/>
        <v/>
      </c>
      <c r="AA297" s="3" t="str">
        <f t="shared" si="21"/>
        <v/>
      </c>
    </row>
    <row r="298" spans="1:27">
      <c r="A298" s="1" t="s">
        <v>184</v>
      </c>
      <c r="B298" s="1">
        <v>2015</v>
      </c>
      <c r="C298" s="1">
        <v>20001.662110000001</v>
      </c>
      <c r="D298" s="1">
        <v>16.24699974</v>
      </c>
      <c r="E298" s="1">
        <v>45.482458059999999</v>
      </c>
      <c r="F298" s="1">
        <v>16.128836960000001</v>
      </c>
      <c r="G298" s="1">
        <v>34.719560010000002</v>
      </c>
      <c r="H298" s="1">
        <v>3.6691449719999998</v>
      </c>
      <c r="I298" s="1">
        <v>37.329941650000002</v>
      </c>
      <c r="J298" s="1">
        <v>17.64359486</v>
      </c>
      <c r="K298" s="1">
        <v>40.888487750000003</v>
      </c>
      <c r="L298" s="1">
        <v>4.1379757509999999</v>
      </c>
      <c r="M298" s="1">
        <v>87.508539040000002</v>
      </c>
      <c r="N298" s="1">
        <v>8.3202861959999996</v>
      </c>
      <c r="O298" s="1">
        <v>2.918844344</v>
      </c>
      <c r="P298" s="1">
        <v>1.252330425</v>
      </c>
      <c r="Q298" s="2">
        <f t="shared" si="11"/>
        <v>5</v>
      </c>
      <c r="R298" s="1">
        <f t="shared" si="12"/>
        <v>0.28586788200000085</v>
      </c>
      <c r="S298" s="1">
        <f t="shared" si="13"/>
        <v>0.36484353399999919</v>
      </c>
      <c r="T298" s="1">
        <f t="shared" si="14"/>
        <v>-0.33893985600000176</v>
      </c>
      <c r="U298" s="1">
        <f t="shared" si="15"/>
        <v>45</v>
      </c>
      <c r="V298" s="3">
        <f t="shared" si="16"/>
        <v>37</v>
      </c>
      <c r="W298" s="3">
        <f t="shared" si="17"/>
        <v>88</v>
      </c>
      <c r="X298" s="3" t="str">
        <f t="shared" si="18"/>
        <v/>
      </c>
      <c r="Y298" s="3" t="str">
        <f t="shared" si="19"/>
        <v/>
      </c>
      <c r="Z298" s="1" t="str">
        <f t="shared" si="20"/>
        <v/>
      </c>
      <c r="AA298" s="3">
        <f t="shared" si="21"/>
        <v>0.70378339000000101</v>
      </c>
    </row>
    <row r="299" spans="1:27">
      <c r="A299" s="1" t="s">
        <v>184</v>
      </c>
      <c r="B299" s="1">
        <v>2020</v>
      </c>
      <c r="C299" s="1">
        <v>24206.636719999999</v>
      </c>
      <c r="D299" s="1">
        <v>16.625999449999998</v>
      </c>
      <c r="E299" s="1">
        <v>46.911797470000003</v>
      </c>
      <c r="F299" s="1">
        <v>21.653898699999999</v>
      </c>
      <c r="G299" s="1">
        <v>27.027512439999999</v>
      </c>
      <c r="H299" s="1">
        <v>4.4067913919999997</v>
      </c>
      <c r="I299" s="1">
        <v>39.154159319999998</v>
      </c>
      <c r="J299" s="1">
        <v>23.987740389999999</v>
      </c>
      <c r="K299" s="1">
        <v>31.991506480000002</v>
      </c>
      <c r="L299" s="1">
        <v>4.8665938129999997</v>
      </c>
      <c r="M299" s="1">
        <v>85.813839759999993</v>
      </c>
      <c r="N299" s="1">
        <v>9.9504408289999997</v>
      </c>
      <c r="O299" s="1">
        <v>2.1346877800000001</v>
      </c>
      <c r="P299" s="1">
        <v>2.1010316339999999</v>
      </c>
      <c r="Q299" s="2" t="str">
        <f t="shared" si="11"/>
        <v/>
      </c>
      <c r="R299" s="1" t="str">
        <f t="shared" si="12"/>
        <v/>
      </c>
      <c r="S299" s="1" t="str">
        <f t="shared" si="13"/>
        <v/>
      </c>
      <c r="T299" s="1" t="str">
        <f t="shared" si="14"/>
        <v/>
      </c>
      <c r="U299" s="1">
        <f t="shared" si="15"/>
        <v>47</v>
      </c>
      <c r="V299" s="3">
        <f t="shared" si="16"/>
        <v>39</v>
      </c>
      <c r="W299" s="3">
        <f t="shared" si="17"/>
        <v>86</v>
      </c>
      <c r="X299" s="3" t="str">
        <f t="shared" si="18"/>
        <v/>
      </c>
      <c r="Y299" s="3" t="str">
        <f t="shared" si="19"/>
        <v/>
      </c>
      <c r="Z299" s="1" t="str">
        <f t="shared" si="20"/>
        <v/>
      </c>
      <c r="AA299" s="3" t="str">
        <f t="shared" si="21"/>
        <v/>
      </c>
    </row>
    <row r="300" spans="1:27">
      <c r="A300" s="1" t="s">
        <v>185</v>
      </c>
      <c r="B300" s="1">
        <v>2015</v>
      </c>
      <c r="C300" s="1">
        <v>181137.45310000001</v>
      </c>
      <c r="D300" s="1">
        <v>47.837997440000002</v>
      </c>
      <c r="E300" s="1">
        <v>68.779755460000004</v>
      </c>
      <c r="F300" s="1">
        <v>6.7135509960000004</v>
      </c>
      <c r="G300" s="1">
        <v>14.733762459999999</v>
      </c>
      <c r="H300" s="1">
        <v>9.7729310859999998</v>
      </c>
      <c r="I300" s="1">
        <v>53.492449000000001</v>
      </c>
      <c r="J300" s="1">
        <v>7.1064402710000003</v>
      </c>
      <c r="K300" s="1">
        <v>23.107160100000002</v>
      </c>
      <c r="L300" s="1">
        <v>16.29395062</v>
      </c>
      <c r="M300" s="1">
        <v>85.448858319999999</v>
      </c>
      <c r="N300" s="1">
        <v>6.2851490559999998</v>
      </c>
      <c r="O300" s="1">
        <v>5.6035061180000003</v>
      </c>
      <c r="P300" s="1">
        <v>2.6624865010000001</v>
      </c>
      <c r="Q300" s="2">
        <f t="shared" si="11"/>
        <v>5</v>
      </c>
      <c r="R300" s="1">
        <f t="shared" si="12"/>
        <v>1.7658595840000004</v>
      </c>
      <c r="S300" s="1">
        <f t="shared" si="13"/>
        <v>1.6331522059999997</v>
      </c>
      <c r="T300" s="1">
        <f t="shared" si="14"/>
        <v>1.381769374000001</v>
      </c>
      <c r="U300" s="1">
        <f t="shared" si="15"/>
        <v>69</v>
      </c>
      <c r="V300" s="3">
        <f t="shared" si="16"/>
        <v>53</v>
      </c>
      <c r="W300" s="3">
        <f t="shared" si="17"/>
        <v>85</v>
      </c>
      <c r="X300" s="3" t="str">
        <f t="shared" si="18"/>
        <v/>
      </c>
      <c r="Y300" s="3" t="str">
        <f t="shared" si="19"/>
        <v/>
      </c>
      <c r="Z300" s="1" t="str">
        <f t="shared" si="20"/>
        <v/>
      </c>
      <c r="AA300" s="3">
        <f t="shared" si="21"/>
        <v>0.25138283199999867</v>
      </c>
    </row>
    <row r="301" spans="1:27">
      <c r="A301" s="1" t="s">
        <v>185</v>
      </c>
      <c r="B301" s="1">
        <v>2020</v>
      </c>
      <c r="C301" s="1">
        <v>206139.5938</v>
      </c>
      <c r="D301" s="1">
        <v>51.958000179999999</v>
      </c>
      <c r="E301" s="1">
        <v>77.609053380000006</v>
      </c>
      <c r="F301" s="1">
        <v>4.9793993429999999</v>
      </c>
      <c r="G301" s="1">
        <v>11.79691148</v>
      </c>
      <c r="H301" s="1">
        <v>5.6146357939999998</v>
      </c>
      <c r="I301" s="1">
        <v>61.658210029999999</v>
      </c>
      <c r="J301" s="1">
        <v>7.1289245829999999</v>
      </c>
      <c r="K301" s="1">
        <v>20.924875350000001</v>
      </c>
      <c r="L301" s="1">
        <v>10.28799004</v>
      </c>
      <c r="M301" s="1">
        <v>92.357705190000004</v>
      </c>
      <c r="N301" s="1">
        <v>2.9918806500000001</v>
      </c>
      <c r="O301" s="1">
        <v>3.356908786</v>
      </c>
      <c r="P301" s="1">
        <v>1.2935053700000001</v>
      </c>
      <c r="Q301" s="2" t="str">
        <f t="shared" si="11"/>
        <v/>
      </c>
      <c r="R301" s="1" t="str">
        <f t="shared" si="12"/>
        <v/>
      </c>
      <c r="S301" s="1" t="str">
        <f t="shared" si="13"/>
        <v/>
      </c>
      <c r="T301" s="1" t="str">
        <f t="shared" si="14"/>
        <v/>
      </c>
      <c r="U301" s="1">
        <f t="shared" si="15"/>
        <v>78</v>
      </c>
      <c r="V301" s="3">
        <f t="shared" si="16"/>
        <v>62</v>
      </c>
      <c r="W301" s="3">
        <f t="shared" si="17"/>
        <v>92</v>
      </c>
      <c r="X301" s="3" t="str">
        <f t="shared" si="18"/>
        <v/>
      </c>
      <c r="Y301" s="3" t="str">
        <f t="shared" si="19"/>
        <v/>
      </c>
      <c r="Z301" s="1" t="str">
        <f t="shared" si="20"/>
        <v/>
      </c>
      <c r="AA301" s="3" t="str">
        <f t="shared" si="21"/>
        <v/>
      </c>
    </row>
    <row r="302" spans="1:27">
      <c r="A302" s="1" t="s">
        <v>186</v>
      </c>
      <c r="B302" s="1">
        <v>2015</v>
      </c>
      <c r="C302" s="1">
        <v>1.6100000139999999</v>
      </c>
      <c r="D302" s="1">
        <v>42.568000789999999</v>
      </c>
      <c r="E302" s="1">
        <v>97.606139409999997</v>
      </c>
      <c r="F302" s="1">
        <v>0</v>
      </c>
      <c r="G302" s="1">
        <v>2.393860594</v>
      </c>
      <c r="H302" s="1">
        <v>0</v>
      </c>
      <c r="I302" s="1" t="s">
        <v>272</v>
      </c>
      <c r="J302" s="1" t="s">
        <v>272</v>
      </c>
      <c r="K302" s="1" t="s">
        <v>272</v>
      </c>
      <c r="L302" s="1" t="s">
        <v>272</v>
      </c>
      <c r="M302" s="1" t="s">
        <v>272</v>
      </c>
      <c r="N302" s="1" t="s">
        <v>272</v>
      </c>
      <c r="O302" s="1" t="s">
        <v>272</v>
      </c>
      <c r="P302" s="1" t="s">
        <v>272</v>
      </c>
      <c r="Q302" s="2">
        <f t="shared" si="11"/>
        <v>5</v>
      </c>
      <c r="R302" s="1">
        <f t="shared" si="12"/>
        <v>-0.1190526460000001</v>
      </c>
      <c r="S302" s="1" t="str">
        <f t="shared" si="13"/>
        <v>null</v>
      </c>
      <c r="T302" s="1" t="str">
        <f t="shared" si="14"/>
        <v>null</v>
      </c>
      <c r="U302" s="1">
        <f t="shared" si="15"/>
        <v>98</v>
      </c>
      <c r="V302" s="3" t="str">
        <f t="shared" si="16"/>
        <v>null</v>
      </c>
      <c r="W302" s="3" t="str">
        <f t="shared" si="17"/>
        <v>null</v>
      </c>
      <c r="X302" s="3" t="str">
        <f t="shared" si="18"/>
        <v/>
      </c>
      <c r="Y302" s="3" t="str">
        <f t="shared" si="19"/>
        <v/>
      </c>
      <c r="Z302" s="1" t="str">
        <f t="shared" si="20"/>
        <v/>
      </c>
      <c r="AA302" s="3" t="str">
        <f t="shared" si="21"/>
        <v>null</v>
      </c>
    </row>
    <row r="303" spans="1:27">
      <c r="A303" s="1" t="s">
        <v>186</v>
      </c>
      <c r="B303" s="1">
        <v>2020</v>
      </c>
      <c r="C303" s="1">
        <v>1.618000031</v>
      </c>
      <c r="D303" s="1">
        <v>46.202003480000002</v>
      </c>
      <c r="E303" s="1">
        <v>97.010876179999997</v>
      </c>
      <c r="F303" s="1">
        <v>0</v>
      </c>
      <c r="G303" s="1">
        <v>2.9891238219999998</v>
      </c>
      <c r="H303" s="1">
        <v>0</v>
      </c>
      <c r="I303" s="1" t="s">
        <v>272</v>
      </c>
      <c r="J303" s="1" t="s">
        <v>272</v>
      </c>
      <c r="K303" s="1" t="s">
        <v>272</v>
      </c>
      <c r="L303" s="1" t="s">
        <v>272</v>
      </c>
      <c r="M303" s="1" t="s">
        <v>272</v>
      </c>
      <c r="N303" s="1" t="s">
        <v>272</v>
      </c>
      <c r="O303" s="1" t="s">
        <v>272</v>
      </c>
      <c r="P303" s="1" t="s">
        <v>272</v>
      </c>
      <c r="Q303" s="2" t="str">
        <f t="shared" si="11"/>
        <v/>
      </c>
      <c r="R303" s="1" t="str">
        <f t="shared" si="12"/>
        <v/>
      </c>
      <c r="S303" s="1" t="str">
        <f t="shared" si="13"/>
        <v/>
      </c>
      <c r="T303" s="1" t="str">
        <f t="shared" si="14"/>
        <v/>
      </c>
      <c r="U303" s="1">
        <f t="shared" si="15"/>
        <v>97</v>
      </c>
      <c r="V303" s="3" t="str">
        <f t="shared" si="16"/>
        <v>null</v>
      </c>
      <c r="W303" s="3" t="str">
        <f t="shared" si="17"/>
        <v>null</v>
      </c>
      <c r="X303" s="3" t="str">
        <f t="shared" si="18"/>
        <v/>
      </c>
      <c r="Y303" s="3" t="str">
        <f t="shared" si="19"/>
        <v/>
      </c>
      <c r="Z303" s="1" t="str">
        <f t="shared" si="20"/>
        <v/>
      </c>
      <c r="AA303" s="3" t="str">
        <f t="shared" si="21"/>
        <v/>
      </c>
    </row>
    <row r="304" spans="1:27">
      <c r="A304" s="1" t="s">
        <v>187</v>
      </c>
      <c r="B304" s="1">
        <v>2015</v>
      </c>
      <c r="C304" s="1">
        <v>2079.334961</v>
      </c>
      <c r="D304" s="1">
        <v>57.407997129999998</v>
      </c>
      <c r="E304" s="1">
        <v>97.472332829999999</v>
      </c>
      <c r="F304" s="1">
        <v>1.8859917129999999</v>
      </c>
      <c r="G304" s="1">
        <v>0.59247317450000003</v>
      </c>
      <c r="H304" s="1">
        <v>4.9202279760000002E-2</v>
      </c>
      <c r="I304" s="1">
        <v>97.633233129999994</v>
      </c>
      <c r="J304" s="1">
        <v>1.2224645000000001</v>
      </c>
      <c r="K304" s="1">
        <v>1.0287823730000001</v>
      </c>
      <c r="L304" s="1">
        <v>0.11552</v>
      </c>
      <c r="M304" s="1">
        <v>97.352958079999993</v>
      </c>
      <c r="N304" s="1">
        <v>2.37827419</v>
      </c>
      <c r="O304" s="1">
        <v>0.2687677275</v>
      </c>
      <c r="P304" s="1">
        <v>0</v>
      </c>
      <c r="Q304" s="2">
        <f t="shared" si="11"/>
        <v>5</v>
      </c>
      <c r="R304" s="1">
        <f t="shared" si="12"/>
        <v>5.4096591999999076E-2</v>
      </c>
      <c r="S304" s="1">
        <f t="shared" si="13"/>
        <v>-3.2903711999998107E-2</v>
      </c>
      <c r="T304" s="1">
        <f t="shared" si="14"/>
        <v>0.11688898200000039</v>
      </c>
      <c r="U304" s="1">
        <f t="shared" si="15"/>
        <v>97</v>
      </c>
      <c r="V304" s="3">
        <f t="shared" si="16"/>
        <v>98</v>
      </c>
      <c r="W304" s="3">
        <f t="shared" si="17"/>
        <v>97</v>
      </c>
      <c r="X304" s="3" t="str">
        <f t="shared" si="18"/>
        <v/>
      </c>
      <c r="Y304" s="3" t="str">
        <f t="shared" si="19"/>
        <v/>
      </c>
      <c r="Z304" s="1" t="str">
        <f t="shared" si="20"/>
        <v/>
      </c>
      <c r="AA304" s="3">
        <f t="shared" si="21"/>
        <v>-0.14979269399999851</v>
      </c>
    </row>
    <row r="305" spans="1:27">
      <c r="A305" s="1" t="s">
        <v>187</v>
      </c>
      <c r="B305" s="1">
        <v>2020</v>
      </c>
      <c r="C305" s="1">
        <v>2083.3798830000001</v>
      </c>
      <c r="D305" s="1">
        <v>58.481998439999998</v>
      </c>
      <c r="E305" s="1">
        <v>97.742815789999995</v>
      </c>
      <c r="F305" s="1">
        <v>1.6349941400000001</v>
      </c>
      <c r="G305" s="1">
        <v>0.57422847619999995</v>
      </c>
      <c r="H305" s="1">
        <v>4.796159706E-2</v>
      </c>
      <c r="I305" s="1">
        <v>97.468714570000003</v>
      </c>
      <c r="J305" s="1">
        <v>1.505202232</v>
      </c>
      <c r="K305" s="1">
        <v>0.91056319819999998</v>
      </c>
      <c r="L305" s="1">
        <v>0.11552</v>
      </c>
      <c r="M305" s="1">
        <v>97.937402989999995</v>
      </c>
      <c r="N305" s="1">
        <v>1.7271369539999999</v>
      </c>
      <c r="O305" s="1">
        <v>0.33546005629999998</v>
      </c>
      <c r="P305" s="1">
        <v>0</v>
      </c>
      <c r="Q305" s="2" t="str">
        <f t="shared" si="11"/>
        <v/>
      </c>
      <c r="R305" s="1" t="str">
        <f t="shared" si="12"/>
        <v/>
      </c>
      <c r="S305" s="1" t="str">
        <f t="shared" si="13"/>
        <v/>
      </c>
      <c r="T305" s="1" t="str">
        <f t="shared" si="14"/>
        <v/>
      </c>
      <c r="U305" s="1">
        <f t="shared" si="15"/>
        <v>98</v>
      </c>
      <c r="V305" s="3">
        <f t="shared" si="16"/>
        <v>97</v>
      </c>
      <c r="W305" s="3">
        <f t="shared" si="17"/>
        <v>98</v>
      </c>
      <c r="X305" s="3" t="str">
        <f t="shared" si="18"/>
        <v/>
      </c>
      <c r="Y305" s="3" t="str">
        <f t="shared" si="19"/>
        <v/>
      </c>
      <c r="Z305" s="1" t="str">
        <f t="shared" si="20"/>
        <v/>
      </c>
      <c r="AA305" s="3" t="str">
        <f t="shared" si="21"/>
        <v/>
      </c>
    </row>
    <row r="306" spans="1:27">
      <c r="A306" s="1" t="s">
        <v>188</v>
      </c>
      <c r="B306" s="1">
        <v>2015</v>
      </c>
      <c r="C306" s="1">
        <v>55.778999329999998</v>
      </c>
      <c r="D306" s="1">
        <v>91.356994630000003</v>
      </c>
      <c r="E306" s="1">
        <v>99.980183389999993</v>
      </c>
      <c r="F306" s="1">
        <v>0</v>
      </c>
      <c r="G306" s="1">
        <v>1.9816611519999999E-2</v>
      </c>
      <c r="H306" s="1">
        <v>0</v>
      </c>
      <c r="I306" s="1" t="s">
        <v>272</v>
      </c>
      <c r="J306" s="1" t="s">
        <v>272</v>
      </c>
      <c r="K306" s="1" t="s">
        <v>272</v>
      </c>
      <c r="L306" s="1" t="s">
        <v>272</v>
      </c>
      <c r="M306" s="1" t="s">
        <v>272</v>
      </c>
      <c r="N306" s="1" t="s">
        <v>272</v>
      </c>
      <c r="O306" s="1" t="s">
        <v>272</v>
      </c>
      <c r="P306" s="1" t="s">
        <v>272</v>
      </c>
      <c r="Q306" s="2">
        <f t="shared" si="11"/>
        <v>5</v>
      </c>
      <c r="R306" s="1">
        <f t="shared" si="12"/>
        <v>3.9633220000013123E-3</v>
      </c>
      <c r="S306" s="1" t="str">
        <f t="shared" si="13"/>
        <v>null</v>
      </c>
      <c r="T306" s="1" t="str">
        <f t="shared" si="14"/>
        <v>null</v>
      </c>
      <c r="U306" s="1">
        <f t="shared" si="15"/>
        <v>100</v>
      </c>
      <c r="V306" s="3" t="str">
        <f t="shared" si="16"/>
        <v>null</v>
      </c>
      <c r="W306" s="3" t="str">
        <f t="shared" si="17"/>
        <v>null</v>
      </c>
      <c r="X306" s="3" t="str">
        <f t="shared" si="18"/>
        <v>fullaccesss</v>
      </c>
      <c r="Y306" s="3" t="str">
        <f t="shared" si="19"/>
        <v/>
      </c>
      <c r="Z306" s="1" t="str">
        <f t="shared" si="20"/>
        <v/>
      </c>
      <c r="AA306" s="3" t="str">
        <f t="shared" si="21"/>
        <v>null</v>
      </c>
    </row>
    <row r="307" spans="1:27">
      <c r="A307" s="1" t="s">
        <v>188</v>
      </c>
      <c r="B307" s="1">
        <v>2020</v>
      </c>
      <c r="C307" s="1">
        <v>57.556999210000001</v>
      </c>
      <c r="D307" s="1">
        <v>91.797996519999998</v>
      </c>
      <c r="E307" s="1">
        <v>100</v>
      </c>
      <c r="F307" s="1">
        <v>0</v>
      </c>
      <c r="G307" s="1">
        <v>0</v>
      </c>
      <c r="H307" s="1">
        <v>0</v>
      </c>
      <c r="I307" s="1" t="s">
        <v>272</v>
      </c>
      <c r="J307" s="1" t="s">
        <v>272</v>
      </c>
      <c r="K307" s="1" t="s">
        <v>272</v>
      </c>
      <c r="L307" s="1" t="s">
        <v>272</v>
      </c>
      <c r="M307" s="1" t="s">
        <v>272</v>
      </c>
      <c r="N307" s="1" t="s">
        <v>272</v>
      </c>
      <c r="O307" s="1" t="s">
        <v>272</v>
      </c>
      <c r="P307" s="1" t="s">
        <v>272</v>
      </c>
      <c r="Q307" s="2" t="str">
        <f t="shared" si="11"/>
        <v/>
      </c>
      <c r="R307" s="1" t="str">
        <f t="shared" si="12"/>
        <v/>
      </c>
      <c r="S307" s="1" t="str">
        <f t="shared" si="13"/>
        <v/>
      </c>
      <c r="T307" s="1" t="str">
        <f t="shared" si="14"/>
        <v/>
      </c>
      <c r="U307" s="1">
        <f t="shared" si="15"/>
        <v>100</v>
      </c>
      <c r="V307" s="3" t="str">
        <f t="shared" si="16"/>
        <v>null</v>
      </c>
      <c r="W307" s="3" t="str">
        <f t="shared" si="17"/>
        <v>null</v>
      </c>
      <c r="X307" s="3" t="str">
        <f t="shared" si="18"/>
        <v/>
      </c>
      <c r="Y307" s="3" t="str">
        <f t="shared" si="19"/>
        <v/>
      </c>
      <c r="Z307" s="1" t="str">
        <f t="shared" si="20"/>
        <v/>
      </c>
      <c r="AA307" s="3" t="str">
        <f t="shared" si="21"/>
        <v/>
      </c>
    </row>
    <row r="308" spans="1:27">
      <c r="A308" s="1" t="s">
        <v>189</v>
      </c>
      <c r="B308" s="1">
        <v>2015</v>
      </c>
      <c r="C308" s="1">
        <v>5199.8271480000003</v>
      </c>
      <c r="D308" s="1">
        <v>81.090995789999994</v>
      </c>
      <c r="E308" s="1">
        <v>100.0000012</v>
      </c>
      <c r="F308" s="1">
        <v>0</v>
      </c>
      <c r="G308" s="1">
        <v>0</v>
      </c>
      <c r="H308" s="1">
        <v>0</v>
      </c>
      <c r="I308" s="1">
        <v>100</v>
      </c>
      <c r="J308" s="1">
        <v>0</v>
      </c>
      <c r="K308" s="1">
        <v>0</v>
      </c>
      <c r="L308" s="1">
        <v>0</v>
      </c>
      <c r="M308" s="1">
        <v>100</v>
      </c>
      <c r="N308" s="1">
        <v>0</v>
      </c>
      <c r="O308" s="1">
        <v>0</v>
      </c>
      <c r="P308" s="1">
        <v>0</v>
      </c>
      <c r="Q308" s="2">
        <f t="shared" si="11"/>
        <v>5</v>
      </c>
      <c r="R308" s="1">
        <f t="shared" si="12"/>
        <v>-1.1400000005323819E-6</v>
      </c>
      <c r="S308" s="1">
        <f t="shared" si="13"/>
        <v>0</v>
      </c>
      <c r="T308" s="1">
        <f t="shared" si="14"/>
        <v>0</v>
      </c>
      <c r="U308" s="1">
        <f t="shared" si="15"/>
        <v>100</v>
      </c>
      <c r="V308" s="3">
        <f t="shared" si="16"/>
        <v>100</v>
      </c>
      <c r="W308" s="3">
        <f t="shared" si="17"/>
        <v>100</v>
      </c>
      <c r="X308" s="3" t="str">
        <f t="shared" si="18"/>
        <v>fullaccesss</v>
      </c>
      <c r="Y308" s="3" t="str">
        <f t="shared" si="19"/>
        <v>fullaccesss</v>
      </c>
      <c r="Z308" s="1" t="str">
        <f t="shared" si="20"/>
        <v>fullaccesss</v>
      </c>
      <c r="AA308" s="3">
        <f t="shared" si="21"/>
        <v>0</v>
      </c>
    </row>
    <row r="309" spans="1:27">
      <c r="A309" s="1" t="s">
        <v>189</v>
      </c>
      <c r="B309" s="1">
        <v>2020</v>
      </c>
      <c r="C309" s="1">
        <v>5421.2421880000002</v>
      </c>
      <c r="D309" s="1">
        <v>82.973991389999995</v>
      </c>
      <c r="E309" s="1">
        <v>99.999995499999997</v>
      </c>
      <c r="F309" s="1">
        <v>0</v>
      </c>
      <c r="G309" s="1">
        <v>4.5034074529999998E-6</v>
      </c>
      <c r="H309" s="1">
        <v>0</v>
      </c>
      <c r="I309" s="1">
        <v>100</v>
      </c>
      <c r="J309" s="1">
        <v>0</v>
      </c>
      <c r="K309" s="1">
        <v>0</v>
      </c>
      <c r="L309" s="1">
        <v>0</v>
      </c>
      <c r="M309" s="1">
        <v>100</v>
      </c>
      <c r="N309" s="1">
        <v>0</v>
      </c>
      <c r="O309" s="1">
        <v>0</v>
      </c>
      <c r="P309" s="1">
        <v>0</v>
      </c>
      <c r="Q309" s="2" t="str">
        <f t="shared" si="11"/>
        <v/>
      </c>
      <c r="R309" s="1" t="str">
        <f t="shared" si="12"/>
        <v/>
      </c>
      <c r="S309" s="1" t="str">
        <f t="shared" si="13"/>
        <v/>
      </c>
      <c r="T309" s="1" t="str">
        <f t="shared" si="14"/>
        <v/>
      </c>
      <c r="U309" s="1">
        <f t="shared" si="15"/>
        <v>100</v>
      </c>
      <c r="V309" s="3">
        <f t="shared" si="16"/>
        <v>100</v>
      </c>
      <c r="W309" s="3">
        <f t="shared" si="17"/>
        <v>100</v>
      </c>
      <c r="X309" s="3" t="str">
        <f t="shared" si="18"/>
        <v/>
      </c>
      <c r="Y309" s="3" t="str">
        <f t="shared" si="19"/>
        <v/>
      </c>
      <c r="Z309" s="1" t="str">
        <f t="shared" si="20"/>
        <v/>
      </c>
      <c r="AA309" s="3" t="str">
        <f t="shared" si="21"/>
        <v/>
      </c>
    </row>
    <row r="310" spans="1:27">
      <c r="A310" s="1" t="s">
        <v>190</v>
      </c>
      <c r="B310" s="1">
        <v>2015</v>
      </c>
      <c r="C310" s="1">
        <v>4267.3408200000003</v>
      </c>
      <c r="D310" s="1">
        <v>81.349998470000003</v>
      </c>
      <c r="E310" s="1">
        <v>90.238485639999993</v>
      </c>
      <c r="F310" s="1">
        <v>8.2088027879999999</v>
      </c>
      <c r="G310" s="1">
        <v>1.473142599</v>
      </c>
      <c r="H310" s="1">
        <v>7.9568975099999995E-2</v>
      </c>
      <c r="I310" s="1">
        <v>74.366908460000005</v>
      </c>
      <c r="J310" s="1">
        <v>21.097672360000001</v>
      </c>
      <c r="K310" s="1">
        <v>4.3867318319999997</v>
      </c>
      <c r="L310" s="1">
        <v>0.14868735080000001</v>
      </c>
      <c r="M310" s="1">
        <v>93.877145080000005</v>
      </c>
      <c r="N310" s="1">
        <v>5.2539479289999997</v>
      </c>
      <c r="O310" s="1">
        <v>0.80518384210000005</v>
      </c>
      <c r="P310" s="1">
        <v>6.3723150359999994E-2</v>
      </c>
      <c r="Q310" s="2">
        <f t="shared" si="11"/>
        <v>5</v>
      </c>
      <c r="R310" s="1">
        <f t="shared" si="12"/>
        <v>0.38590781000000052</v>
      </c>
      <c r="S310" s="1">
        <f t="shared" si="13"/>
        <v>0.37677429000000018</v>
      </c>
      <c r="T310" s="1">
        <f t="shared" si="14"/>
        <v>0.1645709839999995</v>
      </c>
      <c r="U310" s="1">
        <f t="shared" si="15"/>
        <v>90</v>
      </c>
      <c r="V310" s="3">
        <f t="shared" si="16"/>
        <v>74</v>
      </c>
      <c r="W310" s="3">
        <f t="shared" si="17"/>
        <v>94</v>
      </c>
      <c r="X310" s="3" t="str">
        <f t="shared" si="18"/>
        <v/>
      </c>
      <c r="Y310" s="3" t="str">
        <f t="shared" si="19"/>
        <v/>
      </c>
      <c r="Z310" s="1" t="str">
        <f t="shared" si="20"/>
        <v/>
      </c>
      <c r="AA310" s="3">
        <f t="shared" si="21"/>
        <v>0.21220330600000067</v>
      </c>
    </row>
    <row r="311" spans="1:27">
      <c r="A311" s="1" t="s">
        <v>190</v>
      </c>
      <c r="B311" s="1">
        <v>2020</v>
      </c>
      <c r="C311" s="1">
        <v>5106.6220700000003</v>
      </c>
      <c r="D311" s="1">
        <v>86.275993349999993</v>
      </c>
      <c r="E311" s="1">
        <v>92.168024689999996</v>
      </c>
      <c r="F311" s="1">
        <v>7.5414198929999996</v>
      </c>
      <c r="G311" s="1">
        <v>0.26040520360000002</v>
      </c>
      <c r="H311" s="1">
        <v>3.0150217449999999E-2</v>
      </c>
      <c r="I311" s="1">
        <v>76.250779910000006</v>
      </c>
      <c r="J311" s="1">
        <v>21.632121130000002</v>
      </c>
      <c r="K311" s="1">
        <v>1.897409218</v>
      </c>
      <c r="L311" s="1">
        <v>0.21968973750000001</v>
      </c>
      <c r="M311" s="1">
        <v>94.7</v>
      </c>
      <c r="N311" s="1">
        <v>5.3</v>
      </c>
      <c r="O311" s="1">
        <v>0</v>
      </c>
      <c r="P311" s="1">
        <v>0</v>
      </c>
      <c r="Q311" s="2" t="str">
        <f t="shared" si="11"/>
        <v/>
      </c>
      <c r="R311" s="1" t="str">
        <f t="shared" si="12"/>
        <v/>
      </c>
      <c r="S311" s="1" t="str">
        <f t="shared" si="13"/>
        <v/>
      </c>
      <c r="T311" s="1" t="str">
        <f t="shared" si="14"/>
        <v/>
      </c>
      <c r="U311" s="1">
        <f t="shared" si="15"/>
        <v>92</v>
      </c>
      <c r="V311" s="3">
        <f t="shared" si="16"/>
        <v>76</v>
      </c>
      <c r="W311" s="3">
        <f t="shared" si="17"/>
        <v>95</v>
      </c>
      <c r="X311" s="3" t="str">
        <f t="shared" si="18"/>
        <v/>
      </c>
      <c r="Y311" s="3" t="str">
        <f t="shared" si="19"/>
        <v/>
      </c>
      <c r="Z311" s="1" t="str">
        <f t="shared" si="20"/>
        <v/>
      </c>
      <c r="AA311" s="3" t="str">
        <f t="shared" si="21"/>
        <v/>
      </c>
    </row>
    <row r="312" spans="1:27">
      <c r="A312" s="1" t="s">
        <v>191</v>
      </c>
      <c r="B312" s="1">
        <v>2015</v>
      </c>
      <c r="C312" s="1">
        <v>199426.95310000001</v>
      </c>
      <c r="D312" s="1">
        <v>36.026000979999999</v>
      </c>
      <c r="E312" s="1">
        <v>89.454982340000001</v>
      </c>
      <c r="F312" s="1">
        <v>3.6559530200000001</v>
      </c>
      <c r="G312" s="1">
        <v>4.4216911899999998</v>
      </c>
      <c r="H312" s="1">
        <v>2.4673734469999999</v>
      </c>
      <c r="I312" s="1">
        <v>87.15095676</v>
      </c>
      <c r="J312" s="1">
        <v>3.9565638390000002</v>
      </c>
      <c r="K312" s="1">
        <v>5.2364128790000004</v>
      </c>
      <c r="L312" s="1">
        <v>3.6560665229999998</v>
      </c>
      <c r="M312" s="1">
        <v>93.546408839999998</v>
      </c>
      <c r="N312" s="1">
        <v>3.1221364330000001</v>
      </c>
      <c r="O312" s="1">
        <v>2.9749303889999998</v>
      </c>
      <c r="P312" s="1">
        <v>0.35652434</v>
      </c>
      <c r="Q312" s="2">
        <f t="shared" si="11"/>
        <v>5</v>
      </c>
      <c r="R312" s="1">
        <f t="shared" si="12"/>
        <v>0.13879654799999913</v>
      </c>
      <c r="S312" s="1">
        <f t="shared" si="13"/>
        <v>0.28978079999999978</v>
      </c>
      <c r="T312" s="1">
        <f t="shared" si="14"/>
        <v>-0.15567179800000019</v>
      </c>
      <c r="U312" s="1">
        <f t="shared" si="15"/>
        <v>89</v>
      </c>
      <c r="V312" s="3">
        <f t="shared" si="16"/>
        <v>87</v>
      </c>
      <c r="W312" s="3">
        <f t="shared" si="17"/>
        <v>94</v>
      </c>
      <c r="X312" s="3" t="str">
        <f t="shared" si="18"/>
        <v/>
      </c>
      <c r="Y312" s="3" t="str">
        <f t="shared" si="19"/>
        <v/>
      </c>
      <c r="Z312" s="1" t="str">
        <f t="shared" si="20"/>
        <v/>
      </c>
      <c r="AA312" s="3">
        <f t="shared" si="21"/>
        <v>0.44545259799999998</v>
      </c>
    </row>
    <row r="313" spans="1:27">
      <c r="A313" s="1" t="s">
        <v>191</v>
      </c>
      <c r="B313" s="1">
        <v>2020</v>
      </c>
      <c r="C313" s="1">
        <v>220892.32810000001</v>
      </c>
      <c r="D313" s="1">
        <v>37.165000919999997</v>
      </c>
      <c r="E313" s="1">
        <v>90.148965079999996</v>
      </c>
      <c r="F313" s="1">
        <v>3.8222795249999999</v>
      </c>
      <c r="G313" s="1">
        <v>4.4133075740000001</v>
      </c>
      <c r="H313" s="1">
        <v>1.61544782</v>
      </c>
      <c r="I313" s="1">
        <v>88.599860759999999</v>
      </c>
      <c r="J313" s="1">
        <v>3.852278117</v>
      </c>
      <c r="K313" s="1">
        <v>5.1745965089999997</v>
      </c>
      <c r="L313" s="1">
        <v>2.3732646169999998</v>
      </c>
      <c r="M313" s="1">
        <v>92.768049849999997</v>
      </c>
      <c r="N313" s="1">
        <v>3.7715611619999998</v>
      </c>
      <c r="O313" s="1">
        <v>3.126184571</v>
      </c>
      <c r="P313" s="1">
        <v>0.33420442230000003</v>
      </c>
      <c r="Q313" s="2" t="str">
        <f t="shared" si="11"/>
        <v/>
      </c>
      <c r="R313" s="1" t="str">
        <f t="shared" si="12"/>
        <v/>
      </c>
      <c r="S313" s="1" t="str">
        <f t="shared" si="13"/>
        <v/>
      </c>
      <c r="T313" s="1" t="str">
        <f t="shared" si="14"/>
        <v/>
      </c>
      <c r="U313" s="1">
        <f t="shared" si="15"/>
        <v>90</v>
      </c>
      <c r="V313" s="3">
        <f t="shared" si="16"/>
        <v>89</v>
      </c>
      <c r="W313" s="3">
        <f t="shared" si="17"/>
        <v>93</v>
      </c>
      <c r="X313" s="3" t="str">
        <f t="shared" si="18"/>
        <v/>
      </c>
      <c r="Y313" s="3" t="str">
        <f t="shared" si="19"/>
        <v/>
      </c>
      <c r="Z313" s="1" t="str">
        <f t="shared" si="20"/>
        <v/>
      </c>
      <c r="AA313" s="3" t="str">
        <f t="shared" si="21"/>
        <v/>
      </c>
    </row>
    <row r="314" spans="1:27">
      <c r="A314" s="1" t="s">
        <v>192</v>
      </c>
      <c r="B314" s="1">
        <v>2015</v>
      </c>
      <c r="C314" s="1">
        <v>17.665000920000001</v>
      </c>
      <c r="D314" s="1">
        <v>78.158996579999993</v>
      </c>
      <c r="E314" s="1">
        <v>99.630150850000007</v>
      </c>
      <c r="F314" s="1">
        <v>0</v>
      </c>
      <c r="G314" s="1">
        <v>0.36984914990000001</v>
      </c>
      <c r="H314" s="1">
        <v>0</v>
      </c>
      <c r="I314" s="1">
        <v>99.61387148</v>
      </c>
      <c r="J314" s="1">
        <v>0</v>
      </c>
      <c r="K314" s="1">
        <v>0.38612851729999997</v>
      </c>
      <c r="L314" s="1">
        <v>0</v>
      </c>
      <c r="M314" s="1">
        <v>99.634701730000003</v>
      </c>
      <c r="N314" s="1">
        <v>0</v>
      </c>
      <c r="O314" s="1">
        <v>0.36529827059999997</v>
      </c>
      <c r="P314" s="1">
        <v>0</v>
      </c>
      <c r="Q314" s="2">
        <f t="shared" si="11"/>
        <v>5</v>
      </c>
      <c r="R314" s="1">
        <f t="shared" si="12"/>
        <v>5.4789299999981724E-3</v>
      </c>
      <c r="S314" s="1">
        <f t="shared" si="13"/>
        <v>2.8622709999999073E-2</v>
      </c>
      <c r="T314" s="1">
        <f t="shared" si="14"/>
        <v>-9.9948000001859325E-5</v>
      </c>
      <c r="U314" s="1">
        <f t="shared" si="15"/>
        <v>100</v>
      </c>
      <c r="V314" s="3">
        <f t="shared" si="16"/>
        <v>100</v>
      </c>
      <c r="W314" s="3">
        <f t="shared" si="17"/>
        <v>100</v>
      </c>
      <c r="X314" s="3" t="str">
        <f t="shared" si="18"/>
        <v>fullaccesss</v>
      </c>
      <c r="Y314" s="3" t="str">
        <f t="shared" si="19"/>
        <v>fullaccesss</v>
      </c>
      <c r="Z314" s="1" t="str">
        <f t="shared" si="20"/>
        <v>fullaccesss</v>
      </c>
      <c r="AA314" s="3">
        <f t="shared" si="21"/>
        <v>2.8722658000000931E-2</v>
      </c>
    </row>
    <row r="315" spans="1:27">
      <c r="A315" s="1" t="s">
        <v>192</v>
      </c>
      <c r="B315" s="1">
        <v>2020</v>
      </c>
      <c r="C315" s="1">
        <v>18.091999049999998</v>
      </c>
      <c r="D315" s="1">
        <v>80.987998959999999</v>
      </c>
      <c r="E315" s="1">
        <v>99.657545499999998</v>
      </c>
      <c r="F315" s="1">
        <v>0</v>
      </c>
      <c r="G315" s="1">
        <v>0.34245449839999997</v>
      </c>
      <c r="H315" s="1">
        <v>0</v>
      </c>
      <c r="I315" s="1">
        <v>99.756985029999996</v>
      </c>
      <c r="J315" s="1">
        <v>0</v>
      </c>
      <c r="K315" s="1">
        <v>0.2430149677</v>
      </c>
      <c r="L315" s="1">
        <v>0</v>
      </c>
      <c r="M315" s="1">
        <v>99.634201989999994</v>
      </c>
      <c r="N315" s="1">
        <v>0</v>
      </c>
      <c r="O315" s="1">
        <v>0.36579800779999999</v>
      </c>
      <c r="P315" s="1">
        <v>0</v>
      </c>
      <c r="Q315" s="2" t="str">
        <f t="shared" si="11"/>
        <v/>
      </c>
      <c r="R315" s="1" t="str">
        <f t="shared" si="12"/>
        <v/>
      </c>
      <c r="S315" s="1" t="str">
        <f t="shared" si="13"/>
        <v/>
      </c>
      <c r="T315" s="1" t="str">
        <f t="shared" si="14"/>
        <v/>
      </c>
      <c r="U315" s="1">
        <f t="shared" si="15"/>
        <v>100</v>
      </c>
      <c r="V315" s="3">
        <f t="shared" si="16"/>
        <v>100</v>
      </c>
      <c r="W315" s="3">
        <f t="shared" si="17"/>
        <v>100</v>
      </c>
      <c r="X315" s="3" t="str">
        <f t="shared" si="18"/>
        <v/>
      </c>
      <c r="Y315" s="3" t="str">
        <f t="shared" si="19"/>
        <v/>
      </c>
      <c r="Z315" s="1" t="str">
        <f t="shared" si="20"/>
        <v/>
      </c>
      <c r="AA315" s="3" t="str">
        <f t="shared" si="21"/>
        <v/>
      </c>
    </row>
    <row r="316" spans="1:27">
      <c r="A316" s="1" t="s">
        <v>193</v>
      </c>
      <c r="B316" s="1">
        <v>2015</v>
      </c>
      <c r="C316" s="1">
        <v>3968.48999</v>
      </c>
      <c r="D316" s="1">
        <v>66.695999150000006</v>
      </c>
      <c r="E316" s="1">
        <v>92.904365609999999</v>
      </c>
      <c r="F316" s="1">
        <v>1.845644171</v>
      </c>
      <c r="G316" s="1">
        <v>3.160016841</v>
      </c>
      <c r="H316" s="1">
        <v>2.08997338</v>
      </c>
      <c r="I316" s="1">
        <v>83.679579529999998</v>
      </c>
      <c r="J316" s="1">
        <v>1.737106037</v>
      </c>
      <c r="K316" s="1">
        <v>8.379298168</v>
      </c>
      <c r="L316" s="1">
        <v>6.2040162600000004</v>
      </c>
      <c r="M316" s="1">
        <v>97.510677389999998</v>
      </c>
      <c r="N316" s="1">
        <v>1.899841721</v>
      </c>
      <c r="O316" s="1">
        <v>0.55381483909999996</v>
      </c>
      <c r="P316" s="1">
        <v>3.5666046159999999E-2</v>
      </c>
      <c r="Q316" s="2">
        <f t="shared" si="11"/>
        <v>5</v>
      </c>
      <c r="R316" s="1">
        <f t="shared" si="12"/>
        <v>0.29363575000000142</v>
      </c>
      <c r="S316" s="1">
        <f t="shared" si="13"/>
        <v>0.52870074600000128</v>
      </c>
      <c r="T316" s="1">
        <f t="shared" si="14"/>
        <v>0.11564305600000183</v>
      </c>
      <c r="U316" s="1">
        <f t="shared" si="15"/>
        <v>93</v>
      </c>
      <c r="V316" s="3">
        <f t="shared" si="16"/>
        <v>84</v>
      </c>
      <c r="W316" s="3">
        <f t="shared" si="17"/>
        <v>98</v>
      </c>
      <c r="X316" s="3" t="str">
        <f t="shared" si="18"/>
        <v/>
      </c>
      <c r="Y316" s="3" t="str">
        <f t="shared" si="19"/>
        <v/>
      </c>
      <c r="Z316" s="1" t="str">
        <f t="shared" si="20"/>
        <v/>
      </c>
      <c r="AA316" s="3">
        <f t="shared" si="21"/>
        <v>0.41305768999999948</v>
      </c>
    </row>
    <row r="317" spans="1:27">
      <c r="A317" s="1" t="s">
        <v>193</v>
      </c>
      <c r="B317" s="1">
        <v>2020</v>
      </c>
      <c r="C317" s="1">
        <v>4314.7680659999996</v>
      </c>
      <c r="D317" s="1">
        <v>68.414001459999994</v>
      </c>
      <c r="E317" s="1">
        <v>94.372544360000006</v>
      </c>
      <c r="F317" s="1">
        <v>1.8734805919999999</v>
      </c>
      <c r="G317" s="1">
        <v>2.2623042469999999</v>
      </c>
      <c r="H317" s="1">
        <v>1.491670799</v>
      </c>
      <c r="I317" s="1">
        <v>86.323083260000004</v>
      </c>
      <c r="J317" s="1">
        <v>1.791982583</v>
      </c>
      <c r="K317" s="1">
        <v>7.1623643420000001</v>
      </c>
      <c r="L317" s="1">
        <v>4.7225698109999996</v>
      </c>
      <c r="M317" s="1">
        <v>98.088892670000007</v>
      </c>
      <c r="N317" s="1">
        <v>1.9111073329999999</v>
      </c>
      <c r="O317" s="1">
        <v>0</v>
      </c>
      <c r="P317" s="1">
        <v>0</v>
      </c>
      <c r="Q317" s="2" t="str">
        <f t="shared" si="11"/>
        <v/>
      </c>
      <c r="R317" s="1" t="str">
        <f t="shared" si="12"/>
        <v/>
      </c>
      <c r="S317" s="1" t="str">
        <f t="shared" si="13"/>
        <v/>
      </c>
      <c r="T317" s="1" t="str">
        <f t="shared" si="14"/>
        <v/>
      </c>
      <c r="U317" s="1">
        <f t="shared" si="15"/>
        <v>94</v>
      </c>
      <c r="V317" s="3">
        <f t="shared" si="16"/>
        <v>86</v>
      </c>
      <c r="W317" s="3">
        <f t="shared" si="17"/>
        <v>98</v>
      </c>
      <c r="X317" s="3" t="str">
        <f t="shared" si="18"/>
        <v/>
      </c>
      <c r="Y317" s="3" t="str">
        <f t="shared" si="19"/>
        <v/>
      </c>
      <c r="Z317" s="1" t="str">
        <f t="shared" si="20"/>
        <v/>
      </c>
      <c r="AA317" s="3" t="str">
        <f t="shared" si="21"/>
        <v/>
      </c>
    </row>
    <row r="318" spans="1:27">
      <c r="A318" s="1" t="s">
        <v>194</v>
      </c>
      <c r="B318" s="1">
        <v>2015</v>
      </c>
      <c r="C318" s="1">
        <v>8107.7719729999999</v>
      </c>
      <c r="D318" s="1">
        <v>13.01200008</v>
      </c>
      <c r="E318" s="1">
        <v>41.485508439999997</v>
      </c>
      <c r="F318" s="1">
        <v>1.8099530800000001</v>
      </c>
      <c r="G318" s="1">
        <v>21.261051999999999</v>
      </c>
      <c r="H318" s="1">
        <v>35.443486479999997</v>
      </c>
      <c r="I318" s="1">
        <v>34.990633000000003</v>
      </c>
      <c r="J318" s="1">
        <v>1.8047244330000001</v>
      </c>
      <c r="K318" s="1">
        <v>23.25354875</v>
      </c>
      <c r="L318" s="1">
        <v>39.951093819999997</v>
      </c>
      <c r="M318" s="1">
        <v>84.90514306</v>
      </c>
      <c r="N318" s="1">
        <v>1.844907912</v>
      </c>
      <c r="O318" s="1">
        <v>7.9407764350000001</v>
      </c>
      <c r="P318" s="1">
        <v>5.309172598</v>
      </c>
      <c r="Q318" s="2">
        <f t="shared" si="11"/>
        <v>5</v>
      </c>
      <c r="R318" s="1">
        <f t="shared" si="12"/>
        <v>0.77170181600000087</v>
      </c>
      <c r="S318" s="1">
        <f t="shared" si="13"/>
        <v>0.81614213399999902</v>
      </c>
      <c r="T318" s="1">
        <f t="shared" si="14"/>
        <v>0.2340257159999993</v>
      </c>
      <c r="U318" s="1">
        <f t="shared" si="15"/>
        <v>41</v>
      </c>
      <c r="V318" s="3">
        <f t="shared" si="16"/>
        <v>35</v>
      </c>
      <c r="W318" s="3">
        <f t="shared" si="17"/>
        <v>85</v>
      </c>
      <c r="X318" s="3" t="str">
        <f t="shared" si="18"/>
        <v/>
      </c>
      <c r="Y318" s="3" t="str">
        <f t="shared" si="19"/>
        <v/>
      </c>
      <c r="Z318" s="1" t="str">
        <f t="shared" si="20"/>
        <v/>
      </c>
      <c r="AA318" s="3">
        <f t="shared" si="21"/>
        <v>0.58211641799999969</v>
      </c>
    </row>
    <row r="319" spans="1:27">
      <c r="A319" s="1" t="s">
        <v>194</v>
      </c>
      <c r="B319" s="1">
        <v>2020</v>
      </c>
      <c r="C319" s="1">
        <v>8947.0273440000001</v>
      </c>
      <c r="D319" s="1">
        <v>13.34500027</v>
      </c>
      <c r="E319" s="1">
        <v>45.344017520000001</v>
      </c>
      <c r="F319" s="1">
        <v>2.128564452</v>
      </c>
      <c r="G319" s="1">
        <v>22.157624949999999</v>
      </c>
      <c r="H319" s="1">
        <v>30.369793080000001</v>
      </c>
      <c r="I319" s="1">
        <v>39.071343669999997</v>
      </c>
      <c r="J319" s="1">
        <v>2.4298502929999999</v>
      </c>
      <c r="K319" s="1">
        <v>24.431800859999999</v>
      </c>
      <c r="L319" s="1">
        <v>34.067005170000002</v>
      </c>
      <c r="M319" s="1">
        <v>86.075271639999997</v>
      </c>
      <c r="N319" s="1">
        <v>0.17218226079999999</v>
      </c>
      <c r="O319" s="1">
        <v>7.3903855639999998</v>
      </c>
      <c r="P319" s="1">
        <v>6.3621605319999999</v>
      </c>
      <c r="Q319" s="2" t="str">
        <f t="shared" si="11"/>
        <v/>
      </c>
      <c r="R319" s="1" t="str">
        <f t="shared" si="12"/>
        <v/>
      </c>
      <c r="S319" s="1" t="str">
        <f t="shared" si="13"/>
        <v/>
      </c>
      <c r="T319" s="1" t="str">
        <f t="shared" si="14"/>
        <v/>
      </c>
      <c r="U319" s="1">
        <f t="shared" si="15"/>
        <v>45</v>
      </c>
      <c r="V319" s="3">
        <f t="shared" si="16"/>
        <v>39</v>
      </c>
      <c r="W319" s="3">
        <f t="shared" si="17"/>
        <v>86</v>
      </c>
      <c r="X319" s="3" t="str">
        <f t="shared" si="18"/>
        <v/>
      </c>
      <c r="Y319" s="3" t="str">
        <f t="shared" si="19"/>
        <v/>
      </c>
      <c r="Z319" s="1" t="str">
        <f t="shared" si="20"/>
        <v/>
      </c>
      <c r="AA319" s="3" t="str">
        <f t="shared" si="21"/>
        <v/>
      </c>
    </row>
    <row r="320" spans="1:27">
      <c r="A320" s="1" t="s">
        <v>195</v>
      </c>
      <c r="B320" s="1">
        <v>2015</v>
      </c>
      <c r="C320" s="1">
        <v>6688.7460940000001</v>
      </c>
      <c r="D320" s="1">
        <v>60.75</v>
      </c>
      <c r="E320" s="1">
        <v>96.836214530000007</v>
      </c>
      <c r="F320" s="1">
        <v>0.32842400300000002</v>
      </c>
      <c r="G320" s="1">
        <v>2.7567681990000001</v>
      </c>
      <c r="H320" s="1">
        <v>7.8593266980000007E-2</v>
      </c>
      <c r="I320" s="1">
        <v>93.344700290000006</v>
      </c>
      <c r="J320" s="1">
        <v>0.69766643969999997</v>
      </c>
      <c r="K320" s="1">
        <v>5.757395646</v>
      </c>
      <c r="L320" s="1">
        <v>0.20023762880000001</v>
      </c>
      <c r="M320" s="1">
        <v>99.092048730000002</v>
      </c>
      <c r="N320" s="1">
        <v>8.9859971169999997E-2</v>
      </c>
      <c r="O320" s="1">
        <v>0.81809130100000005</v>
      </c>
      <c r="P320" s="1">
        <v>0</v>
      </c>
      <c r="Q320" s="2">
        <f t="shared" si="11"/>
        <v>5</v>
      </c>
      <c r="R320" s="1">
        <f t="shared" si="12"/>
        <v>0.55145035999999836</v>
      </c>
      <c r="S320" s="1">
        <f t="shared" si="13"/>
        <v>1.1533054479999976</v>
      </c>
      <c r="T320" s="1">
        <f t="shared" si="14"/>
        <v>0.15893996199999946</v>
      </c>
      <c r="U320" s="1">
        <f t="shared" si="15"/>
        <v>97</v>
      </c>
      <c r="V320" s="3">
        <f t="shared" si="16"/>
        <v>93</v>
      </c>
      <c r="W320" s="3">
        <f t="shared" si="17"/>
        <v>99</v>
      </c>
      <c r="X320" s="3" t="str">
        <f t="shared" si="18"/>
        <v/>
      </c>
      <c r="Y320" s="3" t="str">
        <f t="shared" si="19"/>
        <v/>
      </c>
      <c r="Z320" s="1" t="str">
        <f t="shared" si="20"/>
        <v/>
      </c>
      <c r="AA320" s="3">
        <f t="shared" si="21"/>
        <v>0.99436548599999808</v>
      </c>
    </row>
    <row r="321" spans="1:27">
      <c r="A321" s="1" t="s">
        <v>195</v>
      </c>
      <c r="B321" s="1">
        <v>2020</v>
      </c>
      <c r="C321" s="1">
        <v>7132.5297849999997</v>
      </c>
      <c r="D321" s="1">
        <v>62.182994839999999</v>
      </c>
      <c r="E321" s="1">
        <v>99.593466329999998</v>
      </c>
      <c r="F321" s="1">
        <v>0.40653024389999998</v>
      </c>
      <c r="G321" s="1">
        <v>3.4229177000000001E-6</v>
      </c>
      <c r="H321" s="1">
        <v>0</v>
      </c>
      <c r="I321" s="1">
        <v>99.111227529999994</v>
      </c>
      <c r="J321" s="1">
        <v>0.88877246840000002</v>
      </c>
      <c r="K321" s="1">
        <v>0</v>
      </c>
      <c r="L321" s="1">
        <v>0</v>
      </c>
      <c r="M321" s="1">
        <v>99.886748539999999</v>
      </c>
      <c r="N321" s="1">
        <v>0.11325146429999999</v>
      </c>
      <c r="O321" s="1">
        <v>0</v>
      </c>
      <c r="P321" s="1">
        <v>0</v>
      </c>
      <c r="Q321" s="2" t="str">
        <f t="shared" si="11"/>
        <v/>
      </c>
      <c r="R321" s="1" t="str">
        <f t="shared" si="12"/>
        <v/>
      </c>
      <c r="S321" s="1" t="str">
        <f t="shared" si="13"/>
        <v/>
      </c>
      <c r="T321" s="1" t="str">
        <f t="shared" si="14"/>
        <v/>
      </c>
      <c r="U321" s="1">
        <f t="shared" si="15"/>
        <v>100</v>
      </c>
      <c r="V321" s="3">
        <f t="shared" si="16"/>
        <v>99</v>
      </c>
      <c r="W321" s="3">
        <f t="shared" si="17"/>
        <v>100</v>
      </c>
      <c r="X321" s="3" t="str">
        <f t="shared" si="18"/>
        <v/>
      </c>
      <c r="Y321" s="3" t="str">
        <f t="shared" si="19"/>
        <v/>
      </c>
      <c r="Z321" s="1" t="str">
        <f t="shared" si="20"/>
        <v/>
      </c>
      <c r="AA321" s="3" t="str">
        <f t="shared" si="21"/>
        <v/>
      </c>
    </row>
    <row r="322" spans="1:27">
      <c r="A322" s="1" t="s">
        <v>196</v>
      </c>
      <c r="B322" s="1">
        <v>2015</v>
      </c>
      <c r="C322" s="1">
        <v>30470.738280000001</v>
      </c>
      <c r="D322" s="1">
        <v>77.357002260000002</v>
      </c>
      <c r="E322" s="1">
        <v>90.282003040000006</v>
      </c>
      <c r="F322" s="1">
        <v>0.93258347190000002</v>
      </c>
      <c r="G322" s="1">
        <v>5.7636260549999996</v>
      </c>
      <c r="H322" s="1">
        <v>3.0217874390000001</v>
      </c>
      <c r="I322" s="1">
        <v>73.287623839999995</v>
      </c>
      <c r="J322" s="1">
        <v>1.5230403370000001</v>
      </c>
      <c r="K322" s="1">
        <v>12.99206766</v>
      </c>
      <c r="L322" s="1">
        <v>12.197268169999999</v>
      </c>
      <c r="M322" s="1">
        <v>95.256387020000005</v>
      </c>
      <c r="N322" s="1">
        <v>0.75975208999999999</v>
      </c>
      <c r="O322" s="1">
        <v>3.6478085579999999</v>
      </c>
      <c r="P322" s="1">
        <v>0.33605232909999999</v>
      </c>
      <c r="Q322" s="2">
        <f t="shared" si="11"/>
        <v>5</v>
      </c>
      <c r="R322" s="1">
        <f t="shared" si="12"/>
        <v>0.57147263399999981</v>
      </c>
      <c r="S322" s="1">
        <f t="shared" si="13"/>
        <v>1.502362930000001</v>
      </c>
      <c r="T322" s="1">
        <f t="shared" si="14"/>
        <v>0.2606914119999999</v>
      </c>
      <c r="U322" s="1">
        <f t="shared" si="15"/>
        <v>90</v>
      </c>
      <c r="V322" s="3">
        <f t="shared" si="16"/>
        <v>73</v>
      </c>
      <c r="W322" s="3">
        <f t="shared" si="17"/>
        <v>95</v>
      </c>
      <c r="X322" s="3" t="str">
        <f t="shared" si="18"/>
        <v/>
      </c>
      <c r="Y322" s="3" t="str">
        <f t="shared" si="19"/>
        <v/>
      </c>
      <c r="Z322" s="1" t="str">
        <f t="shared" si="20"/>
        <v/>
      </c>
      <c r="AA322" s="3">
        <f t="shared" si="21"/>
        <v>1.2416715180000011</v>
      </c>
    </row>
    <row r="323" spans="1:27">
      <c r="A323" s="1" t="s">
        <v>196</v>
      </c>
      <c r="B323" s="1">
        <v>2020</v>
      </c>
      <c r="C323" s="1">
        <v>32971.847659999999</v>
      </c>
      <c r="D323" s="1">
        <v>78.297004700000002</v>
      </c>
      <c r="E323" s="1">
        <v>93.139366210000006</v>
      </c>
      <c r="F323" s="1">
        <v>0.84955935110000003</v>
      </c>
      <c r="G323" s="1">
        <v>4.1504683489999996</v>
      </c>
      <c r="H323" s="1">
        <v>1.8606060870000001</v>
      </c>
      <c r="I323" s="1">
        <v>80.79943849</v>
      </c>
      <c r="J323" s="1">
        <v>1.5969437710000001</v>
      </c>
      <c r="K323" s="1">
        <v>9.6126911629999992</v>
      </c>
      <c r="L323" s="1">
        <v>7.9909265779999998</v>
      </c>
      <c r="M323" s="1">
        <v>96.559844080000005</v>
      </c>
      <c r="N323" s="1">
        <v>0.64239323559999995</v>
      </c>
      <c r="O323" s="1">
        <v>2.6364086929999999</v>
      </c>
      <c r="P323" s="1">
        <v>0.1613539953</v>
      </c>
      <c r="Q323" s="2" t="str">
        <f t="shared" si="11"/>
        <v/>
      </c>
      <c r="R323" s="1" t="str">
        <f t="shared" si="12"/>
        <v/>
      </c>
      <c r="S323" s="1" t="str">
        <f t="shared" si="13"/>
        <v/>
      </c>
      <c r="T323" s="1" t="str">
        <f t="shared" si="14"/>
        <v/>
      </c>
      <c r="U323" s="1">
        <f t="shared" si="15"/>
        <v>93</v>
      </c>
      <c r="V323" s="3">
        <f t="shared" si="16"/>
        <v>81</v>
      </c>
      <c r="W323" s="3">
        <f t="shared" si="17"/>
        <v>97</v>
      </c>
      <c r="X323" s="3" t="str">
        <f t="shared" si="18"/>
        <v/>
      </c>
      <c r="Y323" s="3" t="str">
        <f t="shared" si="19"/>
        <v/>
      </c>
      <c r="Z323" s="1" t="str">
        <f t="shared" si="20"/>
        <v/>
      </c>
      <c r="AA323" s="3" t="str">
        <f t="shared" si="21"/>
        <v/>
      </c>
    </row>
    <row r="324" spans="1:27">
      <c r="A324" s="1" t="s">
        <v>197</v>
      </c>
      <c r="B324" s="1">
        <v>2015</v>
      </c>
      <c r="C324" s="1">
        <v>102113.2031</v>
      </c>
      <c r="D324" s="1">
        <v>46.284000399999996</v>
      </c>
      <c r="E324" s="1">
        <v>92.017701020000004</v>
      </c>
      <c r="F324" s="1">
        <v>2.9204293190000001</v>
      </c>
      <c r="G324" s="1">
        <v>4.5321384619999998</v>
      </c>
      <c r="H324" s="1">
        <v>0.52973119440000005</v>
      </c>
      <c r="I324" s="1">
        <v>88.208162329999993</v>
      </c>
      <c r="J324" s="1">
        <v>3.8258925420000001</v>
      </c>
      <c r="K324" s="1">
        <v>7.1112130369999997</v>
      </c>
      <c r="L324" s="1">
        <v>0.85473209370000003</v>
      </c>
      <c r="M324" s="1">
        <v>96.438952139999998</v>
      </c>
      <c r="N324" s="1">
        <v>1.8695723529999999</v>
      </c>
      <c r="O324" s="1">
        <v>1.5389318729999999</v>
      </c>
      <c r="P324" s="1">
        <v>0.15254363930000001</v>
      </c>
      <c r="Q324" s="2">
        <f t="shared" si="11"/>
        <v>5</v>
      </c>
      <c r="R324" s="1">
        <f t="shared" si="12"/>
        <v>0.41826670799999877</v>
      </c>
      <c r="S324" s="1">
        <f t="shared" si="13"/>
        <v>0.57075417800000139</v>
      </c>
      <c r="T324" s="1">
        <f t="shared" si="14"/>
        <v>0.21007607200000109</v>
      </c>
      <c r="U324" s="1">
        <f t="shared" si="15"/>
        <v>92</v>
      </c>
      <c r="V324" s="3">
        <f t="shared" si="16"/>
        <v>88</v>
      </c>
      <c r="W324" s="3">
        <f t="shared" si="17"/>
        <v>96</v>
      </c>
      <c r="X324" s="3" t="str">
        <f t="shared" si="18"/>
        <v/>
      </c>
      <c r="Y324" s="3" t="str">
        <f t="shared" si="19"/>
        <v/>
      </c>
      <c r="Z324" s="1" t="str">
        <f t="shared" si="20"/>
        <v/>
      </c>
      <c r="AA324" s="3">
        <f t="shared" si="21"/>
        <v>0.36067810600000028</v>
      </c>
    </row>
    <row r="325" spans="1:27">
      <c r="A325" s="1" t="s">
        <v>197</v>
      </c>
      <c r="B325" s="1">
        <v>2020</v>
      </c>
      <c r="C325" s="1">
        <v>109581.08590000001</v>
      </c>
      <c r="D325" s="1">
        <v>47.407997129999998</v>
      </c>
      <c r="E325" s="1">
        <v>94.109034559999998</v>
      </c>
      <c r="F325" s="1">
        <v>2.8564861370000001</v>
      </c>
      <c r="G325" s="1">
        <v>3.0344793069999998</v>
      </c>
      <c r="H325" s="1">
        <v>0</v>
      </c>
      <c r="I325" s="1">
        <v>91.06193322</v>
      </c>
      <c r="J325" s="1">
        <v>3.9595204279999998</v>
      </c>
      <c r="K325" s="1">
        <v>4.978546347</v>
      </c>
      <c r="L325" s="1">
        <v>0</v>
      </c>
      <c r="M325" s="1">
        <v>97.489332500000003</v>
      </c>
      <c r="N325" s="1">
        <v>1.632836465</v>
      </c>
      <c r="O325" s="1">
        <v>0.87783103600000001</v>
      </c>
      <c r="P325" s="1">
        <v>0</v>
      </c>
      <c r="Q325" s="2" t="str">
        <f t="shared" si="11"/>
        <v/>
      </c>
      <c r="R325" s="1" t="str">
        <f t="shared" si="12"/>
        <v/>
      </c>
      <c r="S325" s="1" t="str">
        <f t="shared" si="13"/>
        <v/>
      </c>
      <c r="T325" s="1" t="str">
        <f t="shared" si="14"/>
        <v/>
      </c>
      <c r="U325" s="1">
        <f t="shared" si="15"/>
        <v>94</v>
      </c>
      <c r="V325" s="3">
        <f t="shared" si="16"/>
        <v>91</v>
      </c>
      <c r="W325" s="3">
        <f t="shared" si="17"/>
        <v>97</v>
      </c>
      <c r="X325" s="3" t="str">
        <f t="shared" si="18"/>
        <v/>
      </c>
      <c r="Y325" s="3" t="str">
        <f t="shared" si="19"/>
        <v/>
      </c>
      <c r="Z325" s="1" t="str">
        <f t="shared" si="20"/>
        <v/>
      </c>
      <c r="AA325" s="3" t="str">
        <f t="shared" si="21"/>
        <v/>
      </c>
    </row>
    <row r="326" spans="1:27">
      <c r="A326" s="1" t="s">
        <v>198</v>
      </c>
      <c r="B326" s="1">
        <v>2015</v>
      </c>
      <c r="C326" s="1">
        <v>38034.074220000002</v>
      </c>
      <c r="D326" s="1">
        <v>60.27799606</v>
      </c>
      <c r="E326" s="1">
        <v>99.232069879999997</v>
      </c>
      <c r="F326" s="1">
        <v>0</v>
      </c>
      <c r="G326" s="1">
        <v>0.76793012459999999</v>
      </c>
      <c r="H326" s="1">
        <v>0</v>
      </c>
      <c r="I326" s="1">
        <v>98.537903229999998</v>
      </c>
      <c r="J326" s="1">
        <v>0</v>
      </c>
      <c r="K326" s="1">
        <v>1.4620967739999999</v>
      </c>
      <c r="L326" s="1">
        <v>0</v>
      </c>
      <c r="M326" s="1">
        <v>99.689516130000001</v>
      </c>
      <c r="N326" s="1">
        <v>0</v>
      </c>
      <c r="O326" s="1">
        <v>0.31048387100000002</v>
      </c>
      <c r="P326" s="1">
        <v>0</v>
      </c>
      <c r="Q326" s="2">
        <f t="shared" si="11"/>
        <v>5</v>
      </c>
      <c r="R326" s="1">
        <f t="shared" si="12"/>
        <v>0.1469043340000013</v>
      </c>
      <c r="S326" s="1">
        <f t="shared" si="13"/>
        <v>0.29241935400000046</v>
      </c>
      <c r="T326" s="1">
        <f t="shared" si="14"/>
        <v>5.0967742000000274E-2</v>
      </c>
      <c r="U326" s="1">
        <f t="shared" si="15"/>
        <v>99</v>
      </c>
      <c r="V326" s="3">
        <f t="shared" si="16"/>
        <v>99</v>
      </c>
      <c r="W326" s="3">
        <f t="shared" si="17"/>
        <v>100</v>
      </c>
      <c r="X326" s="3" t="str">
        <f t="shared" si="18"/>
        <v/>
      </c>
      <c r="Y326" s="3" t="str">
        <f t="shared" si="19"/>
        <v/>
      </c>
      <c r="Z326" s="1" t="str">
        <f t="shared" si="20"/>
        <v>fullaccesss</v>
      </c>
      <c r="AA326" s="3">
        <f t="shared" si="21"/>
        <v>0.2414516120000002</v>
      </c>
    </row>
    <row r="327" spans="1:27">
      <c r="A327" s="1" t="s">
        <v>198</v>
      </c>
      <c r="B327" s="1">
        <v>2020</v>
      </c>
      <c r="C327" s="1">
        <v>37846.605470000002</v>
      </c>
      <c r="D327" s="1">
        <v>60.043003079999998</v>
      </c>
      <c r="E327" s="1">
        <v>99.966591550000004</v>
      </c>
      <c r="F327" s="1">
        <v>0</v>
      </c>
      <c r="G327" s="1">
        <v>3.3408445289999998E-2</v>
      </c>
      <c r="H327" s="1">
        <v>0</v>
      </c>
      <c r="I327" s="1">
        <v>100</v>
      </c>
      <c r="J327" s="1">
        <v>0</v>
      </c>
      <c r="K327" s="1">
        <v>0</v>
      </c>
      <c r="L327" s="1">
        <v>0</v>
      </c>
      <c r="M327" s="1">
        <v>99.944354840000003</v>
      </c>
      <c r="N327" s="1">
        <v>0</v>
      </c>
      <c r="O327" s="1">
        <v>5.5645161290000002E-2</v>
      </c>
      <c r="P327" s="1">
        <v>0</v>
      </c>
      <c r="Q327" s="2" t="str">
        <f t="shared" si="11"/>
        <v/>
      </c>
      <c r="R327" s="1" t="str">
        <f t="shared" si="12"/>
        <v/>
      </c>
      <c r="S327" s="1" t="str">
        <f t="shared" si="13"/>
        <v/>
      </c>
      <c r="T327" s="1" t="str">
        <f t="shared" si="14"/>
        <v/>
      </c>
      <c r="U327" s="1">
        <f t="shared" si="15"/>
        <v>100</v>
      </c>
      <c r="V327" s="3">
        <f t="shared" si="16"/>
        <v>100</v>
      </c>
      <c r="W327" s="3">
        <f t="shared" si="17"/>
        <v>100</v>
      </c>
      <c r="X327" s="3" t="str">
        <f t="shared" si="18"/>
        <v/>
      </c>
      <c r="Y327" s="3" t="str">
        <f t="shared" si="19"/>
        <v/>
      </c>
      <c r="Z327" s="1" t="str">
        <f t="shared" si="20"/>
        <v/>
      </c>
      <c r="AA327" s="3" t="str">
        <f t="shared" si="21"/>
        <v/>
      </c>
    </row>
    <row r="328" spans="1:27">
      <c r="A328" s="1" t="s">
        <v>199</v>
      </c>
      <c r="B328" s="1">
        <v>2015</v>
      </c>
      <c r="C328" s="1">
        <v>10368.3457</v>
      </c>
      <c r="D328" s="1">
        <v>63.513999939999998</v>
      </c>
      <c r="E328" s="1">
        <v>99.904689840000003</v>
      </c>
      <c r="F328" s="1">
        <v>0</v>
      </c>
      <c r="G328" s="1">
        <v>9.5310157000000006E-2</v>
      </c>
      <c r="H328" s="1">
        <v>0</v>
      </c>
      <c r="I328" s="1">
        <v>99.738776090000002</v>
      </c>
      <c r="J328" s="1">
        <v>0</v>
      </c>
      <c r="K328" s="1">
        <v>0.26122391220000002</v>
      </c>
      <c r="L328" s="1">
        <v>0</v>
      </c>
      <c r="M328" s="1">
        <v>100</v>
      </c>
      <c r="N328" s="1">
        <v>0</v>
      </c>
      <c r="O328" s="1">
        <v>0</v>
      </c>
      <c r="P328" s="1">
        <v>0</v>
      </c>
      <c r="Q328" s="2">
        <f t="shared" si="11"/>
        <v>5</v>
      </c>
      <c r="R328" s="1">
        <f t="shared" si="12"/>
        <v>1.4607659999995803E-3</v>
      </c>
      <c r="S328" s="1">
        <f t="shared" si="13"/>
        <v>0</v>
      </c>
      <c r="T328" s="1">
        <f t="shared" si="14"/>
        <v>0</v>
      </c>
      <c r="U328" s="1">
        <f t="shared" si="15"/>
        <v>100</v>
      </c>
      <c r="V328" s="3">
        <f t="shared" si="16"/>
        <v>100</v>
      </c>
      <c r="W328" s="3">
        <f t="shared" si="17"/>
        <v>100</v>
      </c>
      <c r="X328" s="3" t="str">
        <f t="shared" si="18"/>
        <v>fullaccesss</v>
      </c>
      <c r="Y328" s="3" t="str">
        <f t="shared" si="19"/>
        <v>fullaccesss</v>
      </c>
      <c r="Z328" s="1" t="str">
        <f t="shared" si="20"/>
        <v>fullaccesss</v>
      </c>
      <c r="AA328" s="3">
        <f t="shared" si="21"/>
        <v>0</v>
      </c>
    </row>
    <row r="329" spans="1:27">
      <c r="A329" s="1" t="s">
        <v>199</v>
      </c>
      <c r="B329" s="1">
        <v>2020</v>
      </c>
      <c r="C329" s="1">
        <v>10196.70703</v>
      </c>
      <c r="D329" s="1">
        <v>66.309997559999999</v>
      </c>
      <c r="E329" s="1">
        <v>99.911993670000001</v>
      </c>
      <c r="F329" s="1">
        <v>0</v>
      </c>
      <c r="G329" s="1">
        <v>8.8006333689999994E-2</v>
      </c>
      <c r="H329" s="1">
        <v>0</v>
      </c>
      <c r="I329" s="1">
        <v>99.738776090000002</v>
      </c>
      <c r="J329" s="1">
        <v>0</v>
      </c>
      <c r="K329" s="1">
        <v>0.26122391220000002</v>
      </c>
      <c r="L329" s="1">
        <v>0</v>
      </c>
      <c r="M329" s="1">
        <v>100</v>
      </c>
      <c r="N329" s="1">
        <v>0</v>
      </c>
      <c r="O329" s="1">
        <v>0</v>
      </c>
      <c r="P329" s="1">
        <v>0</v>
      </c>
      <c r="Q329" s="2" t="str">
        <f t="shared" si="11"/>
        <v/>
      </c>
      <c r="R329" s="1" t="str">
        <f t="shared" si="12"/>
        <v/>
      </c>
      <c r="S329" s="1" t="str">
        <f t="shared" si="13"/>
        <v/>
      </c>
      <c r="T329" s="1" t="str">
        <f t="shared" si="14"/>
        <v/>
      </c>
      <c r="U329" s="1">
        <f t="shared" si="15"/>
        <v>100</v>
      </c>
      <c r="V329" s="3">
        <f t="shared" si="16"/>
        <v>100</v>
      </c>
      <c r="W329" s="3">
        <f t="shared" si="17"/>
        <v>100</v>
      </c>
      <c r="X329" s="3" t="str">
        <f t="shared" si="18"/>
        <v/>
      </c>
      <c r="Y329" s="3" t="str">
        <f t="shared" si="19"/>
        <v/>
      </c>
      <c r="Z329" s="1" t="str">
        <f t="shared" si="20"/>
        <v/>
      </c>
      <c r="AA329" s="3" t="str">
        <f t="shared" si="21"/>
        <v/>
      </c>
    </row>
    <row r="330" spans="1:27">
      <c r="A330" s="1" t="s">
        <v>200</v>
      </c>
      <c r="B330" s="1">
        <v>2015</v>
      </c>
      <c r="C330" s="1">
        <v>3381.5119629999999</v>
      </c>
      <c r="D330" s="1">
        <v>93.624000550000005</v>
      </c>
      <c r="E330" s="1">
        <v>99.425449760000006</v>
      </c>
      <c r="F330" s="1">
        <v>0</v>
      </c>
      <c r="G330" s="1">
        <v>0.57455024300000002</v>
      </c>
      <c r="H330" s="1">
        <v>0</v>
      </c>
      <c r="I330" s="1" t="s">
        <v>272</v>
      </c>
      <c r="J330" s="1" t="s">
        <v>272</v>
      </c>
      <c r="K330" s="1" t="s">
        <v>272</v>
      </c>
      <c r="L330" s="1" t="s">
        <v>272</v>
      </c>
      <c r="M330" s="1" t="s">
        <v>272</v>
      </c>
      <c r="N330" s="1" t="s">
        <v>272</v>
      </c>
      <c r="O330" s="1" t="s">
        <v>272</v>
      </c>
      <c r="P330" s="1" t="s">
        <v>272</v>
      </c>
      <c r="Q330" s="2">
        <f t="shared" si="11"/>
        <v>5</v>
      </c>
      <c r="R330" s="1">
        <f t="shared" si="12"/>
        <v>0.11491004799999871</v>
      </c>
      <c r="S330" s="1" t="str">
        <f t="shared" si="13"/>
        <v>null</v>
      </c>
      <c r="T330" s="1" t="str">
        <f t="shared" si="14"/>
        <v>null</v>
      </c>
      <c r="U330" s="1">
        <f t="shared" si="15"/>
        <v>99</v>
      </c>
      <c r="V330" s="3" t="str">
        <f t="shared" si="16"/>
        <v>null</v>
      </c>
      <c r="W330" s="3" t="str">
        <f t="shared" si="17"/>
        <v>null</v>
      </c>
      <c r="X330" s="3" t="str">
        <f t="shared" si="18"/>
        <v/>
      </c>
      <c r="Y330" s="3" t="str">
        <f t="shared" si="19"/>
        <v/>
      </c>
      <c r="Z330" s="1" t="str">
        <f t="shared" si="20"/>
        <v/>
      </c>
      <c r="AA330" s="3" t="str">
        <f t="shared" si="21"/>
        <v>null</v>
      </c>
    </row>
    <row r="331" spans="1:27">
      <c r="A331" s="1" t="s">
        <v>200</v>
      </c>
      <c r="B331" s="1">
        <v>2020</v>
      </c>
      <c r="C331" s="1">
        <v>2860.8400879999999</v>
      </c>
      <c r="D331" s="1">
        <v>93.581001279999995</v>
      </c>
      <c r="E331" s="1">
        <v>100</v>
      </c>
      <c r="F331" s="1">
        <v>0</v>
      </c>
      <c r="G331" s="1">
        <v>0</v>
      </c>
      <c r="H331" s="1">
        <v>0</v>
      </c>
      <c r="I331" s="1" t="s">
        <v>272</v>
      </c>
      <c r="J331" s="1" t="s">
        <v>272</v>
      </c>
      <c r="K331" s="1" t="s">
        <v>272</v>
      </c>
      <c r="L331" s="1" t="s">
        <v>272</v>
      </c>
      <c r="M331" s="1" t="s">
        <v>272</v>
      </c>
      <c r="N331" s="1" t="s">
        <v>272</v>
      </c>
      <c r="O331" s="1" t="s">
        <v>272</v>
      </c>
      <c r="P331" s="1" t="s">
        <v>272</v>
      </c>
      <c r="Q331" s="2" t="str">
        <f t="shared" si="11"/>
        <v/>
      </c>
      <c r="R331" s="1" t="str">
        <f t="shared" si="12"/>
        <v/>
      </c>
      <c r="S331" s="1" t="str">
        <f t="shared" si="13"/>
        <v/>
      </c>
      <c r="T331" s="1" t="str">
        <f t="shared" si="14"/>
        <v/>
      </c>
      <c r="U331" s="1">
        <f t="shared" si="15"/>
        <v>100</v>
      </c>
      <c r="V331" s="3" t="str">
        <f t="shared" si="16"/>
        <v>null</v>
      </c>
      <c r="W331" s="3" t="str">
        <f t="shared" si="17"/>
        <v>null</v>
      </c>
      <c r="X331" s="3" t="str">
        <f t="shared" si="18"/>
        <v/>
      </c>
      <c r="Y331" s="3" t="str">
        <f t="shared" si="19"/>
        <v/>
      </c>
      <c r="Z331" s="1" t="str">
        <f t="shared" si="20"/>
        <v/>
      </c>
      <c r="AA331" s="3" t="str">
        <f t="shared" si="21"/>
        <v/>
      </c>
    </row>
    <row r="332" spans="1:27">
      <c r="A332" s="1" t="s">
        <v>201</v>
      </c>
      <c r="B332" s="1">
        <v>2015</v>
      </c>
      <c r="C332" s="1">
        <v>2565.7080080000001</v>
      </c>
      <c r="D332" s="1">
        <v>98.944992069999998</v>
      </c>
      <c r="E332" s="1">
        <v>99.691501380000005</v>
      </c>
      <c r="F332" s="1">
        <v>0</v>
      </c>
      <c r="G332" s="1">
        <v>0.30849861699999997</v>
      </c>
      <c r="H332" s="1">
        <v>0</v>
      </c>
      <c r="I332" s="1" t="s">
        <v>272</v>
      </c>
      <c r="J332" s="1" t="s">
        <v>272</v>
      </c>
      <c r="K332" s="1" t="s">
        <v>272</v>
      </c>
      <c r="L332" s="1" t="s">
        <v>272</v>
      </c>
      <c r="M332" s="1" t="s">
        <v>272</v>
      </c>
      <c r="N332" s="1" t="s">
        <v>272</v>
      </c>
      <c r="O332" s="1" t="s">
        <v>272</v>
      </c>
      <c r="P332" s="1" t="s">
        <v>272</v>
      </c>
      <c r="Q332" s="2">
        <f t="shared" si="11"/>
        <v>5</v>
      </c>
      <c r="R332" s="1">
        <f t="shared" si="12"/>
        <v>-2.4679888000000004E-2</v>
      </c>
      <c r="S332" s="1" t="str">
        <f t="shared" si="13"/>
        <v>null</v>
      </c>
      <c r="T332" s="1" t="str">
        <f t="shared" si="14"/>
        <v>null</v>
      </c>
      <c r="U332" s="1">
        <f t="shared" si="15"/>
        <v>100</v>
      </c>
      <c r="V332" s="3" t="str">
        <f t="shared" si="16"/>
        <v>null</v>
      </c>
      <c r="W332" s="3" t="str">
        <f t="shared" si="17"/>
        <v>null</v>
      </c>
      <c r="X332" s="3" t="str">
        <f t="shared" si="18"/>
        <v>fullaccesss</v>
      </c>
      <c r="Y332" s="3" t="str">
        <f t="shared" si="19"/>
        <v/>
      </c>
      <c r="Z332" s="1" t="str">
        <f t="shared" si="20"/>
        <v/>
      </c>
      <c r="AA332" s="3" t="str">
        <f t="shared" si="21"/>
        <v>null</v>
      </c>
    </row>
    <row r="333" spans="1:27">
      <c r="A333" s="1" t="s">
        <v>201</v>
      </c>
      <c r="B333" s="1">
        <v>2020</v>
      </c>
      <c r="C333" s="1">
        <v>2881.0600589999999</v>
      </c>
      <c r="D333" s="1">
        <v>99.23500061</v>
      </c>
      <c r="E333" s="1">
        <v>99.568101940000005</v>
      </c>
      <c r="F333" s="1">
        <v>0</v>
      </c>
      <c r="G333" s="1">
        <v>0.4318980637</v>
      </c>
      <c r="H333" s="1">
        <v>0</v>
      </c>
      <c r="I333" s="1" t="s">
        <v>272</v>
      </c>
      <c r="J333" s="1" t="s">
        <v>272</v>
      </c>
      <c r="K333" s="1" t="s">
        <v>272</v>
      </c>
      <c r="L333" s="1" t="s">
        <v>272</v>
      </c>
      <c r="M333" s="1" t="s">
        <v>272</v>
      </c>
      <c r="N333" s="1" t="s">
        <v>272</v>
      </c>
      <c r="O333" s="1" t="s">
        <v>272</v>
      </c>
      <c r="P333" s="1" t="s">
        <v>272</v>
      </c>
      <c r="Q333" s="2" t="str">
        <f t="shared" si="11"/>
        <v/>
      </c>
      <c r="R333" s="1" t="str">
        <f t="shared" si="12"/>
        <v/>
      </c>
      <c r="S333" s="1" t="str">
        <f t="shared" si="13"/>
        <v/>
      </c>
      <c r="T333" s="1" t="str">
        <f t="shared" si="14"/>
        <v/>
      </c>
      <c r="U333" s="1">
        <f t="shared" si="15"/>
        <v>100</v>
      </c>
      <c r="V333" s="3" t="str">
        <f t="shared" si="16"/>
        <v>null</v>
      </c>
      <c r="W333" s="3" t="str">
        <f t="shared" si="17"/>
        <v>null</v>
      </c>
      <c r="X333" s="3" t="str">
        <f t="shared" si="18"/>
        <v/>
      </c>
      <c r="Y333" s="3" t="str">
        <f t="shared" si="19"/>
        <v/>
      </c>
      <c r="Z333" s="1" t="str">
        <f t="shared" si="20"/>
        <v/>
      </c>
      <c r="AA333" s="3" t="str">
        <f t="shared" si="21"/>
        <v/>
      </c>
    </row>
    <row r="334" spans="1:27">
      <c r="A334" s="1" t="s">
        <v>202</v>
      </c>
      <c r="B334" s="1">
        <v>2015</v>
      </c>
      <c r="C334" s="1">
        <v>50823.085939999997</v>
      </c>
      <c r="D334" s="1">
        <v>81.634002690000003</v>
      </c>
      <c r="E334" s="1">
        <v>99.472746409999999</v>
      </c>
      <c r="F334" s="1">
        <v>0</v>
      </c>
      <c r="G334" s="1">
        <v>0.5272535907</v>
      </c>
      <c r="H334" s="1">
        <v>0</v>
      </c>
      <c r="I334" s="1" t="s">
        <v>272</v>
      </c>
      <c r="J334" s="1" t="s">
        <v>272</v>
      </c>
      <c r="K334" s="1" t="s">
        <v>272</v>
      </c>
      <c r="L334" s="1" t="s">
        <v>272</v>
      </c>
      <c r="M334" s="1" t="s">
        <v>272</v>
      </c>
      <c r="N334" s="1" t="s">
        <v>272</v>
      </c>
      <c r="O334" s="1" t="s">
        <v>272</v>
      </c>
      <c r="P334" s="1" t="s">
        <v>272</v>
      </c>
      <c r="Q334" s="2">
        <f t="shared" si="11"/>
        <v>5</v>
      </c>
      <c r="R334" s="1">
        <f t="shared" si="12"/>
        <v>9.1730047999999439E-2</v>
      </c>
      <c r="S334" s="1" t="str">
        <f t="shared" si="13"/>
        <v>null</v>
      </c>
      <c r="T334" s="1" t="str">
        <f t="shared" si="14"/>
        <v>null</v>
      </c>
      <c r="U334" s="1">
        <f t="shared" si="15"/>
        <v>99</v>
      </c>
      <c r="V334" s="3" t="str">
        <f t="shared" si="16"/>
        <v>null</v>
      </c>
      <c r="W334" s="3" t="str">
        <f t="shared" si="17"/>
        <v>null</v>
      </c>
      <c r="X334" s="3" t="str">
        <f t="shared" si="18"/>
        <v/>
      </c>
      <c r="Y334" s="3" t="str">
        <f t="shared" si="19"/>
        <v/>
      </c>
      <c r="Z334" s="1" t="str">
        <f t="shared" si="20"/>
        <v/>
      </c>
      <c r="AA334" s="3" t="str">
        <f t="shared" si="21"/>
        <v>null</v>
      </c>
    </row>
    <row r="335" spans="1:27">
      <c r="A335" s="1" t="s">
        <v>202</v>
      </c>
      <c r="B335" s="1">
        <v>2020</v>
      </c>
      <c r="C335" s="1">
        <v>51269.183590000001</v>
      </c>
      <c r="D335" s="1">
        <v>81.414001459999994</v>
      </c>
      <c r="E335" s="1">
        <v>99.931396649999996</v>
      </c>
      <c r="F335" s="1">
        <v>0</v>
      </c>
      <c r="G335" s="1">
        <v>6.8603352960000002E-2</v>
      </c>
      <c r="H335" s="1">
        <v>0</v>
      </c>
      <c r="I335" s="1" t="s">
        <v>272</v>
      </c>
      <c r="J335" s="1" t="s">
        <v>272</v>
      </c>
      <c r="K335" s="1" t="s">
        <v>272</v>
      </c>
      <c r="L335" s="1" t="s">
        <v>272</v>
      </c>
      <c r="M335" s="1" t="s">
        <v>272</v>
      </c>
      <c r="N335" s="1" t="s">
        <v>272</v>
      </c>
      <c r="O335" s="1" t="s">
        <v>272</v>
      </c>
      <c r="P335" s="1" t="s">
        <v>272</v>
      </c>
      <c r="Q335" s="2" t="str">
        <f t="shared" si="11"/>
        <v/>
      </c>
      <c r="R335" s="1" t="str">
        <f t="shared" si="12"/>
        <v/>
      </c>
      <c r="S335" s="1" t="str">
        <f t="shared" si="13"/>
        <v/>
      </c>
      <c r="T335" s="1" t="str">
        <f t="shared" si="14"/>
        <v/>
      </c>
      <c r="U335" s="1">
        <f t="shared" si="15"/>
        <v>100</v>
      </c>
      <c r="V335" s="3" t="str">
        <f t="shared" si="16"/>
        <v>null</v>
      </c>
      <c r="W335" s="3" t="str">
        <f t="shared" si="17"/>
        <v>null</v>
      </c>
      <c r="X335" s="3" t="str">
        <f t="shared" si="18"/>
        <v/>
      </c>
      <c r="Y335" s="3" t="str">
        <f t="shared" si="19"/>
        <v/>
      </c>
      <c r="Z335" s="1" t="str">
        <f t="shared" si="20"/>
        <v/>
      </c>
      <c r="AA335" s="3" t="str">
        <f t="shared" si="21"/>
        <v/>
      </c>
    </row>
    <row r="336" spans="1:27">
      <c r="A336" s="1" t="s">
        <v>203</v>
      </c>
      <c r="B336" s="1">
        <v>2015</v>
      </c>
      <c r="C336" s="1">
        <v>4070.705078</v>
      </c>
      <c r="D336" s="1">
        <v>42.489997860000003</v>
      </c>
      <c r="E336" s="1">
        <v>88.576031900000004</v>
      </c>
      <c r="F336" s="1">
        <v>1.485629517</v>
      </c>
      <c r="G336" s="1">
        <v>9.9383385820000001</v>
      </c>
      <c r="H336" s="1">
        <v>0</v>
      </c>
      <c r="I336" s="1">
        <v>82.542490749999999</v>
      </c>
      <c r="J336" s="1">
        <v>1.4702224820000001</v>
      </c>
      <c r="K336" s="1">
        <v>15.987286770000001</v>
      </c>
      <c r="L336" s="1">
        <v>0</v>
      </c>
      <c r="M336" s="1">
        <v>96.742399399999996</v>
      </c>
      <c r="N336" s="1">
        <v>1.5064828610000001</v>
      </c>
      <c r="O336" s="1">
        <v>1.7511177389999999</v>
      </c>
      <c r="P336" s="1">
        <v>0</v>
      </c>
      <c r="Q336" s="2">
        <f t="shared" si="11"/>
        <v>5</v>
      </c>
      <c r="R336" s="1">
        <f t="shared" si="12"/>
        <v>0.39878606799999827</v>
      </c>
      <c r="S336" s="1">
        <f t="shared" si="13"/>
        <v>0.58770947399999895</v>
      </c>
      <c r="T336" s="1">
        <f t="shared" si="14"/>
        <v>0.12300901600000032</v>
      </c>
      <c r="U336" s="1">
        <f t="shared" si="15"/>
        <v>89</v>
      </c>
      <c r="V336" s="3">
        <f t="shared" si="16"/>
        <v>83</v>
      </c>
      <c r="W336" s="3">
        <f t="shared" si="17"/>
        <v>97</v>
      </c>
      <c r="X336" s="3" t="str">
        <f t="shared" si="18"/>
        <v/>
      </c>
      <c r="Y336" s="3" t="str">
        <f t="shared" si="19"/>
        <v/>
      </c>
      <c r="Z336" s="1" t="str">
        <f t="shared" si="20"/>
        <v/>
      </c>
      <c r="AA336" s="3">
        <f t="shared" si="21"/>
        <v>0.46470045799999865</v>
      </c>
    </row>
    <row r="337" spans="1:27">
      <c r="A337" s="1" t="s">
        <v>203</v>
      </c>
      <c r="B337" s="1">
        <v>2020</v>
      </c>
      <c r="C337" s="1">
        <v>4033.9628910000001</v>
      </c>
      <c r="D337" s="1">
        <v>42.849002839999997</v>
      </c>
      <c r="E337" s="1">
        <v>90.569962239999995</v>
      </c>
      <c r="F337" s="1">
        <v>1.519776762</v>
      </c>
      <c r="G337" s="1">
        <v>7.910260997</v>
      </c>
      <c r="H337" s="1">
        <v>0</v>
      </c>
      <c r="I337" s="1">
        <v>85.481038119999994</v>
      </c>
      <c r="J337" s="1">
        <v>1.52256302</v>
      </c>
      <c r="K337" s="1">
        <v>12.996398859999999</v>
      </c>
      <c r="L337" s="1">
        <v>0</v>
      </c>
      <c r="M337" s="1">
        <v>97.357444479999998</v>
      </c>
      <c r="N337" s="1">
        <v>1.516060408</v>
      </c>
      <c r="O337" s="1">
        <v>1.1264951110000001</v>
      </c>
      <c r="P337" s="1">
        <v>0</v>
      </c>
      <c r="Q337" s="2" t="str">
        <f t="shared" si="11"/>
        <v/>
      </c>
      <c r="R337" s="1" t="str">
        <f t="shared" si="12"/>
        <v/>
      </c>
      <c r="S337" s="1" t="str">
        <f t="shared" si="13"/>
        <v/>
      </c>
      <c r="T337" s="1" t="str">
        <f t="shared" si="14"/>
        <v/>
      </c>
      <c r="U337" s="1">
        <f t="shared" si="15"/>
        <v>91</v>
      </c>
      <c r="V337" s="3">
        <f t="shared" si="16"/>
        <v>85</v>
      </c>
      <c r="W337" s="3">
        <f t="shared" si="17"/>
        <v>97</v>
      </c>
      <c r="X337" s="3" t="str">
        <f t="shared" si="18"/>
        <v/>
      </c>
      <c r="Y337" s="3" t="str">
        <f t="shared" si="19"/>
        <v/>
      </c>
      <c r="Z337" s="1" t="str">
        <f t="shared" si="20"/>
        <v/>
      </c>
      <c r="AA337" s="3" t="str">
        <f t="shared" si="21"/>
        <v/>
      </c>
    </row>
    <row r="338" spans="1:27">
      <c r="A338" s="1" t="s">
        <v>204</v>
      </c>
      <c r="B338" s="1">
        <v>2015</v>
      </c>
      <c r="C338" s="1">
        <v>863.35900879999997</v>
      </c>
      <c r="D338" s="1">
        <v>99.339004520000003</v>
      </c>
      <c r="E338" s="1">
        <v>99.911530189999993</v>
      </c>
      <c r="F338" s="1">
        <v>0</v>
      </c>
      <c r="G338" s="1">
        <v>8.8469814100000002E-2</v>
      </c>
      <c r="H338" s="1">
        <v>0</v>
      </c>
      <c r="I338" s="1" t="s">
        <v>272</v>
      </c>
      <c r="J338" s="1" t="s">
        <v>272</v>
      </c>
      <c r="K338" s="1" t="s">
        <v>272</v>
      </c>
      <c r="L338" s="1" t="s">
        <v>272</v>
      </c>
      <c r="M338" s="1" t="s">
        <v>272</v>
      </c>
      <c r="N338" s="1" t="s">
        <v>272</v>
      </c>
      <c r="O338" s="1" t="s">
        <v>272</v>
      </c>
      <c r="P338" s="1" t="s">
        <v>272</v>
      </c>
      <c r="Q338" s="2">
        <f t="shared" si="11"/>
        <v>5</v>
      </c>
      <c r="R338" s="1">
        <f t="shared" si="12"/>
        <v>1.7693962000001305E-2</v>
      </c>
      <c r="S338" s="1" t="str">
        <f t="shared" si="13"/>
        <v>null</v>
      </c>
      <c r="T338" s="1" t="str">
        <f t="shared" si="14"/>
        <v>null</v>
      </c>
      <c r="U338" s="1">
        <f t="shared" si="15"/>
        <v>100</v>
      </c>
      <c r="V338" s="3" t="str">
        <f t="shared" si="16"/>
        <v>null</v>
      </c>
      <c r="W338" s="3" t="str">
        <f t="shared" si="17"/>
        <v>null</v>
      </c>
      <c r="X338" s="3" t="str">
        <f t="shared" si="18"/>
        <v>fullaccesss</v>
      </c>
      <c r="Y338" s="3" t="str">
        <f t="shared" si="19"/>
        <v/>
      </c>
      <c r="Z338" s="1" t="str">
        <f t="shared" si="20"/>
        <v/>
      </c>
      <c r="AA338" s="3" t="str">
        <f t="shared" si="21"/>
        <v>null</v>
      </c>
    </row>
    <row r="339" spans="1:27">
      <c r="A339" s="1" t="s">
        <v>204</v>
      </c>
      <c r="B339" s="1">
        <v>2020</v>
      </c>
      <c r="C339" s="1">
        <v>895.30798340000001</v>
      </c>
      <c r="D339" s="1">
        <v>99.659004210000006</v>
      </c>
      <c r="E339" s="1">
        <v>100</v>
      </c>
      <c r="F339" s="1">
        <v>0</v>
      </c>
      <c r="G339" s="1">
        <v>0</v>
      </c>
      <c r="H339" s="1">
        <v>0</v>
      </c>
      <c r="I339" s="1" t="s">
        <v>272</v>
      </c>
      <c r="J339" s="1" t="s">
        <v>272</v>
      </c>
      <c r="K339" s="1" t="s">
        <v>272</v>
      </c>
      <c r="L339" s="1" t="s">
        <v>272</v>
      </c>
      <c r="M339" s="1" t="s">
        <v>272</v>
      </c>
      <c r="N339" s="1" t="s">
        <v>272</v>
      </c>
      <c r="O339" s="1" t="s">
        <v>272</v>
      </c>
      <c r="P339" s="1" t="s">
        <v>272</v>
      </c>
      <c r="Q339" s="2" t="str">
        <f t="shared" si="11"/>
        <v/>
      </c>
      <c r="R339" s="1" t="str">
        <f t="shared" si="12"/>
        <v/>
      </c>
      <c r="S339" s="1" t="str">
        <f t="shared" si="13"/>
        <v/>
      </c>
      <c r="T339" s="1" t="str">
        <f t="shared" si="14"/>
        <v/>
      </c>
      <c r="U339" s="1">
        <f t="shared" si="15"/>
        <v>100</v>
      </c>
      <c r="V339" s="3" t="str">
        <f t="shared" si="16"/>
        <v>null</v>
      </c>
      <c r="W339" s="3" t="str">
        <f t="shared" si="17"/>
        <v>null</v>
      </c>
      <c r="X339" s="3" t="str">
        <f t="shared" si="18"/>
        <v/>
      </c>
      <c r="Y339" s="3" t="str">
        <f t="shared" si="19"/>
        <v/>
      </c>
      <c r="Z339" s="1" t="str">
        <f t="shared" si="20"/>
        <v/>
      </c>
      <c r="AA339" s="3" t="str">
        <f t="shared" si="21"/>
        <v/>
      </c>
    </row>
    <row r="340" spans="1:27">
      <c r="A340" s="1" t="s">
        <v>205</v>
      </c>
      <c r="B340" s="1">
        <v>2015</v>
      </c>
      <c r="C340" s="1">
        <v>19925.181639999999</v>
      </c>
      <c r="D340" s="1">
        <v>53.886997219999998</v>
      </c>
      <c r="E340" s="1">
        <v>100</v>
      </c>
      <c r="F340" s="1">
        <v>0</v>
      </c>
      <c r="G340" s="1">
        <v>0</v>
      </c>
      <c r="H340" s="1">
        <v>0</v>
      </c>
      <c r="I340" s="1">
        <v>100</v>
      </c>
      <c r="J340" s="1">
        <v>0</v>
      </c>
      <c r="K340" s="1">
        <v>0</v>
      </c>
      <c r="L340" s="1">
        <v>0</v>
      </c>
      <c r="M340" s="1">
        <v>100</v>
      </c>
      <c r="N340" s="1">
        <v>0</v>
      </c>
      <c r="O340" s="1">
        <v>0</v>
      </c>
      <c r="P340" s="1">
        <v>0</v>
      </c>
      <c r="Q340" s="2">
        <f t="shared" si="11"/>
        <v>5</v>
      </c>
      <c r="R340" s="1">
        <f t="shared" si="12"/>
        <v>0</v>
      </c>
      <c r="S340" s="1">
        <f t="shared" si="13"/>
        <v>0</v>
      </c>
      <c r="T340" s="1">
        <f t="shared" si="14"/>
        <v>0</v>
      </c>
      <c r="U340" s="1">
        <f t="shared" si="15"/>
        <v>100</v>
      </c>
      <c r="V340" s="3">
        <f t="shared" si="16"/>
        <v>100</v>
      </c>
      <c r="W340" s="3">
        <f t="shared" si="17"/>
        <v>100</v>
      </c>
      <c r="X340" s="3" t="str">
        <f t="shared" si="18"/>
        <v>fullaccesss</v>
      </c>
      <c r="Y340" s="3" t="str">
        <f t="shared" si="19"/>
        <v>fullaccesss</v>
      </c>
      <c r="Z340" s="1" t="str">
        <f t="shared" si="20"/>
        <v>fullaccesss</v>
      </c>
      <c r="AA340" s="3">
        <f t="shared" si="21"/>
        <v>0</v>
      </c>
    </row>
    <row r="341" spans="1:27">
      <c r="A341" s="1" t="s">
        <v>205</v>
      </c>
      <c r="B341" s="1">
        <v>2020</v>
      </c>
      <c r="C341" s="1">
        <v>19237.681639999999</v>
      </c>
      <c r="D341" s="1">
        <v>54.194000240000001</v>
      </c>
      <c r="E341" s="1">
        <v>100</v>
      </c>
      <c r="F341" s="1">
        <v>0</v>
      </c>
      <c r="G341" s="1">
        <v>0</v>
      </c>
      <c r="H341" s="1">
        <v>0</v>
      </c>
      <c r="I341" s="1">
        <v>100</v>
      </c>
      <c r="J341" s="1">
        <v>0</v>
      </c>
      <c r="K341" s="1">
        <v>0</v>
      </c>
      <c r="L341" s="1">
        <v>0</v>
      </c>
      <c r="M341" s="1">
        <v>100</v>
      </c>
      <c r="N341" s="1">
        <v>0</v>
      </c>
      <c r="O341" s="1">
        <v>0</v>
      </c>
      <c r="P341" s="1">
        <v>0</v>
      </c>
      <c r="Q341" s="2" t="str">
        <f t="shared" si="11"/>
        <v/>
      </c>
      <c r="R341" s="1" t="str">
        <f t="shared" si="12"/>
        <v/>
      </c>
      <c r="S341" s="1" t="str">
        <f t="shared" si="13"/>
        <v/>
      </c>
      <c r="T341" s="1" t="str">
        <f t="shared" si="14"/>
        <v/>
      </c>
      <c r="U341" s="1">
        <f t="shared" si="15"/>
        <v>100</v>
      </c>
      <c r="V341" s="3">
        <f t="shared" si="16"/>
        <v>100</v>
      </c>
      <c r="W341" s="3">
        <f t="shared" si="17"/>
        <v>100</v>
      </c>
      <c r="X341" s="3" t="str">
        <f t="shared" si="18"/>
        <v/>
      </c>
      <c r="Y341" s="3" t="str">
        <f t="shared" si="19"/>
        <v/>
      </c>
      <c r="Z341" s="1" t="str">
        <f t="shared" si="20"/>
        <v/>
      </c>
      <c r="AA341" s="3" t="str">
        <f t="shared" si="21"/>
        <v/>
      </c>
    </row>
    <row r="342" spans="1:27">
      <c r="A342" s="1" t="s">
        <v>206</v>
      </c>
      <c r="B342" s="1">
        <v>2015</v>
      </c>
      <c r="C342" s="1">
        <v>144985.0625</v>
      </c>
      <c r="D342" s="1">
        <v>74.049995420000002</v>
      </c>
      <c r="E342" s="1">
        <v>96.527155429999993</v>
      </c>
      <c r="F342" s="1">
        <v>0.62448653440000002</v>
      </c>
      <c r="G342" s="1">
        <v>2.848358036</v>
      </c>
      <c r="H342" s="1" t="s">
        <v>272</v>
      </c>
      <c r="I342" s="1">
        <v>90.110109010000002</v>
      </c>
      <c r="J342" s="1">
        <v>1.558364042</v>
      </c>
      <c r="K342" s="1">
        <v>8.3315269460000003</v>
      </c>
      <c r="L342" s="1" t="s">
        <v>272</v>
      </c>
      <c r="M342" s="1">
        <v>98.775934890000002</v>
      </c>
      <c r="N342" s="1">
        <v>0.29721946310000003</v>
      </c>
      <c r="O342" s="1">
        <v>0.72684564200000001</v>
      </c>
      <c r="P342" s="1">
        <v>0.2</v>
      </c>
      <c r="Q342" s="2">
        <f t="shared" si="11"/>
        <v>5</v>
      </c>
      <c r="R342" s="1">
        <f t="shared" si="12"/>
        <v>9.307852800000091E-2</v>
      </c>
      <c r="S342" s="1">
        <f t="shared" si="13"/>
        <v>0.2867985900000008</v>
      </c>
      <c r="T342" s="1">
        <f t="shared" si="14"/>
        <v>1.1332944000000112E-2</v>
      </c>
      <c r="U342" s="1">
        <f t="shared" si="15"/>
        <v>97</v>
      </c>
      <c r="V342" s="3">
        <f t="shared" si="16"/>
        <v>90</v>
      </c>
      <c r="W342" s="3">
        <f t="shared" si="17"/>
        <v>99</v>
      </c>
      <c r="X342" s="3" t="str">
        <f t="shared" si="18"/>
        <v/>
      </c>
      <c r="Y342" s="3" t="str">
        <f t="shared" si="19"/>
        <v/>
      </c>
      <c r="Z342" s="1" t="str">
        <f t="shared" si="20"/>
        <v/>
      </c>
      <c r="AA342" s="3">
        <f t="shared" si="21"/>
        <v>0.27546564600000067</v>
      </c>
    </row>
    <row r="343" spans="1:27">
      <c r="A343" s="1" t="s">
        <v>206</v>
      </c>
      <c r="B343" s="1">
        <v>2020</v>
      </c>
      <c r="C343" s="1">
        <v>145934.45310000001</v>
      </c>
      <c r="D343" s="1">
        <v>74.754005430000007</v>
      </c>
      <c r="E343" s="1">
        <v>96.992548069999998</v>
      </c>
      <c r="F343" s="1">
        <v>0.62199637659999996</v>
      </c>
      <c r="G343" s="1">
        <v>2.3854555500000001</v>
      </c>
      <c r="H343" s="1" t="s">
        <v>272</v>
      </c>
      <c r="I343" s="1">
        <v>91.544101960000006</v>
      </c>
      <c r="J343" s="1">
        <v>1.5831635129999999</v>
      </c>
      <c r="K343" s="1">
        <v>6.8727345309999999</v>
      </c>
      <c r="L343" s="1" t="s">
        <v>272</v>
      </c>
      <c r="M343" s="1">
        <v>98.832599610000003</v>
      </c>
      <c r="N343" s="1">
        <v>0.29738996870000001</v>
      </c>
      <c r="O343" s="1">
        <v>0.67001042359999996</v>
      </c>
      <c r="P343" s="1">
        <v>0.2</v>
      </c>
      <c r="Q343" s="2" t="str">
        <f t="shared" si="11"/>
        <v/>
      </c>
      <c r="R343" s="1" t="str">
        <f t="shared" si="12"/>
        <v/>
      </c>
      <c r="S343" s="1" t="str">
        <f t="shared" si="13"/>
        <v/>
      </c>
      <c r="T343" s="1" t="str">
        <f t="shared" si="14"/>
        <v/>
      </c>
      <c r="U343" s="1">
        <f t="shared" si="15"/>
        <v>97</v>
      </c>
      <c r="V343" s="3">
        <f t="shared" si="16"/>
        <v>92</v>
      </c>
      <c r="W343" s="3">
        <f t="shared" si="17"/>
        <v>99</v>
      </c>
      <c r="X343" s="3" t="str">
        <f t="shared" si="18"/>
        <v/>
      </c>
      <c r="Y343" s="3" t="str">
        <f t="shared" si="19"/>
        <v/>
      </c>
      <c r="Z343" s="1" t="str">
        <f t="shared" si="20"/>
        <v/>
      </c>
      <c r="AA343" s="3" t="str">
        <f t="shared" si="21"/>
        <v/>
      </c>
    </row>
    <row r="344" spans="1:27">
      <c r="A344" s="1" t="s">
        <v>207</v>
      </c>
      <c r="B344" s="1">
        <v>2015</v>
      </c>
      <c r="C344" s="1">
        <v>11369.066409999999</v>
      </c>
      <c r="D344" s="1">
        <v>17.003999709999999</v>
      </c>
      <c r="E344" s="1">
        <v>57.121774019999997</v>
      </c>
      <c r="F344" s="1">
        <v>22.154046149999999</v>
      </c>
      <c r="G344" s="1">
        <v>13.45013172</v>
      </c>
      <c r="H344" s="1">
        <v>7.2740481099999998</v>
      </c>
      <c r="I344" s="1">
        <v>52.352709560000001</v>
      </c>
      <c r="J344" s="1">
        <v>24.60883866</v>
      </c>
      <c r="K344" s="1">
        <v>14.980603540000001</v>
      </c>
      <c r="L344" s="1">
        <v>8.0578482410000003</v>
      </c>
      <c r="M344" s="1">
        <v>80.399437379999995</v>
      </c>
      <c r="N344" s="1">
        <v>10.172282620000001</v>
      </c>
      <c r="O344" s="1">
        <v>5.9799351659999997</v>
      </c>
      <c r="P344" s="1">
        <v>3.4483448280000002</v>
      </c>
      <c r="Q344" s="2">
        <f t="shared" si="11"/>
        <v>5</v>
      </c>
      <c r="R344" s="1">
        <f t="shared" si="12"/>
        <v>0.65854542600000054</v>
      </c>
      <c r="S344" s="1">
        <f t="shared" si="13"/>
        <v>0.65795173399999951</v>
      </c>
      <c r="T344" s="1">
        <f t="shared" si="14"/>
        <v>0.52363238400000112</v>
      </c>
      <c r="U344" s="1">
        <f t="shared" si="15"/>
        <v>57</v>
      </c>
      <c r="V344" s="3">
        <f t="shared" si="16"/>
        <v>52</v>
      </c>
      <c r="W344" s="3">
        <f t="shared" si="17"/>
        <v>80</v>
      </c>
      <c r="X344" s="3" t="str">
        <f t="shared" si="18"/>
        <v/>
      </c>
      <c r="Y344" s="3" t="str">
        <f t="shared" si="19"/>
        <v/>
      </c>
      <c r="Z344" s="1" t="str">
        <f t="shared" si="20"/>
        <v/>
      </c>
      <c r="AA344" s="3">
        <f t="shared" si="21"/>
        <v>0.13431934999999839</v>
      </c>
    </row>
    <row r="345" spans="1:27">
      <c r="A345" s="1" t="s">
        <v>207</v>
      </c>
      <c r="B345" s="1">
        <v>2020</v>
      </c>
      <c r="C345" s="1">
        <v>12952.208979999999</v>
      </c>
      <c r="D345" s="1">
        <v>17.432001110000002</v>
      </c>
      <c r="E345" s="1">
        <v>60.41450115</v>
      </c>
      <c r="F345" s="1">
        <v>22.3207193</v>
      </c>
      <c r="G345" s="1">
        <v>13.15480415</v>
      </c>
      <c r="H345" s="1">
        <v>4.1099754009999998</v>
      </c>
      <c r="I345" s="1">
        <v>55.642468229999999</v>
      </c>
      <c r="J345" s="1">
        <v>25.08014133</v>
      </c>
      <c r="K345" s="1">
        <v>14.778867719999999</v>
      </c>
      <c r="L345" s="1">
        <v>4.4985227139999999</v>
      </c>
      <c r="M345" s="1">
        <v>83.017599300000001</v>
      </c>
      <c r="N345" s="1">
        <v>9.2505062509999991</v>
      </c>
      <c r="O345" s="1">
        <v>5.4623030569999997</v>
      </c>
      <c r="P345" s="1">
        <v>2.2695913939999999</v>
      </c>
      <c r="Q345" s="2" t="str">
        <f t="shared" si="11"/>
        <v/>
      </c>
      <c r="R345" s="1" t="str">
        <f t="shared" si="12"/>
        <v/>
      </c>
      <c r="S345" s="1" t="str">
        <f t="shared" si="13"/>
        <v/>
      </c>
      <c r="T345" s="1" t="str">
        <f t="shared" si="14"/>
        <v/>
      </c>
      <c r="U345" s="1">
        <f t="shared" si="15"/>
        <v>60</v>
      </c>
      <c r="V345" s="3">
        <f t="shared" si="16"/>
        <v>56</v>
      </c>
      <c r="W345" s="3">
        <f t="shared" si="17"/>
        <v>83</v>
      </c>
      <c r="X345" s="3" t="str">
        <f t="shared" si="18"/>
        <v/>
      </c>
      <c r="Y345" s="3" t="str">
        <f t="shared" si="19"/>
        <v/>
      </c>
      <c r="Z345" s="1" t="str">
        <f t="shared" si="20"/>
        <v/>
      </c>
      <c r="AA345" s="3" t="str">
        <f t="shared" si="21"/>
        <v/>
      </c>
    </row>
    <row r="346" spans="1:27">
      <c r="A346" s="1" t="s">
        <v>209</v>
      </c>
      <c r="B346" s="1">
        <v>2015</v>
      </c>
      <c r="C346" s="1">
        <v>9.6959999999999997</v>
      </c>
      <c r="D346" s="1">
        <v>100</v>
      </c>
      <c r="E346" s="1">
        <v>99.964919269999996</v>
      </c>
      <c r="F346" s="1">
        <v>0</v>
      </c>
      <c r="G346" s="1">
        <v>3.5080726299999997E-2</v>
      </c>
      <c r="H346" s="1">
        <v>0</v>
      </c>
      <c r="I346" s="1" t="s">
        <v>272</v>
      </c>
      <c r="J346" s="1" t="s">
        <v>272</v>
      </c>
      <c r="K346" s="1" t="s">
        <v>272</v>
      </c>
      <c r="L346" s="1" t="s">
        <v>272</v>
      </c>
      <c r="M346" s="1">
        <v>99.964919269999996</v>
      </c>
      <c r="N346" s="1">
        <v>0</v>
      </c>
      <c r="O346" s="1">
        <v>3.5080726299999997E-2</v>
      </c>
      <c r="P346" s="1">
        <v>0</v>
      </c>
      <c r="Q346" s="2">
        <f t="shared" si="11"/>
        <v>5</v>
      </c>
      <c r="R346" s="1">
        <f t="shared" si="12"/>
        <v>7.0161460000008448E-3</v>
      </c>
      <c r="S346" s="1" t="str">
        <f t="shared" si="13"/>
        <v>null</v>
      </c>
      <c r="T346" s="1">
        <f t="shared" si="14"/>
        <v>7.0161460000008448E-3</v>
      </c>
      <c r="U346" s="1">
        <f t="shared" si="15"/>
        <v>100</v>
      </c>
      <c r="V346" s="3" t="str">
        <f t="shared" si="16"/>
        <v>null</v>
      </c>
      <c r="W346" s="3">
        <f t="shared" si="17"/>
        <v>100</v>
      </c>
      <c r="X346" s="3" t="str">
        <f t="shared" si="18"/>
        <v>fullaccesss</v>
      </c>
      <c r="Y346" s="3" t="str">
        <f t="shared" si="19"/>
        <v/>
      </c>
      <c r="Z346" s="1" t="str">
        <f t="shared" si="20"/>
        <v>fullaccesss</v>
      </c>
      <c r="AA346" s="3" t="str">
        <f t="shared" si="21"/>
        <v>null</v>
      </c>
    </row>
    <row r="347" spans="1:27">
      <c r="A347" s="1" t="s">
        <v>209</v>
      </c>
      <c r="B347" s="1">
        <v>2020</v>
      </c>
      <c r="C347" s="1">
        <v>9.8849999999999998</v>
      </c>
      <c r="D347" s="1">
        <v>100</v>
      </c>
      <c r="E347" s="1">
        <v>100</v>
      </c>
      <c r="F347" s="1">
        <v>0</v>
      </c>
      <c r="G347" s="1">
        <v>0</v>
      </c>
      <c r="H347" s="1">
        <v>0</v>
      </c>
      <c r="I347" s="1" t="s">
        <v>272</v>
      </c>
      <c r="J347" s="1" t="s">
        <v>272</v>
      </c>
      <c r="K347" s="1" t="s">
        <v>272</v>
      </c>
      <c r="L347" s="1" t="s">
        <v>272</v>
      </c>
      <c r="M347" s="1">
        <v>100</v>
      </c>
      <c r="N347" s="1">
        <v>0</v>
      </c>
      <c r="O347" s="1">
        <v>0</v>
      </c>
      <c r="P347" s="1">
        <v>0</v>
      </c>
      <c r="Q347" s="2" t="str">
        <f t="shared" si="11"/>
        <v/>
      </c>
      <c r="R347" s="1" t="str">
        <f t="shared" si="12"/>
        <v/>
      </c>
      <c r="S347" s="1" t="str">
        <f t="shared" si="13"/>
        <v/>
      </c>
      <c r="T347" s="1" t="str">
        <f t="shared" si="14"/>
        <v/>
      </c>
      <c r="U347" s="1">
        <f t="shared" si="15"/>
        <v>100</v>
      </c>
      <c r="V347" s="3" t="str">
        <f t="shared" si="16"/>
        <v>null</v>
      </c>
      <c r="W347" s="3">
        <f t="shared" si="17"/>
        <v>100</v>
      </c>
      <c r="X347" s="3" t="str">
        <f t="shared" si="18"/>
        <v/>
      </c>
      <c r="Y347" s="3" t="str">
        <f t="shared" si="19"/>
        <v/>
      </c>
      <c r="Z347" s="1" t="str">
        <f t="shared" si="20"/>
        <v/>
      </c>
      <c r="AA347" s="3" t="str">
        <f t="shared" si="21"/>
        <v/>
      </c>
    </row>
    <row r="348" spans="1:27">
      <c r="A348" s="1" t="s">
        <v>211</v>
      </c>
      <c r="B348" s="1">
        <v>2015</v>
      </c>
      <c r="C348" s="1">
        <v>5.8689999579999999</v>
      </c>
      <c r="D348" s="1">
        <v>39.539997100000001</v>
      </c>
      <c r="E348" s="1">
        <v>98.95</v>
      </c>
      <c r="F348" s="1">
        <v>0</v>
      </c>
      <c r="G348" s="1">
        <v>1.05</v>
      </c>
      <c r="H348" s="1">
        <v>0</v>
      </c>
      <c r="I348" s="1" t="s">
        <v>272</v>
      </c>
      <c r="J348" s="1" t="s">
        <v>272</v>
      </c>
      <c r="K348" s="1" t="s">
        <v>272</v>
      </c>
      <c r="L348" s="1" t="s">
        <v>272</v>
      </c>
      <c r="M348" s="1" t="s">
        <v>272</v>
      </c>
      <c r="N348" s="1" t="s">
        <v>272</v>
      </c>
      <c r="O348" s="1" t="s">
        <v>272</v>
      </c>
      <c r="P348" s="1" t="s">
        <v>272</v>
      </c>
      <c r="Q348" s="2">
        <f t="shared" si="11"/>
        <v>5</v>
      </c>
      <c r="R348" s="1">
        <f t="shared" si="12"/>
        <v>2.9999999999998295E-2</v>
      </c>
      <c r="S348" s="1" t="str">
        <f t="shared" si="13"/>
        <v>null</v>
      </c>
      <c r="T348" s="1" t="str">
        <f t="shared" si="14"/>
        <v>null</v>
      </c>
      <c r="U348" s="1">
        <f t="shared" si="15"/>
        <v>99</v>
      </c>
      <c r="V348" s="3" t="str">
        <f t="shared" si="16"/>
        <v>null</v>
      </c>
      <c r="W348" s="3" t="str">
        <f t="shared" si="17"/>
        <v>null</v>
      </c>
      <c r="X348" s="3" t="str">
        <f t="shared" si="18"/>
        <v/>
      </c>
      <c r="Y348" s="3" t="str">
        <f t="shared" si="19"/>
        <v/>
      </c>
      <c r="Z348" s="1" t="str">
        <f t="shared" si="20"/>
        <v/>
      </c>
      <c r="AA348" s="3" t="str">
        <f t="shared" si="21"/>
        <v>null</v>
      </c>
    </row>
    <row r="349" spans="1:27">
      <c r="A349" s="1" t="s">
        <v>211</v>
      </c>
      <c r="B349" s="1">
        <v>2020</v>
      </c>
      <c r="C349" s="1">
        <v>6.0710000989999999</v>
      </c>
      <c r="D349" s="1">
        <v>40.082000729999997</v>
      </c>
      <c r="E349" s="1">
        <v>99.1</v>
      </c>
      <c r="F349" s="1">
        <v>0</v>
      </c>
      <c r="G349" s="1">
        <v>0.9</v>
      </c>
      <c r="H349" s="1">
        <v>0</v>
      </c>
      <c r="I349" s="1" t="s">
        <v>272</v>
      </c>
      <c r="J349" s="1" t="s">
        <v>272</v>
      </c>
      <c r="K349" s="1" t="s">
        <v>272</v>
      </c>
      <c r="L349" s="1" t="s">
        <v>272</v>
      </c>
      <c r="M349" s="1" t="s">
        <v>272</v>
      </c>
      <c r="N349" s="1" t="s">
        <v>272</v>
      </c>
      <c r="O349" s="1" t="s">
        <v>272</v>
      </c>
      <c r="P349" s="1" t="s">
        <v>272</v>
      </c>
      <c r="Q349" s="2" t="str">
        <f t="shared" si="11"/>
        <v/>
      </c>
      <c r="R349" s="1" t="str">
        <f t="shared" si="12"/>
        <v/>
      </c>
      <c r="S349" s="1" t="str">
        <f t="shared" si="13"/>
        <v/>
      </c>
      <c r="T349" s="1" t="str">
        <f t="shared" si="14"/>
        <v/>
      </c>
      <c r="U349" s="1">
        <f t="shared" si="15"/>
        <v>99</v>
      </c>
      <c r="V349" s="3" t="str">
        <f t="shared" si="16"/>
        <v>null</v>
      </c>
      <c r="W349" s="3" t="str">
        <f t="shared" si="17"/>
        <v>null</v>
      </c>
      <c r="X349" s="3" t="str">
        <f t="shared" si="18"/>
        <v/>
      </c>
      <c r="Y349" s="3" t="str">
        <f t="shared" si="19"/>
        <v/>
      </c>
      <c r="Z349" s="1" t="str">
        <f t="shared" si="20"/>
        <v/>
      </c>
      <c r="AA349" s="3" t="str">
        <f t="shared" si="21"/>
        <v/>
      </c>
    </row>
    <row r="350" spans="1:27">
      <c r="A350" s="1" t="s">
        <v>213</v>
      </c>
      <c r="B350" s="1">
        <v>2015</v>
      </c>
      <c r="C350" s="1">
        <v>51.203998570000003</v>
      </c>
      <c r="D350" s="1">
        <v>30.82700157</v>
      </c>
      <c r="E350" s="1">
        <v>98.611854129999998</v>
      </c>
      <c r="F350" s="1">
        <v>0</v>
      </c>
      <c r="G350" s="1">
        <v>1.3881458680000001</v>
      </c>
      <c r="H350" s="1">
        <v>0</v>
      </c>
      <c r="I350" s="1" t="s">
        <v>272</v>
      </c>
      <c r="J350" s="1" t="s">
        <v>272</v>
      </c>
      <c r="K350" s="1" t="s">
        <v>272</v>
      </c>
      <c r="L350" s="1" t="s">
        <v>272</v>
      </c>
      <c r="M350" s="1" t="s">
        <v>272</v>
      </c>
      <c r="N350" s="1" t="s">
        <v>272</v>
      </c>
      <c r="O350" s="1" t="s">
        <v>272</v>
      </c>
      <c r="P350" s="1" t="s">
        <v>272</v>
      </c>
      <c r="Q350" s="2">
        <f t="shared" si="11"/>
        <v>2</v>
      </c>
      <c r="R350" s="1">
        <f t="shared" si="12"/>
        <v>0</v>
      </c>
      <c r="S350" s="1" t="str">
        <f t="shared" si="13"/>
        <v>null</v>
      </c>
      <c r="T350" s="1" t="str">
        <f t="shared" si="14"/>
        <v>null</v>
      </c>
      <c r="U350" s="1">
        <f t="shared" si="15"/>
        <v>99</v>
      </c>
      <c r="V350" s="3" t="str">
        <f t="shared" si="16"/>
        <v>null</v>
      </c>
      <c r="W350" s="3" t="str">
        <f t="shared" si="17"/>
        <v>null</v>
      </c>
      <c r="X350" s="3" t="str">
        <f t="shared" si="18"/>
        <v/>
      </c>
      <c r="Y350" s="3" t="str">
        <f t="shared" si="19"/>
        <v/>
      </c>
      <c r="Z350" s="1" t="str">
        <f t="shared" si="20"/>
        <v/>
      </c>
      <c r="AA350" s="3" t="str">
        <f t="shared" si="21"/>
        <v>null</v>
      </c>
    </row>
    <row r="351" spans="1:27">
      <c r="A351" s="1" t="s">
        <v>213</v>
      </c>
      <c r="B351" s="1">
        <v>2017</v>
      </c>
      <c r="C351" s="1">
        <v>52.0359993</v>
      </c>
      <c r="D351" s="1">
        <v>30.772996899999999</v>
      </c>
      <c r="E351" s="1">
        <v>98.611854129999998</v>
      </c>
      <c r="F351" s="1">
        <v>0</v>
      </c>
      <c r="G351" s="1">
        <v>1.3881458680000001</v>
      </c>
      <c r="H351" s="1">
        <v>0</v>
      </c>
      <c r="I351" s="1" t="s">
        <v>272</v>
      </c>
      <c r="J351" s="1" t="s">
        <v>272</v>
      </c>
      <c r="K351" s="1" t="s">
        <v>272</v>
      </c>
      <c r="L351" s="1" t="s">
        <v>272</v>
      </c>
      <c r="M351" s="1" t="s">
        <v>272</v>
      </c>
      <c r="N351" s="1" t="s">
        <v>272</v>
      </c>
      <c r="O351" s="1" t="s">
        <v>272</v>
      </c>
      <c r="P351" s="1" t="s">
        <v>272</v>
      </c>
      <c r="Q351" s="2" t="str">
        <f t="shared" si="11"/>
        <v/>
      </c>
      <c r="R351" s="1" t="str">
        <f t="shared" si="12"/>
        <v/>
      </c>
      <c r="S351" s="1" t="str">
        <f t="shared" si="13"/>
        <v/>
      </c>
      <c r="T351" s="1" t="str">
        <f t="shared" si="14"/>
        <v/>
      </c>
      <c r="U351" s="1">
        <f t="shared" si="15"/>
        <v>99</v>
      </c>
      <c r="V351" s="3" t="str">
        <f t="shared" si="16"/>
        <v>null</v>
      </c>
      <c r="W351" s="3" t="str">
        <f t="shared" si="17"/>
        <v>null</v>
      </c>
      <c r="X351" s="3" t="str">
        <f t="shared" si="18"/>
        <v/>
      </c>
      <c r="Y351" s="3" t="str">
        <f t="shared" si="19"/>
        <v/>
      </c>
      <c r="Z351" s="1" t="str">
        <f t="shared" si="20"/>
        <v/>
      </c>
      <c r="AA351" s="3" t="str">
        <f t="shared" si="21"/>
        <v/>
      </c>
    </row>
    <row r="352" spans="1:27">
      <c r="A352" s="1" t="s">
        <v>214</v>
      </c>
      <c r="B352" s="1">
        <v>2015</v>
      </c>
      <c r="C352" s="1">
        <v>179.1309967</v>
      </c>
      <c r="D352" s="1">
        <v>18.51499939</v>
      </c>
      <c r="E352" s="1">
        <v>95.568094279999997</v>
      </c>
      <c r="F352" s="1">
        <v>1.790210415</v>
      </c>
      <c r="G352" s="1">
        <v>2.6416953030000001</v>
      </c>
      <c r="H352" s="1">
        <v>0</v>
      </c>
      <c r="I352" s="1">
        <v>95.312261239999998</v>
      </c>
      <c r="J352" s="1">
        <v>1.707252381</v>
      </c>
      <c r="K352" s="1">
        <v>2.9804863780000002</v>
      </c>
      <c r="L352" s="1">
        <v>0</v>
      </c>
      <c r="M352" s="1">
        <v>96.694033180000005</v>
      </c>
      <c r="N352" s="1">
        <v>2.1553111029999998</v>
      </c>
      <c r="O352" s="1">
        <v>1.1506557129999999</v>
      </c>
      <c r="P352" s="1">
        <v>0</v>
      </c>
      <c r="Q352" s="2">
        <f t="shared" si="11"/>
        <v>5</v>
      </c>
      <c r="R352" s="1">
        <f t="shared" si="12"/>
        <v>0.26395005800000038</v>
      </c>
      <c r="S352" s="1">
        <f t="shared" si="13"/>
        <v>0.30035251799999968</v>
      </c>
      <c r="T352" s="1">
        <f t="shared" si="14"/>
        <v>0.10235780200000022</v>
      </c>
      <c r="U352" s="1">
        <f t="shared" si="15"/>
        <v>96</v>
      </c>
      <c r="V352" s="3">
        <f t="shared" si="16"/>
        <v>95</v>
      </c>
      <c r="W352" s="3">
        <f t="shared" si="17"/>
        <v>97</v>
      </c>
      <c r="X352" s="3" t="str">
        <f t="shared" si="18"/>
        <v/>
      </c>
      <c r="Y352" s="3" t="str">
        <f t="shared" si="19"/>
        <v/>
      </c>
      <c r="Z352" s="1" t="str">
        <f t="shared" si="20"/>
        <v/>
      </c>
      <c r="AA352" s="3">
        <f t="shared" si="21"/>
        <v>0.19799471599999946</v>
      </c>
    </row>
    <row r="353" spans="1:27">
      <c r="A353" s="1" t="s">
        <v>214</v>
      </c>
      <c r="B353" s="1">
        <v>2020</v>
      </c>
      <c r="C353" s="1">
        <v>183.62899780000001</v>
      </c>
      <c r="D353" s="1">
        <v>18.8409996</v>
      </c>
      <c r="E353" s="1">
        <v>96.887844569999999</v>
      </c>
      <c r="F353" s="1">
        <v>1.815652166</v>
      </c>
      <c r="G353" s="1">
        <v>1.296503269</v>
      </c>
      <c r="H353" s="1">
        <v>0</v>
      </c>
      <c r="I353" s="1">
        <v>96.814023829999996</v>
      </c>
      <c r="J353" s="1">
        <v>1.7341522549999999</v>
      </c>
      <c r="K353" s="1">
        <v>1.4518239180000001</v>
      </c>
      <c r="L353" s="1">
        <v>0</v>
      </c>
      <c r="M353" s="1">
        <v>97.205822190000006</v>
      </c>
      <c r="N353" s="1">
        <v>2.166718886</v>
      </c>
      <c r="O353" s="1">
        <v>0.6274589237</v>
      </c>
      <c r="P353" s="1">
        <v>0</v>
      </c>
      <c r="Q353" s="2" t="str">
        <f t="shared" si="11"/>
        <v/>
      </c>
      <c r="R353" s="1" t="str">
        <f t="shared" si="12"/>
        <v/>
      </c>
      <c r="S353" s="1" t="str">
        <f t="shared" si="13"/>
        <v/>
      </c>
      <c r="T353" s="1" t="str">
        <f t="shared" si="14"/>
        <v/>
      </c>
      <c r="U353" s="1">
        <f t="shared" si="15"/>
        <v>97</v>
      </c>
      <c r="V353" s="3">
        <f t="shared" si="16"/>
        <v>97</v>
      </c>
      <c r="W353" s="3">
        <f t="shared" si="17"/>
        <v>97</v>
      </c>
      <c r="X353" s="3" t="str">
        <f t="shared" si="18"/>
        <v/>
      </c>
      <c r="Y353" s="3" t="str">
        <f t="shared" si="19"/>
        <v/>
      </c>
      <c r="Z353" s="1" t="str">
        <f t="shared" si="20"/>
        <v/>
      </c>
      <c r="AA353" s="3" t="str">
        <f t="shared" si="21"/>
        <v/>
      </c>
    </row>
    <row r="354" spans="1:27">
      <c r="A354" s="1" t="s">
        <v>215</v>
      </c>
      <c r="B354" s="1">
        <v>2015</v>
      </c>
      <c r="C354" s="1">
        <v>35.865000000000002</v>
      </c>
      <c r="D354" s="1">
        <v>100</v>
      </c>
      <c r="E354" s="1">
        <v>99.999774200000004</v>
      </c>
      <c r="F354" s="1">
        <v>0</v>
      </c>
      <c r="G354" s="1">
        <v>2.2580388819999999E-4</v>
      </c>
      <c r="H354" s="1">
        <v>0</v>
      </c>
      <c r="I354" s="1" t="s">
        <v>272</v>
      </c>
      <c r="J354" s="1" t="s">
        <v>272</v>
      </c>
      <c r="K354" s="1" t="s">
        <v>272</v>
      </c>
      <c r="L354" s="1" t="s">
        <v>272</v>
      </c>
      <c r="M354" s="1">
        <v>99.999774200000004</v>
      </c>
      <c r="N354" s="1">
        <v>0</v>
      </c>
      <c r="O354" s="1">
        <v>2.2580388819999999E-4</v>
      </c>
      <c r="P354" s="1">
        <v>0</v>
      </c>
      <c r="Q354" s="2">
        <f t="shared" si="11"/>
        <v>5</v>
      </c>
      <c r="R354" s="1">
        <f t="shared" si="12"/>
        <v>-1.0056200000008175E-4</v>
      </c>
      <c r="S354" s="1" t="str">
        <f t="shared" si="13"/>
        <v>null</v>
      </c>
      <c r="T354" s="1">
        <f t="shared" si="14"/>
        <v>-1.0056200000008175E-4</v>
      </c>
      <c r="U354" s="1">
        <f t="shared" si="15"/>
        <v>100</v>
      </c>
      <c r="V354" s="3" t="str">
        <f t="shared" si="16"/>
        <v>null</v>
      </c>
      <c r="W354" s="3">
        <f t="shared" si="17"/>
        <v>100</v>
      </c>
      <c r="X354" s="3" t="str">
        <f t="shared" si="18"/>
        <v>fullaccesss</v>
      </c>
      <c r="Y354" s="3" t="str">
        <f t="shared" si="19"/>
        <v/>
      </c>
      <c r="Z354" s="1" t="str">
        <f t="shared" si="20"/>
        <v>fullaccesss</v>
      </c>
      <c r="AA354" s="3" t="str">
        <f t="shared" si="21"/>
        <v>null</v>
      </c>
    </row>
    <row r="355" spans="1:27">
      <c r="A355" s="1" t="s">
        <v>215</v>
      </c>
      <c r="B355" s="1">
        <v>2020</v>
      </c>
      <c r="C355" s="1">
        <v>38.658999999999999</v>
      </c>
      <c r="D355" s="1">
        <v>100</v>
      </c>
      <c r="E355" s="1">
        <v>99.999271390000004</v>
      </c>
      <c r="F355" s="1">
        <v>0</v>
      </c>
      <c r="G355" s="1">
        <v>7.2861055070000001E-4</v>
      </c>
      <c r="H355" s="1">
        <v>0</v>
      </c>
      <c r="I355" s="1" t="s">
        <v>272</v>
      </c>
      <c r="J355" s="1" t="s">
        <v>272</v>
      </c>
      <c r="K355" s="1" t="s">
        <v>272</v>
      </c>
      <c r="L355" s="1" t="s">
        <v>272</v>
      </c>
      <c r="M355" s="1">
        <v>99.999271390000004</v>
      </c>
      <c r="N355" s="1">
        <v>0</v>
      </c>
      <c r="O355" s="1">
        <v>7.2861055070000001E-4</v>
      </c>
      <c r="P355" s="1">
        <v>0</v>
      </c>
      <c r="Q355" s="2" t="str">
        <f t="shared" si="11"/>
        <v/>
      </c>
      <c r="R355" s="1" t="str">
        <f t="shared" si="12"/>
        <v/>
      </c>
      <c r="S355" s="1" t="str">
        <f t="shared" si="13"/>
        <v/>
      </c>
      <c r="T355" s="1" t="str">
        <f t="shared" si="14"/>
        <v/>
      </c>
      <c r="U355" s="1">
        <f t="shared" si="15"/>
        <v>100</v>
      </c>
      <c r="V355" s="3" t="str">
        <f t="shared" si="16"/>
        <v>null</v>
      </c>
      <c r="W355" s="3">
        <f t="shared" si="17"/>
        <v>100</v>
      </c>
      <c r="X355" s="3" t="str">
        <f t="shared" si="18"/>
        <v/>
      </c>
      <c r="Y355" s="3" t="str">
        <f t="shared" si="19"/>
        <v/>
      </c>
      <c r="Z355" s="1" t="str">
        <f t="shared" si="20"/>
        <v/>
      </c>
      <c r="AA355" s="3" t="str">
        <f t="shared" si="21"/>
        <v/>
      </c>
    </row>
    <row r="356" spans="1:27">
      <c r="A356" s="1" t="s">
        <v>216</v>
      </c>
      <c r="B356" s="1">
        <v>2015</v>
      </c>
      <c r="C356" s="1">
        <v>5.9920001029999996</v>
      </c>
      <c r="D356" s="1">
        <v>89.888999940000005</v>
      </c>
      <c r="E356" s="1">
        <v>91.4</v>
      </c>
      <c r="F356" s="1">
        <v>0</v>
      </c>
      <c r="G356" s="1">
        <v>8.6</v>
      </c>
      <c r="H356" s="1">
        <v>0</v>
      </c>
      <c r="I356" s="1" t="s">
        <v>272</v>
      </c>
      <c r="J356" s="1" t="s">
        <v>272</v>
      </c>
      <c r="K356" s="1" t="s">
        <v>272</v>
      </c>
      <c r="L356" s="1" t="s">
        <v>272</v>
      </c>
      <c r="M356" s="1" t="s">
        <v>272</v>
      </c>
      <c r="N356" s="1" t="s">
        <v>272</v>
      </c>
      <c r="O356" s="1" t="s">
        <v>272</v>
      </c>
      <c r="P356" s="1" t="s">
        <v>272</v>
      </c>
      <c r="Q356" s="2">
        <f t="shared" si="11"/>
        <v>5</v>
      </c>
      <c r="R356" s="1">
        <f t="shared" si="12"/>
        <v>0</v>
      </c>
      <c r="S356" s="1" t="str">
        <f t="shared" si="13"/>
        <v>null</v>
      </c>
      <c r="T356" s="1" t="str">
        <f t="shared" si="14"/>
        <v>null</v>
      </c>
      <c r="U356" s="1">
        <f t="shared" si="15"/>
        <v>91</v>
      </c>
      <c r="V356" s="3" t="str">
        <f t="shared" si="16"/>
        <v>null</v>
      </c>
      <c r="W356" s="3" t="str">
        <f t="shared" si="17"/>
        <v>null</v>
      </c>
      <c r="X356" s="3" t="str">
        <f t="shared" si="18"/>
        <v/>
      </c>
      <c r="Y356" s="3" t="str">
        <f t="shared" si="19"/>
        <v/>
      </c>
      <c r="Z356" s="1" t="str">
        <f t="shared" si="20"/>
        <v/>
      </c>
      <c r="AA356" s="3" t="str">
        <f t="shared" si="21"/>
        <v>null</v>
      </c>
    </row>
    <row r="357" spans="1:27">
      <c r="A357" s="1" t="s">
        <v>216</v>
      </c>
      <c r="B357" s="1">
        <v>2020</v>
      </c>
      <c r="C357" s="1">
        <v>5.795000076</v>
      </c>
      <c r="D357" s="1">
        <v>89.96199799</v>
      </c>
      <c r="E357" s="1">
        <v>91.4</v>
      </c>
      <c r="F357" s="1">
        <v>0</v>
      </c>
      <c r="G357" s="1">
        <v>8.6</v>
      </c>
      <c r="H357" s="1">
        <v>0</v>
      </c>
      <c r="I357" s="1" t="s">
        <v>272</v>
      </c>
      <c r="J357" s="1" t="s">
        <v>272</v>
      </c>
      <c r="K357" s="1" t="s">
        <v>272</v>
      </c>
      <c r="L357" s="1" t="s">
        <v>272</v>
      </c>
      <c r="M357" s="1" t="s">
        <v>272</v>
      </c>
      <c r="N357" s="1" t="s">
        <v>272</v>
      </c>
      <c r="O357" s="1" t="s">
        <v>272</v>
      </c>
      <c r="P357" s="1" t="s">
        <v>272</v>
      </c>
      <c r="Q357" s="2" t="str">
        <f t="shared" si="11"/>
        <v/>
      </c>
      <c r="R357" s="1" t="str">
        <f t="shared" si="12"/>
        <v/>
      </c>
      <c r="S357" s="1" t="str">
        <f t="shared" si="13"/>
        <v/>
      </c>
      <c r="T357" s="1" t="str">
        <f t="shared" si="14"/>
        <v/>
      </c>
      <c r="U357" s="1">
        <f t="shared" si="15"/>
        <v>91</v>
      </c>
      <c r="V357" s="3" t="str">
        <f t="shared" si="16"/>
        <v>null</v>
      </c>
      <c r="W357" s="3" t="str">
        <f t="shared" si="17"/>
        <v>null</v>
      </c>
      <c r="X357" s="3" t="str">
        <f t="shared" si="18"/>
        <v/>
      </c>
      <c r="Y357" s="3" t="str">
        <f t="shared" si="19"/>
        <v/>
      </c>
      <c r="Z357" s="1" t="str">
        <f t="shared" si="20"/>
        <v/>
      </c>
      <c r="AA357" s="3" t="str">
        <f t="shared" si="21"/>
        <v/>
      </c>
    </row>
    <row r="358" spans="1:27">
      <c r="A358" s="1" t="s">
        <v>217</v>
      </c>
      <c r="B358" s="1">
        <v>2015</v>
      </c>
      <c r="C358" s="1">
        <v>109.13500209999999</v>
      </c>
      <c r="D358" s="1">
        <v>50.963996889999997</v>
      </c>
      <c r="E358" s="1">
        <v>95.145219900000001</v>
      </c>
      <c r="F358" s="1">
        <v>0</v>
      </c>
      <c r="G358" s="1">
        <v>4.0700937030000004</v>
      </c>
      <c r="H358" s="1">
        <v>0.78468639699999998</v>
      </c>
      <c r="I358" s="1" t="s">
        <v>272</v>
      </c>
      <c r="J358" s="1" t="s">
        <v>272</v>
      </c>
      <c r="K358" s="1" t="s">
        <v>272</v>
      </c>
      <c r="L358" s="1" t="s">
        <v>272</v>
      </c>
      <c r="M358" s="1" t="s">
        <v>272</v>
      </c>
      <c r="N358" s="1" t="s">
        <v>272</v>
      </c>
      <c r="O358" s="1" t="s">
        <v>272</v>
      </c>
      <c r="P358" s="1" t="s">
        <v>272</v>
      </c>
      <c r="Q358" s="2">
        <f t="shared" si="11"/>
        <v>3</v>
      </c>
      <c r="R358" s="1">
        <f t="shared" si="12"/>
        <v>0</v>
      </c>
      <c r="S358" s="1" t="str">
        <f t="shared" si="13"/>
        <v>null</v>
      </c>
      <c r="T358" s="1" t="str">
        <f t="shared" si="14"/>
        <v>null</v>
      </c>
      <c r="U358" s="1">
        <f t="shared" si="15"/>
        <v>95</v>
      </c>
      <c r="V358" s="3" t="str">
        <f t="shared" si="16"/>
        <v>null</v>
      </c>
      <c r="W358" s="3" t="str">
        <f t="shared" si="17"/>
        <v>null</v>
      </c>
      <c r="X358" s="3" t="str">
        <f t="shared" si="18"/>
        <v/>
      </c>
      <c r="Y358" s="3" t="str">
        <f t="shared" si="19"/>
        <v/>
      </c>
      <c r="Z358" s="1" t="str">
        <f t="shared" si="20"/>
        <v/>
      </c>
      <c r="AA358" s="3" t="str">
        <f t="shared" si="21"/>
        <v>null</v>
      </c>
    </row>
    <row r="359" spans="1:27">
      <c r="A359" s="1" t="s">
        <v>217</v>
      </c>
      <c r="B359" s="1">
        <v>2018</v>
      </c>
      <c r="C359" s="1">
        <v>110.2099991</v>
      </c>
      <c r="D359" s="1">
        <v>52.197998050000002</v>
      </c>
      <c r="E359" s="1">
        <v>95.145219900000001</v>
      </c>
      <c r="F359" s="1">
        <v>0</v>
      </c>
      <c r="G359" s="1">
        <v>4.8547801000000002</v>
      </c>
      <c r="H359" s="1" t="s">
        <v>272</v>
      </c>
      <c r="I359" s="1" t="s">
        <v>272</v>
      </c>
      <c r="J359" s="1" t="s">
        <v>272</v>
      </c>
      <c r="K359" s="1" t="s">
        <v>272</v>
      </c>
      <c r="L359" s="1" t="s">
        <v>272</v>
      </c>
      <c r="M359" s="1" t="s">
        <v>272</v>
      </c>
      <c r="N359" s="1" t="s">
        <v>272</v>
      </c>
      <c r="O359" s="1" t="s">
        <v>272</v>
      </c>
      <c r="P359" s="1" t="s">
        <v>272</v>
      </c>
      <c r="Q359" s="2" t="str">
        <f t="shared" si="11"/>
        <v/>
      </c>
      <c r="R359" s="1" t="str">
        <f t="shared" si="12"/>
        <v/>
      </c>
      <c r="S359" s="1" t="str">
        <f t="shared" si="13"/>
        <v/>
      </c>
      <c r="T359" s="1" t="str">
        <f t="shared" si="14"/>
        <v/>
      </c>
      <c r="U359" s="1">
        <f t="shared" si="15"/>
        <v>95</v>
      </c>
      <c r="V359" s="3" t="str">
        <f t="shared" si="16"/>
        <v>null</v>
      </c>
      <c r="W359" s="3" t="str">
        <f t="shared" si="17"/>
        <v>null</v>
      </c>
      <c r="X359" s="3" t="str">
        <f t="shared" si="18"/>
        <v/>
      </c>
      <c r="Y359" s="3" t="str">
        <f t="shared" si="19"/>
        <v/>
      </c>
      <c r="Z359" s="1" t="str">
        <f t="shared" si="20"/>
        <v/>
      </c>
      <c r="AA359" s="3" t="str">
        <f t="shared" si="21"/>
        <v/>
      </c>
    </row>
    <row r="360" spans="1:27">
      <c r="A360" s="1" t="s">
        <v>218</v>
      </c>
      <c r="B360" s="1">
        <v>2015</v>
      </c>
      <c r="C360" s="1">
        <v>193.5099945</v>
      </c>
      <c r="D360" s="1">
        <v>18.914001460000001</v>
      </c>
      <c r="E360" s="1">
        <v>91.321397360000006</v>
      </c>
      <c r="F360" s="1">
        <v>6.4992812960000004</v>
      </c>
      <c r="G360" s="1">
        <v>1.929815904</v>
      </c>
      <c r="H360" s="1">
        <v>0.24950544129999999</v>
      </c>
      <c r="I360" s="1">
        <v>91.386415650000004</v>
      </c>
      <c r="J360" s="1">
        <v>6.194005024</v>
      </c>
      <c r="K360" s="1">
        <v>2.1485295340000001</v>
      </c>
      <c r="L360" s="1">
        <v>0.2710497959</v>
      </c>
      <c r="M360" s="1">
        <v>91.042648679999999</v>
      </c>
      <c r="N360" s="1">
        <v>7.8080270609999998</v>
      </c>
      <c r="O360" s="1">
        <v>0.9921814015</v>
      </c>
      <c r="P360" s="1">
        <v>0.15714285710000001</v>
      </c>
      <c r="Q360" s="2">
        <f t="shared" si="11"/>
        <v>5</v>
      </c>
      <c r="R360" s="1">
        <f t="shared" si="12"/>
        <v>0.10326543799999968</v>
      </c>
      <c r="S360" s="1">
        <f t="shared" si="13"/>
        <v>7.8781444000000533E-2</v>
      </c>
      <c r="T360" s="1">
        <f t="shared" si="14"/>
        <v>0.21170826400000067</v>
      </c>
      <c r="U360" s="1">
        <f t="shared" si="15"/>
        <v>91</v>
      </c>
      <c r="V360" s="3">
        <f t="shared" si="16"/>
        <v>91</v>
      </c>
      <c r="W360" s="3">
        <f t="shared" si="17"/>
        <v>91</v>
      </c>
      <c r="X360" s="3" t="str">
        <f t="shared" si="18"/>
        <v/>
      </c>
      <c r="Y360" s="3" t="str">
        <f t="shared" si="19"/>
        <v/>
      </c>
      <c r="Z360" s="1" t="str">
        <f t="shared" si="20"/>
        <v/>
      </c>
      <c r="AA360" s="3">
        <f t="shared" si="21"/>
        <v>-0.13292682000000014</v>
      </c>
    </row>
    <row r="361" spans="1:27">
      <c r="A361" s="1" t="s">
        <v>218</v>
      </c>
      <c r="B361" s="1">
        <v>2020</v>
      </c>
      <c r="C361" s="1">
        <v>198.4100037</v>
      </c>
      <c r="D361" s="1">
        <v>17.888999940000001</v>
      </c>
      <c r="E361" s="1">
        <v>91.837724550000004</v>
      </c>
      <c r="F361" s="1">
        <v>6.5208999519999997</v>
      </c>
      <c r="G361" s="1">
        <v>1.4186234280000001</v>
      </c>
      <c r="H361" s="1">
        <v>0.22275206789999999</v>
      </c>
      <c r="I361" s="1">
        <v>91.780322870000006</v>
      </c>
      <c r="J361" s="1">
        <v>6.2207033389999999</v>
      </c>
      <c r="K361" s="1">
        <v>1.7276921599999999</v>
      </c>
      <c r="L361" s="1">
        <v>0.2712816327</v>
      </c>
      <c r="M361" s="1">
        <v>92.101190000000003</v>
      </c>
      <c r="N361" s="1">
        <v>7.8988100000000001</v>
      </c>
      <c r="O361" s="1">
        <v>0</v>
      </c>
      <c r="P361" s="1">
        <v>0</v>
      </c>
      <c r="Q361" s="2" t="str">
        <f t="shared" si="11"/>
        <v/>
      </c>
      <c r="R361" s="1" t="str">
        <f t="shared" si="12"/>
        <v/>
      </c>
      <c r="S361" s="1" t="str">
        <f t="shared" si="13"/>
        <v/>
      </c>
      <c r="T361" s="1" t="str">
        <f t="shared" si="14"/>
        <v/>
      </c>
      <c r="U361" s="1">
        <f t="shared" si="15"/>
        <v>92</v>
      </c>
      <c r="V361" s="3">
        <f t="shared" si="16"/>
        <v>92</v>
      </c>
      <c r="W361" s="3">
        <f t="shared" si="17"/>
        <v>92</v>
      </c>
      <c r="X361" s="3" t="str">
        <f t="shared" si="18"/>
        <v/>
      </c>
      <c r="Y361" s="3" t="str">
        <f t="shared" si="19"/>
        <v/>
      </c>
      <c r="Z361" s="1" t="str">
        <f t="shared" si="20"/>
        <v/>
      </c>
      <c r="AA361" s="3" t="str">
        <f t="shared" si="21"/>
        <v/>
      </c>
    </row>
    <row r="362" spans="1:27">
      <c r="A362" s="1" t="s">
        <v>219</v>
      </c>
      <c r="B362" s="1">
        <v>2015</v>
      </c>
      <c r="C362" s="1">
        <v>33.270000459999999</v>
      </c>
      <c r="D362" s="1">
        <v>96.738998409999994</v>
      </c>
      <c r="E362" s="1">
        <v>100</v>
      </c>
      <c r="F362" s="1">
        <v>0</v>
      </c>
      <c r="G362" s="1">
        <v>0</v>
      </c>
      <c r="H362" s="1">
        <v>0</v>
      </c>
      <c r="I362" s="1" t="s">
        <v>272</v>
      </c>
      <c r="J362" s="1" t="s">
        <v>272</v>
      </c>
      <c r="K362" s="1" t="s">
        <v>272</v>
      </c>
      <c r="L362" s="1" t="s">
        <v>272</v>
      </c>
      <c r="M362" s="1" t="s">
        <v>272</v>
      </c>
      <c r="N362" s="1" t="s">
        <v>272</v>
      </c>
      <c r="O362" s="1" t="s">
        <v>272</v>
      </c>
      <c r="P362" s="1" t="s">
        <v>272</v>
      </c>
      <c r="Q362" s="2">
        <f t="shared" si="11"/>
        <v>5</v>
      </c>
      <c r="R362" s="1">
        <f t="shared" si="12"/>
        <v>0</v>
      </c>
      <c r="S362" s="1" t="str">
        <f t="shared" si="13"/>
        <v>null</v>
      </c>
      <c r="T362" s="1" t="str">
        <f t="shared" si="14"/>
        <v>null</v>
      </c>
      <c r="U362" s="1">
        <f t="shared" si="15"/>
        <v>100</v>
      </c>
      <c r="V362" s="3" t="str">
        <f t="shared" si="16"/>
        <v>null</v>
      </c>
      <c r="W362" s="3" t="str">
        <f t="shared" si="17"/>
        <v>null</v>
      </c>
      <c r="X362" s="3" t="str">
        <f t="shared" si="18"/>
        <v>fullaccesss</v>
      </c>
      <c r="Y362" s="3" t="str">
        <f t="shared" si="19"/>
        <v/>
      </c>
      <c r="Z362" s="1" t="str">
        <f t="shared" si="20"/>
        <v/>
      </c>
      <c r="AA362" s="3" t="str">
        <f t="shared" si="21"/>
        <v>null</v>
      </c>
    </row>
    <row r="363" spans="1:27">
      <c r="A363" s="1" t="s">
        <v>219</v>
      </c>
      <c r="B363" s="1">
        <v>2020</v>
      </c>
      <c r="C363" s="1">
        <v>33.937999730000001</v>
      </c>
      <c r="D363" s="1">
        <v>97.499000550000005</v>
      </c>
      <c r="E363" s="1">
        <v>100</v>
      </c>
      <c r="F363" s="1">
        <v>0</v>
      </c>
      <c r="G363" s="1">
        <v>0</v>
      </c>
      <c r="H363" s="1">
        <v>0</v>
      </c>
      <c r="I363" s="1" t="s">
        <v>272</v>
      </c>
      <c r="J363" s="1" t="s">
        <v>272</v>
      </c>
      <c r="K363" s="1" t="s">
        <v>272</v>
      </c>
      <c r="L363" s="1" t="s">
        <v>272</v>
      </c>
      <c r="M363" s="1" t="s">
        <v>272</v>
      </c>
      <c r="N363" s="1" t="s">
        <v>272</v>
      </c>
      <c r="O363" s="1" t="s">
        <v>272</v>
      </c>
      <c r="P363" s="1" t="s">
        <v>272</v>
      </c>
      <c r="Q363" s="2" t="str">
        <f t="shared" si="11"/>
        <v/>
      </c>
      <c r="R363" s="1" t="str">
        <f t="shared" si="12"/>
        <v/>
      </c>
      <c r="S363" s="1" t="str">
        <f t="shared" si="13"/>
        <v/>
      </c>
      <c r="T363" s="1" t="str">
        <f t="shared" si="14"/>
        <v/>
      </c>
      <c r="U363" s="1">
        <f t="shared" si="15"/>
        <v>100</v>
      </c>
      <c r="V363" s="3" t="str">
        <f t="shared" si="16"/>
        <v>null</v>
      </c>
      <c r="W363" s="3" t="str">
        <f t="shared" si="17"/>
        <v>null</v>
      </c>
      <c r="X363" s="3" t="str">
        <f t="shared" si="18"/>
        <v/>
      </c>
      <c r="Y363" s="3" t="str">
        <f t="shared" si="19"/>
        <v/>
      </c>
      <c r="Z363" s="1" t="str">
        <f t="shared" si="20"/>
        <v/>
      </c>
      <c r="AA363" s="3" t="str">
        <f t="shared" si="21"/>
        <v/>
      </c>
    </row>
    <row r="364" spans="1:27">
      <c r="A364" s="1" t="s">
        <v>220</v>
      </c>
      <c r="B364" s="1">
        <v>2015</v>
      </c>
      <c r="C364" s="1">
        <v>199.43899540000001</v>
      </c>
      <c r="D364" s="1">
        <v>70.174003600000006</v>
      </c>
      <c r="E364" s="1">
        <v>77.124229790000001</v>
      </c>
      <c r="F364" s="1">
        <v>18.34430682</v>
      </c>
      <c r="G364" s="1">
        <v>1.8595771210000001</v>
      </c>
      <c r="H364" s="1">
        <v>2.6718862689999998</v>
      </c>
      <c r="I364" s="1">
        <v>71.282716640000004</v>
      </c>
      <c r="J364" s="1">
        <v>17.07304495</v>
      </c>
      <c r="K364" s="1">
        <v>4.1184792559999996</v>
      </c>
      <c r="L364" s="1">
        <v>7.5257591550000003</v>
      </c>
      <c r="M364" s="1">
        <v>79.607040999999995</v>
      </c>
      <c r="N364" s="1">
        <v>18.884629660000002</v>
      </c>
      <c r="O364" s="1">
        <v>0.89948056340000004</v>
      </c>
      <c r="P364" s="1">
        <v>0.60884877739999999</v>
      </c>
      <c r="Q364" s="2">
        <f t="shared" si="11"/>
        <v>5</v>
      </c>
      <c r="R364" s="1">
        <f t="shared" si="12"/>
        <v>0.22044507399999985</v>
      </c>
      <c r="S364" s="1">
        <f t="shared" si="13"/>
        <v>0.6035795699999994</v>
      </c>
      <c r="T364" s="1">
        <f t="shared" si="14"/>
        <v>-5.2996199999995495E-3</v>
      </c>
      <c r="U364" s="1">
        <f t="shared" si="15"/>
        <v>77</v>
      </c>
      <c r="V364" s="3">
        <f t="shared" si="16"/>
        <v>71</v>
      </c>
      <c r="W364" s="3">
        <f t="shared" si="17"/>
        <v>80</v>
      </c>
      <c r="X364" s="3" t="str">
        <f t="shared" si="18"/>
        <v/>
      </c>
      <c r="Y364" s="3" t="str">
        <f t="shared" si="19"/>
        <v/>
      </c>
      <c r="Z364" s="1" t="str">
        <f t="shared" si="20"/>
        <v/>
      </c>
      <c r="AA364" s="3">
        <f t="shared" si="21"/>
        <v>0.6088791899999989</v>
      </c>
    </row>
    <row r="365" spans="1:27">
      <c r="A365" s="1" t="s">
        <v>220</v>
      </c>
      <c r="B365" s="1">
        <v>2020</v>
      </c>
      <c r="C365" s="1">
        <v>219.16099550000001</v>
      </c>
      <c r="D365" s="1">
        <v>74.354003910000003</v>
      </c>
      <c r="E365" s="1">
        <v>78.22645516</v>
      </c>
      <c r="F365" s="1">
        <v>20.237982980000002</v>
      </c>
      <c r="G365" s="1">
        <v>0.44351992839999999</v>
      </c>
      <c r="H365" s="1">
        <v>1.0920419299999999</v>
      </c>
      <c r="I365" s="1">
        <v>74.300614490000001</v>
      </c>
      <c r="J365" s="1">
        <v>19.711842579999999</v>
      </c>
      <c r="K365" s="1">
        <v>1.7294057039999999</v>
      </c>
      <c r="L365" s="1">
        <v>4.2581372279999998</v>
      </c>
      <c r="M365" s="1">
        <v>79.580542899999998</v>
      </c>
      <c r="N365" s="1">
        <v>20.419457099999999</v>
      </c>
      <c r="O365" s="1">
        <v>0</v>
      </c>
      <c r="P365" s="1">
        <v>0</v>
      </c>
      <c r="Q365" s="2" t="str">
        <f t="shared" si="11"/>
        <v/>
      </c>
      <c r="R365" s="1" t="str">
        <f t="shared" si="12"/>
        <v/>
      </c>
      <c r="S365" s="1" t="str">
        <f t="shared" si="13"/>
        <v/>
      </c>
      <c r="T365" s="1" t="str">
        <f t="shared" si="14"/>
        <v/>
      </c>
      <c r="U365" s="1">
        <f t="shared" si="15"/>
        <v>78</v>
      </c>
      <c r="V365" s="3">
        <f t="shared" si="16"/>
        <v>74</v>
      </c>
      <c r="W365" s="3">
        <f t="shared" si="17"/>
        <v>80</v>
      </c>
      <c r="X365" s="3" t="str">
        <f t="shared" si="18"/>
        <v/>
      </c>
      <c r="Y365" s="3" t="str">
        <f t="shared" si="19"/>
        <v/>
      </c>
      <c r="Z365" s="1" t="str">
        <f t="shared" si="20"/>
        <v/>
      </c>
      <c r="AA365" s="3" t="str">
        <f t="shared" si="21"/>
        <v/>
      </c>
    </row>
    <row r="366" spans="1:27">
      <c r="A366" s="1" t="s">
        <v>221</v>
      </c>
      <c r="B366" s="1">
        <v>2015</v>
      </c>
      <c r="C366" s="1">
        <v>31717.675780000001</v>
      </c>
      <c r="D366" s="1">
        <v>83.180000309999997</v>
      </c>
      <c r="E366" s="1">
        <v>99.548026379999996</v>
      </c>
      <c r="F366" s="1">
        <v>0</v>
      </c>
      <c r="G366" s="1">
        <v>0.45197361660000002</v>
      </c>
      <c r="H366" s="1">
        <v>0</v>
      </c>
      <c r="I366" s="1" t="s">
        <v>272</v>
      </c>
      <c r="J366" s="1" t="s">
        <v>272</v>
      </c>
      <c r="K366" s="1" t="s">
        <v>272</v>
      </c>
      <c r="L366" s="1" t="s">
        <v>272</v>
      </c>
      <c r="M366" s="1" t="s">
        <v>272</v>
      </c>
      <c r="N366" s="1" t="s">
        <v>272</v>
      </c>
      <c r="O366" s="1" t="s">
        <v>272</v>
      </c>
      <c r="P366" s="1" t="s">
        <v>272</v>
      </c>
      <c r="Q366" s="2">
        <f t="shared" si="11"/>
        <v>5</v>
      </c>
      <c r="R366" s="1">
        <f t="shared" si="12"/>
        <v>9.0394724000000787E-2</v>
      </c>
      <c r="S366" s="1" t="str">
        <f t="shared" si="13"/>
        <v>null</v>
      </c>
      <c r="T366" s="1" t="str">
        <f t="shared" si="14"/>
        <v>null</v>
      </c>
      <c r="U366" s="1">
        <f t="shared" si="15"/>
        <v>100</v>
      </c>
      <c r="V366" s="3" t="str">
        <f t="shared" si="16"/>
        <v>null</v>
      </c>
      <c r="W366" s="3" t="str">
        <f t="shared" si="17"/>
        <v>null</v>
      </c>
      <c r="X366" s="3" t="str">
        <f t="shared" si="18"/>
        <v>fullaccesss</v>
      </c>
      <c r="Y366" s="3" t="str">
        <f t="shared" si="19"/>
        <v/>
      </c>
      <c r="Z366" s="1" t="str">
        <f t="shared" si="20"/>
        <v/>
      </c>
      <c r="AA366" s="3" t="str">
        <f t="shared" si="21"/>
        <v>null</v>
      </c>
    </row>
    <row r="367" spans="1:27">
      <c r="A367" s="1" t="s">
        <v>221</v>
      </c>
      <c r="B367" s="1">
        <v>2020</v>
      </c>
      <c r="C367" s="1">
        <v>34813.867189999997</v>
      </c>
      <c r="D367" s="1">
        <v>84.287002560000005</v>
      </c>
      <c r="E367" s="1">
        <v>100</v>
      </c>
      <c r="F367" s="1">
        <v>0</v>
      </c>
      <c r="G367" s="1">
        <v>0</v>
      </c>
      <c r="H367" s="1">
        <v>0</v>
      </c>
      <c r="I367" s="1" t="s">
        <v>272</v>
      </c>
      <c r="J367" s="1" t="s">
        <v>272</v>
      </c>
      <c r="K367" s="1" t="s">
        <v>272</v>
      </c>
      <c r="L367" s="1" t="s">
        <v>272</v>
      </c>
      <c r="M367" s="1" t="s">
        <v>272</v>
      </c>
      <c r="N367" s="1" t="s">
        <v>272</v>
      </c>
      <c r="O367" s="1" t="s">
        <v>272</v>
      </c>
      <c r="P367" s="1" t="s">
        <v>272</v>
      </c>
      <c r="Q367" s="2" t="str">
        <f t="shared" si="11"/>
        <v/>
      </c>
      <c r="R367" s="1" t="str">
        <f t="shared" si="12"/>
        <v/>
      </c>
      <c r="S367" s="1" t="str">
        <f t="shared" si="13"/>
        <v/>
      </c>
      <c r="T367" s="1" t="str">
        <f t="shared" si="14"/>
        <v/>
      </c>
      <c r="U367" s="1">
        <f t="shared" si="15"/>
        <v>100</v>
      </c>
      <c r="V367" s="3" t="str">
        <f t="shared" si="16"/>
        <v>null</v>
      </c>
      <c r="W367" s="3" t="str">
        <f t="shared" si="17"/>
        <v>null</v>
      </c>
      <c r="X367" s="3" t="str">
        <f t="shared" si="18"/>
        <v/>
      </c>
      <c r="Y367" s="3" t="str">
        <f t="shared" si="19"/>
        <v/>
      </c>
      <c r="Z367" s="1" t="str">
        <f t="shared" si="20"/>
        <v/>
      </c>
      <c r="AA367" s="3" t="str">
        <f t="shared" si="21"/>
        <v/>
      </c>
    </row>
    <row r="368" spans="1:27">
      <c r="A368" s="1" t="s">
        <v>222</v>
      </c>
      <c r="B368" s="1">
        <v>2015</v>
      </c>
      <c r="C368" s="1">
        <v>14578.450199999999</v>
      </c>
      <c r="D368" s="1">
        <v>45.86200333</v>
      </c>
      <c r="E368" s="1">
        <v>78.602093620000005</v>
      </c>
      <c r="F368" s="1">
        <v>3.3921456349999999</v>
      </c>
      <c r="G368" s="1">
        <v>17.594913179999999</v>
      </c>
      <c r="H368" s="1">
        <v>0.41084756459999999</v>
      </c>
      <c r="I368" s="1">
        <v>65.941201559999996</v>
      </c>
      <c r="J368" s="1">
        <v>5.2534118540000003</v>
      </c>
      <c r="K368" s="1">
        <v>28.079192549999998</v>
      </c>
      <c r="L368" s="1">
        <v>0.72619403689999995</v>
      </c>
      <c r="M368" s="1">
        <v>93.547697760000005</v>
      </c>
      <c r="N368" s="1">
        <v>1.195005973</v>
      </c>
      <c r="O368" s="1">
        <v>5.2187007940000001</v>
      </c>
      <c r="P368" s="1">
        <v>3.8595473790000001E-2</v>
      </c>
      <c r="Q368" s="2">
        <f t="shared" si="11"/>
        <v>5</v>
      </c>
      <c r="R368" s="1">
        <f t="shared" si="12"/>
        <v>1.2606288339999991</v>
      </c>
      <c r="S368" s="1">
        <f t="shared" si="13"/>
        <v>1.8603453279999997</v>
      </c>
      <c r="T368" s="1">
        <f t="shared" si="14"/>
        <v>0.35480063599999878</v>
      </c>
      <c r="U368" s="1">
        <f t="shared" si="15"/>
        <v>79</v>
      </c>
      <c r="V368" s="3">
        <f t="shared" si="16"/>
        <v>66</v>
      </c>
      <c r="W368" s="3">
        <f t="shared" si="17"/>
        <v>94</v>
      </c>
      <c r="X368" s="3" t="str">
        <f t="shared" si="18"/>
        <v/>
      </c>
      <c r="Y368" s="3" t="str">
        <f t="shared" si="19"/>
        <v/>
      </c>
      <c r="Z368" s="1" t="str">
        <f t="shared" si="20"/>
        <v/>
      </c>
      <c r="AA368" s="3">
        <f t="shared" si="21"/>
        <v>1.5055446920000009</v>
      </c>
    </row>
    <row r="369" spans="1:27">
      <c r="A369" s="1" t="s">
        <v>222</v>
      </c>
      <c r="B369" s="1">
        <v>2020</v>
      </c>
      <c r="C369" s="1">
        <v>16743.929690000001</v>
      </c>
      <c r="D369" s="1">
        <v>48.122001650000001</v>
      </c>
      <c r="E369" s="1">
        <v>84.905237790000001</v>
      </c>
      <c r="F369" s="1">
        <v>2.3872175090000001</v>
      </c>
      <c r="G369" s="1">
        <v>12.60781566</v>
      </c>
      <c r="H369" s="1">
        <v>9.9729040419999998E-2</v>
      </c>
      <c r="I369" s="1">
        <v>75.242928199999994</v>
      </c>
      <c r="J369" s="1">
        <v>4.052382433</v>
      </c>
      <c r="K369" s="1">
        <v>20.512451739999999</v>
      </c>
      <c r="L369" s="1">
        <v>0.1922376314</v>
      </c>
      <c r="M369" s="1">
        <v>95.321700939999999</v>
      </c>
      <c r="N369" s="1">
        <v>0.59208365669999996</v>
      </c>
      <c r="O369" s="1">
        <v>4.0862154019999997</v>
      </c>
      <c r="P369" s="1">
        <v>0</v>
      </c>
      <c r="Q369" s="2" t="str">
        <f t="shared" si="11"/>
        <v/>
      </c>
      <c r="R369" s="1" t="str">
        <f t="shared" si="12"/>
        <v/>
      </c>
      <c r="S369" s="1" t="str">
        <f t="shared" si="13"/>
        <v/>
      </c>
      <c r="T369" s="1" t="str">
        <f t="shared" si="14"/>
        <v/>
      </c>
      <c r="U369" s="1">
        <f t="shared" si="15"/>
        <v>85</v>
      </c>
      <c r="V369" s="3">
        <f t="shared" si="16"/>
        <v>75</v>
      </c>
      <c r="W369" s="3">
        <f t="shared" si="17"/>
        <v>95</v>
      </c>
      <c r="X369" s="3" t="str">
        <f t="shared" si="18"/>
        <v/>
      </c>
      <c r="Y369" s="3" t="str">
        <f t="shared" si="19"/>
        <v/>
      </c>
      <c r="Z369" s="1" t="str">
        <f t="shared" si="20"/>
        <v/>
      </c>
      <c r="AA369" s="3" t="str">
        <f t="shared" si="21"/>
        <v/>
      </c>
    </row>
    <row r="370" spans="1:27">
      <c r="A370" s="1" t="s">
        <v>223</v>
      </c>
      <c r="B370" s="1">
        <v>2015</v>
      </c>
      <c r="C370" s="1">
        <v>8876.7773440000001</v>
      </c>
      <c r="D370" s="1">
        <v>55.695999149999999</v>
      </c>
      <c r="E370" s="1">
        <v>93.386457300000004</v>
      </c>
      <c r="F370" s="1">
        <v>6.1120960520000001</v>
      </c>
      <c r="G370" s="1">
        <v>0.48354363439999998</v>
      </c>
      <c r="H370" s="1">
        <v>1.7903015790000001E-2</v>
      </c>
      <c r="I370" s="1">
        <v>94.723529049999996</v>
      </c>
      <c r="J370" s="1">
        <v>4.6004382010000002</v>
      </c>
      <c r="K370" s="1">
        <v>0.63562326859999996</v>
      </c>
      <c r="L370" s="1">
        <v>4.0409477999999999E-2</v>
      </c>
      <c r="M370" s="1">
        <v>92.322868690000007</v>
      </c>
      <c r="N370" s="1">
        <v>7.3145611089999996</v>
      </c>
      <c r="O370" s="1">
        <v>0.36257019709999999</v>
      </c>
      <c r="P370" s="1">
        <v>0</v>
      </c>
      <c r="Q370" s="2">
        <f t="shared" si="11"/>
        <v>5</v>
      </c>
      <c r="R370" s="1">
        <f t="shared" si="12"/>
        <v>0.38181440399999927</v>
      </c>
      <c r="S370" s="1">
        <f t="shared" si="13"/>
        <v>0.22428914000000191</v>
      </c>
      <c r="T370" s="1">
        <f t="shared" si="14"/>
        <v>0.50974023999999929</v>
      </c>
      <c r="U370" s="1">
        <f t="shared" si="15"/>
        <v>93</v>
      </c>
      <c r="V370" s="3">
        <f t="shared" si="16"/>
        <v>95</v>
      </c>
      <c r="W370" s="3">
        <f t="shared" si="17"/>
        <v>92</v>
      </c>
      <c r="X370" s="3" t="str">
        <f t="shared" si="18"/>
        <v/>
      </c>
      <c r="Y370" s="3" t="str">
        <f t="shared" si="19"/>
        <v/>
      </c>
      <c r="Z370" s="1" t="str">
        <f t="shared" si="20"/>
        <v/>
      </c>
      <c r="AA370" s="3">
        <f t="shared" si="21"/>
        <v>-0.2854510999999974</v>
      </c>
    </row>
    <row r="371" spans="1:27">
      <c r="A371" s="1" t="s">
        <v>223</v>
      </c>
      <c r="B371" s="1">
        <v>2020</v>
      </c>
      <c r="C371" s="1">
        <v>8737.3701170000004</v>
      </c>
      <c r="D371" s="1">
        <v>56.445999149999999</v>
      </c>
      <c r="E371" s="1">
        <v>95.29552932</v>
      </c>
      <c r="F371" s="1">
        <v>4.244199279</v>
      </c>
      <c r="G371" s="1">
        <v>0.44372047780000001</v>
      </c>
      <c r="H371" s="1">
        <v>1.6550926470000001E-2</v>
      </c>
      <c r="I371" s="1">
        <v>95.844974750000006</v>
      </c>
      <c r="J371" s="1">
        <v>3.545864028</v>
      </c>
      <c r="K371" s="1">
        <v>0.57116028659999996</v>
      </c>
      <c r="L371" s="1">
        <v>3.8000931410000001E-2</v>
      </c>
      <c r="M371" s="1">
        <v>94.871569890000004</v>
      </c>
      <c r="N371" s="1">
        <v>4.7830378649999998</v>
      </c>
      <c r="O371" s="1">
        <v>0.3453922445</v>
      </c>
      <c r="P371" s="1">
        <v>0</v>
      </c>
      <c r="Q371" s="2" t="str">
        <f t="shared" si="11"/>
        <v/>
      </c>
      <c r="R371" s="1" t="str">
        <f t="shared" si="12"/>
        <v/>
      </c>
      <c r="S371" s="1" t="str">
        <f t="shared" si="13"/>
        <v/>
      </c>
      <c r="T371" s="1" t="str">
        <f t="shared" si="14"/>
        <v/>
      </c>
      <c r="U371" s="1">
        <f t="shared" si="15"/>
        <v>95</v>
      </c>
      <c r="V371" s="3">
        <f t="shared" si="16"/>
        <v>96</v>
      </c>
      <c r="W371" s="3">
        <f t="shared" si="17"/>
        <v>95</v>
      </c>
      <c r="X371" s="3" t="str">
        <f t="shared" si="18"/>
        <v/>
      </c>
      <c r="Y371" s="3" t="str">
        <f t="shared" si="19"/>
        <v/>
      </c>
      <c r="Z371" s="1" t="str">
        <f t="shared" si="20"/>
        <v/>
      </c>
      <c r="AA371" s="3" t="str">
        <f t="shared" si="21"/>
        <v/>
      </c>
    </row>
    <row r="372" spans="1:27">
      <c r="A372" s="1" t="s">
        <v>224</v>
      </c>
      <c r="B372" s="1">
        <v>2015</v>
      </c>
      <c r="C372" s="1">
        <v>94.981002810000007</v>
      </c>
      <c r="D372" s="1">
        <v>55.400001529999997</v>
      </c>
      <c r="E372" s="1">
        <v>96.250891499999994</v>
      </c>
      <c r="F372" s="1">
        <v>0</v>
      </c>
      <c r="G372" s="1">
        <v>0</v>
      </c>
      <c r="H372" s="1">
        <v>3.7491085019999999</v>
      </c>
      <c r="I372" s="1" t="s">
        <v>272</v>
      </c>
      <c r="J372" s="1" t="s">
        <v>272</v>
      </c>
      <c r="K372" s="1" t="s">
        <v>272</v>
      </c>
      <c r="L372" s="1" t="s">
        <v>272</v>
      </c>
      <c r="M372" s="1" t="s">
        <v>272</v>
      </c>
      <c r="N372" s="1" t="s">
        <v>272</v>
      </c>
      <c r="O372" s="1" t="s">
        <v>272</v>
      </c>
      <c r="P372" s="1" t="s">
        <v>272</v>
      </c>
      <c r="Q372" s="2">
        <f t="shared" si="11"/>
        <v>4</v>
      </c>
      <c r="R372" s="1">
        <f t="shared" si="12"/>
        <v>0.15021384750000166</v>
      </c>
      <c r="S372" s="1" t="str">
        <f t="shared" si="13"/>
        <v>null</v>
      </c>
      <c r="T372" s="1" t="str">
        <f t="shared" si="14"/>
        <v>null</v>
      </c>
      <c r="U372" s="1">
        <f t="shared" si="15"/>
        <v>96</v>
      </c>
      <c r="V372" s="3" t="str">
        <f t="shared" si="16"/>
        <v>null</v>
      </c>
      <c r="W372" s="3" t="str">
        <f t="shared" si="17"/>
        <v>null</v>
      </c>
      <c r="X372" s="3" t="str">
        <f t="shared" si="18"/>
        <v/>
      </c>
      <c r="Y372" s="3" t="str">
        <f t="shared" si="19"/>
        <v/>
      </c>
      <c r="Z372" s="1" t="str">
        <f t="shared" si="20"/>
        <v/>
      </c>
      <c r="AA372" s="3" t="str">
        <f t="shared" si="21"/>
        <v>null</v>
      </c>
    </row>
    <row r="373" spans="1:27">
      <c r="A373" s="1" t="s">
        <v>224</v>
      </c>
      <c r="B373" s="1">
        <v>2019</v>
      </c>
      <c r="C373" s="1">
        <v>97.740997309999997</v>
      </c>
      <c r="D373" s="1">
        <v>57.119003300000003</v>
      </c>
      <c r="E373" s="1">
        <v>96.851746890000001</v>
      </c>
      <c r="F373" s="1">
        <v>0</v>
      </c>
      <c r="G373" s="1">
        <v>3.1482531090000001</v>
      </c>
      <c r="H373" s="1" t="s">
        <v>272</v>
      </c>
      <c r="I373" s="1" t="s">
        <v>272</v>
      </c>
      <c r="J373" s="1" t="s">
        <v>272</v>
      </c>
      <c r="K373" s="1" t="s">
        <v>272</v>
      </c>
      <c r="L373" s="1" t="s">
        <v>272</v>
      </c>
      <c r="M373" s="1" t="s">
        <v>272</v>
      </c>
      <c r="N373" s="1" t="s">
        <v>272</v>
      </c>
      <c r="O373" s="1" t="s">
        <v>272</v>
      </c>
      <c r="P373" s="1" t="s">
        <v>272</v>
      </c>
      <c r="Q373" s="2" t="str">
        <f t="shared" si="11"/>
        <v/>
      </c>
      <c r="R373" s="1" t="str">
        <f t="shared" si="12"/>
        <v/>
      </c>
      <c r="S373" s="1" t="str">
        <f t="shared" si="13"/>
        <v/>
      </c>
      <c r="T373" s="1" t="str">
        <f t="shared" si="14"/>
        <v/>
      </c>
      <c r="U373" s="1">
        <f t="shared" si="15"/>
        <v>97</v>
      </c>
      <c r="V373" s="3" t="str">
        <f t="shared" si="16"/>
        <v>null</v>
      </c>
      <c r="W373" s="3" t="str">
        <f t="shared" si="17"/>
        <v>null</v>
      </c>
      <c r="X373" s="3" t="str">
        <f t="shared" si="18"/>
        <v/>
      </c>
      <c r="Y373" s="3" t="str">
        <f t="shared" si="19"/>
        <v/>
      </c>
      <c r="Z373" s="1" t="str">
        <f t="shared" si="20"/>
        <v/>
      </c>
      <c r="AA373" s="3" t="str">
        <f t="shared" si="21"/>
        <v/>
      </c>
    </row>
    <row r="374" spans="1:27">
      <c r="A374" s="1" t="s">
        <v>225</v>
      </c>
      <c r="B374" s="1">
        <v>2015</v>
      </c>
      <c r="C374" s="1">
        <v>7171.9091799999997</v>
      </c>
      <c r="D374" s="1">
        <v>40.828998570000003</v>
      </c>
      <c r="E374" s="1">
        <v>57.847465159999999</v>
      </c>
      <c r="F374" s="1">
        <v>8.1969579570000004</v>
      </c>
      <c r="G374" s="1">
        <v>15.91095456</v>
      </c>
      <c r="H374" s="1">
        <v>18.044622319999998</v>
      </c>
      <c r="I374" s="1">
        <v>45.529713839999999</v>
      </c>
      <c r="J374" s="1">
        <v>4.8404944719999996</v>
      </c>
      <c r="K374" s="1">
        <v>21.716961430000001</v>
      </c>
      <c r="L374" s="1">
        <v>27.912830270000001</v>
      </c>
      <c r="M374" s="1">
        <v>75.698837580000003</v>
      </c>
      <c r="N374" s="1">
        <v>13.06127759</v>
      </c>
      <c r="O374" s="1">
        <v>7.4966597610000001</v>
      </c>
      <c r="P374" s="1">
        <v>3.7432250680000001</v>
      </c>
      <c r="Q374" s="2">
        <f t="shared" si="11"/>
        <v>5</v>
      </c>
      <c r="R374" s="1">
        <f t="shared" si="12"/>
        <v>1.1837640919999999</v>
      </c>
      <c r="S374" s="1">
        <f t="shared" si="13"/>
        <v>1.4445977659999998</v>
      </c>
      <c r="T374" s="1">
        <f t="shared" si="14"/>
        <v>0.54256001599999881</v>
      </c>
      <c r="U374" s="1">
        <f t="shared" si="15"/>
        <v>58</v>
      </c>
      <c r="V374" s="3">
        <f t="shared" si="16"/>
        <v>46</v>
      </c>
      <c r="W374" s="3">
        <f t="shared" si="17"/>
        <v>76</v>
      </c>
      <c r="X374" s="3" t="str">
        <f t="shared" si="18"/>
        <v/>
      </c>
      <c r="Y374" s="3" t="str">
        <f t="shared" si="19"/>
        <v/>
      </c>
      <c r="Z374" s="1" t="str">
        <f t="shared" si="20"/>
        <v/>
      </c>
      <c r="AA374" s="3">
        <f t="shared" si="21"/>
        <v>0.90203775000000097</v>
      </c>
    </row>
    <row r="375" spans="1:27">
      <c r="A375" s="1" t="s">
        <v>225</v>
      </c>
      <c r="B375" s="1">
        <v>2020</v>
      </c>
      <c r="C375" s="1">
        <v>7976.9848629999997</v>
      </c>
      <c r="D375" s="1">
        <v>42.923000340000002</v>
      </c>
      <c r="E375" s="1">
        <v>63.766285619999998</v>
      </c>
      <c r="F375" s="1">
        <v>9.0233163570000006</v>
      </c>
      <c r="G375" s="1">
        <v>15.5639457</v>
      </c>
      <c r="H375" s="1">
        <v>11.646452330000001</v>
      </c>
      <c r="I375" s="1">
        <v>52.752702669999998</v>
      </c>
      <c r="J375" s="1">
        <v>5.2211368890000003</v>
      </c>
      <c r="K375" s="1">
        <v>23.142949089999998</v>
      </c>
      <c r="L375" s="1">
        <v>18.88321135</v>
      </c>
      <c r="M375" s="1">
        <v>78.411637659999997</v>
      </c>
      <c r="N375" s="1">
        <v>14.079277429999999</v>
      </c>
      <c r="O375" s="1">
        <v>5.4857354369999998</v>
      </c>
      <c r="P375" s="1">
        <v>2.0233494749999998</v>
      </c>
      <c r="Q375" s="2" t="str">
        <f t="shared" si="11"/>
        <v/>
      </c>
      <c r="R375" s="1" t="str">
        <f t="shared" si="12"/>
        <v/>
      </c>
      <c r="S375" s="1" t="str">
        <f t="shared" si="13"/>
        <v/>
      </c>
      <c r="T375" s="1" t="str">
        <f t="shared" si="14"/>
        <v/>
      </c>
      <c r="U375" s="1">
        <f t="shared" si="15"/>
        <v>64</v>
      </c>
      <c r="V375" s="3">
        <f t="shared" si="16"/>
        <v>53</v>
      </c>
      <c r="W375" s="3">
        <f t="shared" si="17"/>
        <v>78</v>
      </c>
      <c r="X375" s="3" t="str">
        <f t="shared" si="18"/>
        <v/>
      </c>
      <c r="Y375" s="3" t="str">
        <f t="shared" si="19"/>
        <v/>
      </c>
      <c r="Z375" s="1" t="str">
        <f t="shared" si="20"/>
        <v/>
      </c>
      <c r="AA375" s="3" t="str">
        <f t="shared" si="21"/>
        <v/>
      </c>
    </row>
    <row r="376" spans="1:27">
      <c r="A376" s="1" t="s">
        <v>226</v>
      </c>
      <c r="B376" s="1">
        <v>2015</v>
      </c>
      <c r="C376" s="1">
        <v>5592.1430659999996</v>
      </c>
      <c r="D376" s="1">
        <v>100</v>
      </c>
      <c r="E376" s="1">
        <v>100</v>
      </c>
      <c r="F376" s="1">
        <v>0</v>
      </c>
      <c r="G376" s="1">
        <v>0</v>
      </c>
      <c r="H376" s="1">
        <v>0</v>
      </c>
      <c r="I376" s="1" t="s">
        <v>272</v>
      </c>
      <c r="J376" s="1" t="s">
        <v>272</v>
      </c>
      <c r="K376" s="1" t="s">
        <v>272</v>
      </c>
      <c r="L376" s="1" t="s">
        <v>272</v>
      </c>
      <c r="M376" s="1">
        <v>100</v>
      </c>
      <c r="N376" s="1">
        <v>0</v>
      </c>
      <c r="O376" s="1">
        <v>0</v>
      </c>
      <c r="P376" s="1">
        <v>0</v>
      </c>
      <c r="Q376" s="2">
        <f t="shared" si="11"/>
        <v>5</v>
      </c>
      <c r="R376" s="1">
        <f t="shared" si="12"/>
        <v>0</v>
      </c>
      <c r="S376" s="1" t="str">
        <f t="shared" si="13"/>
        <v>null</v>
      </c>
      <c r="T376" s="1">
        <f t="shared" si="14"/>
        <v>0</v>
      </c>
      <c r="U376" s="1">
        <f t="shared" si="15"/>
        <v>100</v>
      </c>
      <c r="V376" s="3" t="str">
        <f t="shared" si="16"/>
        <v>null</v>
      </c>
      <c r="W376" s="3">
        <f t="shared" si="17"/>
        <v>100</v>
      </c>
      <c r="X376" s="3" t="str">
        <f t="shared" si="18"/>
        <v>fullaccesss</v>
      </c>
      <c r="Y376" s="3" t="str">
        <f t="shared" si="19"/>
        <v/>
      </c>
      <c r="Z376" s="1" t="str">
        <f t="shared" si="20"/>
        <v>fullaccesss</v>
      </c>
      <c r="AA376" s="3" t="str">
        <f t="shared" si="21"/>
        <v>null</v>
      </c>
    </row>
    <row r="377" spans="1:27">
      <c r="A377" s="1" t="s">
        <v>226</v>
      </c>
      <c r="B377" s="1">
        <v>2020</v>
      </c>
      <c r="C377" s="1">
        <v>5850.3427730000003</v>
      </c>
      <c r="D377" s="1">
        <v>100</v>
      </c>
      <c r="E377" s="1">
        <v>100</v>
      </c>
      <c r="F377" s="1">
        <v>0</v>
      </c>
      <c r="G377" s="1">
        <v>0</v>
      </c>
      <c r="H377" s="1">
        <v>0</v>
      </c>
      <c r="I377" s="1" t="s">
        <v>272</v>
      </c>
      <c r="J377" s="1" t="s">
        <v>272</v>
      </c>
      <c r="K377" s="1" t="s">
        <v>272</v>
      </c>
      <c r="L377" s="1" t="s">
        <v>272</v>
      </c>
      <c r="M377" s="1">
        <v>100</v>
      </c>
      <c r="N377" s="1">
        <v>0</v>
      </c>
      <c r="O377" s="1">
        <v>0</v>
      </c>
      <c r="P377" s="1">
        <v>0</v>
      </c>
      <c r="Q377" s="2" t="str">
        <f t="shared" si="11"/>
        <v/>
      </c>
      <c r="R377" s="1" t="str">
        <f t="shared" si="12"/>
        <v/>
      </c>
      <c r="S377" s="1" t="str">
        <f t="shared" si="13"/>
        <v/>
      </c>
      <c r="T377" s="1" t="str">
        <f t="shared" si="14"/>
        <v/>
      </c>
      <c r="U377" s="1">
        <f t="shared" si="15"/>
        <v>100</v>
      </c>
      <c r="V377" s="3" t="str">
        <f t="shared" si="16"/>
        <v>null</v>
      </c>
      <c r="W377" s="3">
        <f t="shared" si="17"/>
        <v>100</v>
      </c>
      <c r="X377" s="3" t="str">
        <f t="shared" si="18"/>
        <v/>
      </c>
      <c r="Y377" s="3" t="str">
        <f t="shared" si="19"/>
        <v/>
      </c>
      <c r="Z377" s="1" t="str">
        <f t="shared" si="20"/>
        <v/>
      </c>
      <c r="AA377" s="3" t="str">
        <f t="shared" si="21"/>
        <v/>
      </c>
    </row>
    <row r="378" spans="1:27">
      <c r="A378" s="1" t="s">
        <v>227</v>
      </c>
      <c r="B378" s="1">
        <v>2015</v>
      </c>
      <c r="C378" s="1">
        <v>39.966999049999998</v>
      </c>
      <c r="D378" s="1">
        <v>100</v>
      </c>
      <c r="E378" s="1">
        <v>95.311179330000002</v>
      </c>
      <c r="F378" s="1">
        <v>0</v>
      </c>
      <c r="G378" s="1">
        <v>4.6888206700000001</v>
      </c>
      <c r="H378" s="1">
        <v>0</v>
      </c>
      <c r="I378" s="1" t="s">
        <v>272</v>
      </c>
      <c r="J378" s="1" t="s">
        <v>272</v>
      </c>
      <c r="K378" s="1" t="s">
        <v>272</v>
      </c>
      <c r="L378" s="1" t="s">
        <v>272</v>
      </c>
      <c r="M378" s="1">
        <v>95.311179330000002</v>
      </c>
      <c r="N378" s="1">
        <v>0</v>
      </c>
      <c r="O378" s="1">
        <v>4.6888206700000001</v>
      </c>
      <c r="P378" s="1">
        <v>0</v>
      </c>
      <c r="Q378" s="2">
        <f t="shared" si="11"/>
        <v>2</v>
      </c>
      <c r="R378" s="1">
        <f t="shared" si="12"/>
        <v>0</v>
      </c>
      <c r="S378" s="1" t="str">
        <f t="shared" si="13"/>
        <v>null</v>
      </c>
      <c r="T378" s="1">
        <f t="shared" si="14"/>
        <v>0</v>
      </c>
      <c r="U378" s="1">
        <f t="shared" si="15"/>
        <v>95</v>
      </c>
      <c r="V378" s="3" t="str">
        <f t="shared" si="16"/>
        <v>null</v>
      </c>
      <c r="W378" s="3">
        <f t="shared" si="17"/>
        <v>95</v>
      </c>
      <c r="X378" s="3" t="str">
        <f t="shared" si="18"/>
        <v/>
      </c>
      <c r="Y378" s="3" t="str">
        <f t="shared" si="19"/>
        <v/>
      </c>
      <c r="Z378" s="1" t="str">
        <f t="shared" si="20"/>
        <v/>
      </c>
      <c r="AA378" s="3" t="str">
        <f t="shared" si="21"/>
        <v>null</v>
      </c>
    </row>
    <row r="379" spans="1:27">
      <c r="A379" s="1" t="s">
        <v>227</v>
      </c>
      <c r="B379" s="1">
        <v>2017</v>
      </c>
      <c r="C379" s="1">
        <v>41.444000240000001</v>
      </c>
      <c r="D379" s="1">
        <v>100</v>
      </c>
      <c r="E379" s="1">
        <v>95.311179330000002</v>
      </c>
      <c r="F379" s="1">
        <v>0</v>
      </c>
      <c r="G379" s="1">
        <v>4.6888206700000001</v>
      </c>
      <c r="H379" s="1">
        <v>0</v>
      </c>
      <c r="I379" s="1" t="s">
        <v>272</v>
      </c>
      <c r="J379" s="1" t="s">
        <v>272</v>
      </c>
      <c r="K379" s="1" t="s">
        <v>272</v>
      </c>
      <c r="L379" s="1" t="s">
        <v>272</v>
      </c>
      <c r="M379" s="1">
        <v>95.311179330000002</v>
      </c>
      <c r="N379" s="1">
        <v>0</v>
      </c>
      <c r="O379" s="1">
        <v>4.6888206700000001</v>
      </c>
      <c r="P379" s="1">
        <v>0</v>
      </c>
      <c r="Q379" s="2" t="str">
        <f t="shared" si="11"/>
        <v/>
      </c>
      <c r="R379" s="1" t="str">
        <f t="shared" si="12"/>
        <v/>
      </c>
      <c r="S379" s="1" t="str">
        <f t="shared" si="13"/>
        <v/>
      </c>
      <c r="T379" s="1" t="str">
        <f t="shared" si="14"/>
        <v/>
      </c>
      <c r="U379" s="1">
        <f t="shared" si="15"/>
        <v>95</v>
      </c>
      <c r="V379" s="3" t="str">
        <f t="shared" si="16"/>
        <v>null</v>
      </c>
      <c r="W379" s="3">
        <f t="shared" si="17"/>
        <v>95</v>
      </c>
      <c r="X379" s="3" t="str">
        <f t="shared" si="18"/>
        <v/>
      </c>
      <c r="Y379" s="3" t="str">
        <f t="shared" si="19"/>
        <v/>
      </c>
      <c r="Z379" s="1" t="str">
        <f t="shared" si="20"/>
        <v/>
      </c>
      <c r="AA379" s="3" t="str">
        <f t="shared" si="21"/>
        <v/>
      </c>
    </row>
    <row r="380" spans="1:27">
      <c r="A380" s="1" t="s">
        <v>229</v>
      </c>
      <c r="B380" s="1">
        <v>2015</v>
      </c>
      <c r="C380" s="1">
        <v>5435.6137699999999</v>
      </c>
      <c r="D380" s="1">
        <v>53.888999939999998</v>
      </c>
      <c r="E380" s="1">
        <v>99.787189130000002</v>
      </c>
      <c r="F380" s="1">
        <v>0.21281086739999999</v>
      </c>
      <c r="G380" s="1">
        <v>0</v>
      </c>
      <c r="H380" s="1">
        <v>0</v>
      </c>
      <c r="I380" s="1">
        <v>100</v>
      </c>
      <c r="J380" s="1">
        <v>0</v>
      </c>
      <c r="K380" s="1">
        <v>0</v>
      </c>
      <c r="L380" s="1">
        <v>0</v>
      </c>
      <c r="M380" s="1">
        <v>99.605094059999999</v>
      </c>
      <c r="N380" s="1">
        <v>0.39490593740000002</v>
      </c>
      <c r="O380" s="1">
        <v>0</v>
      </c>
      <c r="P380" s="1">
        <v>0</v>
      </c>
      <c r="Q380" s="2">
        <f t="shared" si="11"/>
        <v>5</v>
      </c>
      <c r="R380" s="1">
        <f t="shared" si="12"/>
        <v>1.018899999991163E-4</v>
      </c>
      <c r="S380" s="1">
        <f t="shared" si="13"/>
        <v>0</v>
      </c>
      <c r="T380" s="1">
        <f t="shared" si="14"/>
        <v>0</v>
      </c>
      <c r="U380" s="1">
        <f t="shared" si="15"/>
        <v>100</v>
      </c>
      <c r="V380" s="3">
        <f t="shared" si="16"/>
        <v>100</v>
      </c>
      <c r="W380" s="3">
        <f t="shared" si="17"/>
        <v>100</v>
      </c>
      <c r="X380" s="3" t="str">
        <f t="shared" si="18"/>
        <v>fullaccesss</v>
      </c>
      <c r="Y380" s="3" t="str">
        <f t="shared" si="19"/>
        <v>fullaccesss</v>
      </c>
      <c r="Z380" s="1" t="str">
        <f t="shared" si="20"/>
        <v>fullaccesss</v>
      </c>
      <c r="AA380" s="3">
        <f t="shared" si="21"/>
        <v>0</v>
      </c>
    </row>
    <row r="381" spans="1:27">
      <c r="A381" s="1" t="s">
        <v>229</v>
      </c>
      <c r="B381" s="1">
        <v>2020</v>
      </c>
      <c r="C381" s="1">
        <v>5459.6430659999996</v>
      </c>
      <c r="D381" s="1">
        <v>53.759998320000001</v>
      </c>
      <c r="E381" s="1">
        <v>99.787698579999997</v>
      </c>
      <c r="F381" s="1">
        <v>0.2123014241</v>
      </c>
      <c r="G381" s="1">
        <v>0</v>
      </c>
      <c r="H381" s="1">
        <v>0</v>
      </c>
      <c r="I381" s="1">
        <v>100</v>
      </c>
      <c r="J381" s="1">
        <v>0</v>
      </c>
      <c r="K381" s="1">
        <v>0</v>
      </c>
      <c r="L381" s="1">
        <v>0</v>
      </c>
      <c r="M381" s="1">
        <v>99.605094059999999</v>
      </c>
      <c r="N381" s="1">
        <v>0.39490593740000002</v>
      </c>
      <c r="O381" s="1">
        <v>0</v>
      </c>
      <c r="P381" s="1">
        <v>0</v>
      </c>
      <c r="Q381" s="2" t="str">
        <f t="shared" si="11"/>
        <v/>
      </c>
      <c r="R381" s="1" t="str">
        <f t="shared" si="12"/>
        <v/>
      </c>
      <c r="S381" s="1" t="str">
        <f t="shared" si="13"/>
        <v/>
      </c>
      <c r="T381" s="1" t="str">
        <f t="shared" si="14"/>
        <v/>
      </c>
      <c r="U381" s="1">
        <f t="shared" si="15"/>
        <v>100</v>
      </c>
      <c r="V381" s="3">
        <f t="shared" si="16"/>
        <v>100</v>
      </c>
      <c r="W381" s="3">
        <f t="shared" si="17"/>
        <v>100</v>
      </c>
      <c r="X381" s="3" t="str">
        <f t="shared" si="18"/>
        <v/>
      </c>
      <c r="Y381" s="3" t="str">
        <f t="shared" si="19"/>
        <v/>
      </c>
      <c r="Z381" s="1" t="str">
        <f t="shared" si="20"/>
        <v/>
      </c>
      <c r="AA381" s="3" t="str">
        <f t="shared" si="21"/>
        <v/>
      </c>
    </row>
    <row r="382" spans="1:27">
      <c r="A382" s="1" t="s">
        <v>230</v>
      </c>
      <c r="B382" s="1">
        <v>2015</v>
      </c>
      <c r="C382" s="1">
        <v>2071.1989749999998</v>
      </c>
      <c r="D382" s="1">
        <v>53.78100586</v>
      </c>
      <c r="E382" s="1">
        <v>99.5</v>
      </c>
      <c r="F382" s="1">
        <v>0</v>
      </c>
      <c r="G382" s="1">
        <v>0.5</v>
      </c>
      <c r="H382" s="1">
        <v>0</v>
      </c>
      <c r="I382" s="1" t="s">
        <v>272</v>
      </c>
      <c r="J382" s="1" t="s">
        <v>272</v>
      </c>
      <c r="K382" s="1" t="s">
        <v>272</v>
      </c>
      <c r="L382" s="1" t="s">
        <v>272</v>
      </c>
      <c r="M382" s="1" t="s">
        <v>272</v>
      </c>
      <c r="N382" s="1" t="s">
        <v>272</v>
      </c>
      <c r="O382" s="1" t="s">
        <v>272</v>
      </c>
      <c r="P382" s="1" t="s">
        <v>272</v>
      </c>
      <c r="Q382" s="2">
        <f t="shared" si="11"/>
        <v>5</v>
      </c>
      <c r="R382" s="1">
        <f t="shared" si="12"/>
        <v>0</v>
      </c>
      <c r="S382" s="1" t="str">
        <f t="shared" si="13"/>
        <v>null</v>
      </c>
      <c r="T382" s="1" t="str">
        <f t="shared" si="14"/>
        <v>null</v>
      </c>
      <c r="U382" s="1">
        <f t="shared" si="15"/>
        <v>100</v>
      </c>
      <c r="V382" s="3" t="str">
        <f t="shared" si="16"/>
        <v>null</v>
      </c>
      <c r="W382" s="3" t="str">
        <f t="shared" si="17"/>
        <v>null</v>
      </c>
      <c r="X382" s="3" t="str">
        <f t="shared" si="18"/>
        <v>fullaccesss</v>
      </c>
      <c r="Y382" s="3" t="str">
        <f t="shared" si="19"/>
        <v/>
      </c>
      <c r="Z382" s="1" t="str">
        <f t="shared" si="20"/>
        <v/>
      </c>
      <c r="AA382" s="3" t="str">
        <f t="shared" si="21"/>
        <v>null</v>
      </c>
    </row>
    <row r="383" spans="1:27">
      <c r="A383" s="1" t="s">
        <v>230</v>
      </c>
      <c r="B383" s="1">
        <v>2020</v>
      </c>
      <c r="C383" s="1">
        <v>2078.931885</v>
      </c>
      <c r="D383" s="1">
        <v>55.118003850000001</v>
      </c>
      <c r="E383" s="1">
        <v>99.5</v>
      </c>
      <c r="F383" s="1">
        <v>0</v>
      </c>
      <c r="G383" s="1">
        <v>0.5</v>
      </c>
      <c r="H383" s="1">
        <v>0</v>
      </c>
      <c r="I383" s="1" t="s">
        <v>272</v>
      </c>
      <c r="J383" s="1" t="s">
        <v>272</v>
      </c>
      <c r="K383" s="1" t="s">
        <v>272</v>
      </c>
      <c r="L383" s="1" t="s">
        <v>272</v>
      </c>
      <c r="M383" s="1" t="s">
        <v>272</v>
      </c>
      <c r="N383" s="1" t="s">
        <v>272</v>
      </c>
      <c r="O383" s="1" t="s">
        <v>272</v>
      </c>
      <c r="P383" s="1" t="s">
        <v>272</v>
      </c>
      <c r="Q383" s="2" t="str">
        <f t="shared" si="11"/>
        <v/>
      </c>
      <c r="R383" s="1" t="str">
        <f t="shared" si="12"/>
        <v/>
      </c>
      <c r="S383" s="1" t="str">
        <f t="shared" si="13"/>
        <v/>
      </c>
      <c r="T383" s="1" t="str">
        <f t="shared" si="14"/>
        <v/>
      </c>
      <c r="U383" s="1">
        <f t="shared" si="15"/>
        <v>100</v>
      </c>
      <c r="V383" s="3" t="str">
        <f t="shared" si="16"/>
        <v>null</v>
      </c>
      <c r="W383" s="3" t="str">
        <f t="shared" si="17"/>
        <v>null</v>
      </c>
      <c r="X383" s="3" t="str">
        <f t="shared" si="18"/>
        <v/>
      </c>
      <c r="Y383" s="3" t="str">
        <f t="shared" si="19"/>
        <v/>
      </c>
      <c r="Z383" s="1" t="str">
        <f t="shared" si="20"/>
        <v/>
      </c>
      <c r="AA383" s="3" t="str">
        <f t="shared" si="21"/>
        <v/>
      </c>
    </row>
    <row r="384" spans="1:27">
      <c r="A384" s="1" t="s">
        <v>231</v>
      </c>
      <c r="B384" s="1">
        <v>2015</v>
      </c>
      <c r="C384" s="1">
        <v>603.13299559999996</v>
      </c>
      <c r="D384" s="1">
        <v>22.359998699999998</v>
      </c>
      <c r="E384" s="1">
        <v>69.329918890000002</v>
      </c>
      <c r="F384" s="1">
        <v>5.7052676340000001</v>
      </c>
      <c r="G384" s="1">
        <v>18.988981249999998</v>
      </c>
      <c r="H384" s="1">
        <v>5.9758322210000001</v>
      </c>
      <c r="I384" s="1">
        <v>63.012138190000002</v>
      </c>
      <c r="J384" s="1">
        <v>6.3384682029999997</v>
      </c>
      <c r="K384" s="1">
        <v>23.284595639999999</v>
      </c>
      <c r="L384" s="1">
        <v>7.3647979660000003</v>
      </c>
      <c r="M384" s="1">
        <v>91.266972050000007</v>
      </c>
      <c r="N384" s="1">
        <v>3.5066230169999999</v>
      </c>
      <c r="O384" s="1">
        <v>4.0734396070000001</v>
      </c>
      <c r="P384" s="1">
        <v>1.1529653280000001</v>
      </c>
      <c r="Q384" s="2">
        <f t="shared" si="11"/>
        <v>5</v>
      </c>
      <c r="R384" s="1">
        <f t="shared" si="12"/>
        <v>-0.40577867000000084</v>
      </c>
      <c r="S384" s="1">
        <f t="shared" si="13"/>
        <v>-0.72137414000000033</v>
      </c>
      <c r="T384" s="1">
        <f t="shared" si="14"/>
        <v>2.8760967999997434E-2</v>
      </c>
      <c r="U384" s="1">
        <f t="shared" si="15"/>
        <v>69</v>
      </c>
      <c r="V384" s="3">
        <f t="shared" si="16"/>
        <v>63</v>
      </c>
      <c r="W384" s="3">
        <f t="shared" si="17"/>
        <v>91</v>
      </c>
      <c r="X384" s="3" t="str">
        <f t="shared" si="18"/>
        <v/>
      </c>
      <c r="Y384" s="3" t="str">
        <f t="shared" si="19"/>
        <v/>
      </c>
      <c r="Z384" s="1" t="str">
        <f t="shared" si="20"/>
        <v/>
      </c>
      <c r="AA384" s="3">
        <f t="shared" si="21"/>
        <v>-0.75013510799999772</v>
      </c>
    </row>
    <row r="385" spans="1:27">
      <c r="A385" s="1" t="s">
        <v>231</v>
      </c>
      <c r="B385" s="1">
        <v>2020</v>
      </c>
      <c r="C385" s="1">
        <v>686.87799070000005</v>
      </c>
      <c r="D385" s="1">
        <v>24.670000080000001</v>
      </c>
      <c r="E385" s="1">
        <v>67.301025539999998</v>
      </c>
      <c r="F385" s="1">
        <v>5.79547831</v>
      </c>
      <c r="G385" s="1">
        <v>21.267843129999999</v>
      </c>
      <c r="H385" s="1">
        <v>5.6356530249999999</v>
      </c>
      <c r="I385" s="1">
        <v>59.40526749</v>
      </c>
      <c r="J385" s="1">
        <v>6.5285236490000003</v>
      </c>
      <c r="K385" s="1">
        <v>26.955911</v>
      </c>
      <c r="L385" s="1">
        <v>7.1102978569999999</v>
      </c>
      <c r="M385" s="1">
        <v>91.410776889999994</v>
      </c>
      <c r="N385" s="1">
        <v>3.5571204249999999</v>
      </c>
      <c r="O385" s="1">
        <v>3.8992861369999998</v>
      </c>
      <c r="P385" s="1">
        <v>1.1328165530000001</v>
      </c>
      <c r="Q385" s="2" t="str">
        <f t="shared" si="11"/>
        <v/>
      </c>
      <c r="R385" s="1" t="str">
        <f t="shared" si="12"/>
        <v/>
      </c>
      <c r="S385" s="1" t="str">
        <f t="shared" si="13"/>
        <v/>
      </c>
      <c r="T385" s="1" t="str">
        <f t="shared" si="14"/>
        <v/>
      </c>
      <c r="U385" s="1">
        <f t="shared" si="15"/>
        <v>67</v>
      </c>
      <c r="V385" s="3">
        <f t="shared" si="16"/>
        <v>59</v>
      </c>
      <c r="W385" s="3">
        <f t="shared" si="17"/>
        <v>91</v>
      </c>
      <c r="X385" s="3" t="str">
        <f t="shared" si="18"/>
        <v/>
      </c>
      <c r="Y385" s="3" t="str">
        <f t="shared" si="19"/>
        <v/>
      </c>
      <c r="Z385" s="1" t="str">
        <f t="shared" si="20"/>
        <v/>
      </c>
      <c r="AA385" s="3" t="str">
        <f t="shared" si="21"/>
        <v/>
      </c>
    </row>
    <row r="386" spans="1:27">
      <c r="A386" s="1" t="s">
        <v>232</v>
      </c>
      <c r="B386" s="1">
        <v>2015</v>
      </c>
      <c r="C386" s="1">
        <v>13797.204100000001</v>
      </c>
      <c r="D386" s="1">
        <v>43.245002749999998</v>
      </c>
      <c r="E386" s="1">
        <v>48.711153680000002</v>
      </c>
      <c r="F386" s="1">
        <v>23.406187760000002</v>
      </c>
      <c r="G386" s="1">
        <v>20.154106760000001</v>
      </c>
      <c r="H386" s="1">
        <v>7.7285517889999999</v>
      </c>
      <c r="I386" s="1">
        <v>29.2281926</v>
      </c>
      <c r="J386" s="1">
        <v>28.887148530000001</v>
      </c>
      <c r="K386" s="1">
        <v>28.975788860000002</v>
      </c>
      <c r="L386" s="1">
        <v>12.908870009999999</v>
      </c>
      <c r="M386" s="1">
        <v>74.28070864</v>
      </c>
      <c r="N386" s="1">
        <v>16.212941990000001</v>
      </c>
      <c r="O386" s="1">
        <v>8.5764782830000001</v>
      </c>
      <c r="P386" s="1">
        <v>0.92987109219999997</v>
      </c>
      <c r="Q386" s="2">
        <f t="shared" si="11"/>
        <v>5</v>
      </c>
      <c r="R386" s="1">
        <f t="shared" si="12"/>
        <v>1.553163941999999</v>
      </c>
      <c r="S386" s="1">
        <f t="shared" si="13"/>
        <v>1.5695340439999996</v>
      </c>
      <c r="T386" s="1">
        <f t="shared" si="14"/>
        <v>0.96851942000000124</v>
      </c>
      <c r="U386" s="1">
        <f t="shared" si="15"/>
        <v>49</v>
      </c>
      <c r="V386" s="3">
        <f t="shared" si="16"/>
        <v>29</v>
      </c>
      <c r="W386" s="3">
        <f t="shared" si="17"/>
        <v>74</v>
      </c>
      <c r="X386" s="3" t="str">
        <f t="shared" si="18"/>
        <v/>
      </c>
      <c r="Y386" s="3" t="str">
        <f t="shared" si="19"/>
        <v/>
      </c>
      <c r="Z386" s="1" t="str">
        <f t="shared" si="20"/>
        <v/>
      </c>
      <c r="AA386" s="3">
        <f t="shared" si="21"/>
        <v>0.60101462399999839</v>
      </c>
    </row>
    <row r="387" spans="1:27">
      <c r="A387" s="1" t="s">
        <v>232</v>
      </c>
      <c r="B387" s="1">
        <v>2020</v>
      </c>
      <c r="C387" s="1">
        <v>15893.21875</v>
      </c>
      <c r="D387" s="1">
        <v>46.140998840000002</v>
      </c>
      <c r="E387" s="1">
        <v>56.476973389999998</v>
      </c>
      <c r="F387" s="1">
        <v>27.704199559999999</v>
      </c>
      <c r="G387" s="1">
        <v>13.41704303</v>
      </c>
      <c r="H387" s="1">
        <v>2.4017840210000001</v>
      </c>
      <c r="I387" s="1">
        <v>37.075862819999998</v>
      </c>
      <c r="J387" s="1">
        <v>36.643249580000003</v>
      </c>
      <c r="K387" s="1">
        <v>21.821495460000001</v>
      </c>
      <c r="L387" s="1">
        <v>4.4593921429999996</v>
      </c>
      <c r="M387" s="1">
        <v>79.123305740000006</v>
      </c>
      <c r="N387" s="1">
        <v>17.269915560000001</v>
      </c>
      <c r="O387" s="1">
        <v>3.6067787029999998</v>
      </c>
      <c r="P387" s="1">
        <v>0</v>
      </c>
      <c r="Q387" s="2" t="str">
        <f t="shared" si="11"/>
        <v/>
      </c>
      <c r="R387" s="1" t="str">
        <f t="shared" si="12"/>
        <v/>
      </c>
      <c r="S387" s="1" t="str">
        <f t="shared" si="13"/>
        <v/>
      </c>
      <c r="T387" s="1" t="str">
        <f t="shared" si="14"/>
        <v/>
      </c>
      <c r="U387" s="1">
        <f t="shared" si="15"/>
        <v>56</v>
      </c>
      <c r="V387" s="3">
        <f t="shared" si="16"/>
        <v>37</v>
      </c>
      <c r="W387" s="3">
        <f t="shared" si="17"/>
        <v>79</v>
      </c>
      <c r="X387" s="3" t="str">
        <f t="shared" si="18"/>
        <v/>
      </c>
      <c r="Y387" s="3" t="str">
        <f t="shared" si="19"/>
        <v/>
      </c>
      <c r="Z387" s="1" t="str">
        <f t="shared" si="20"/>
        <v/>
      </c>
      <c r="AA387" s="3" t="str">
        <f t="shared" si="21"/>
        <v/>
      </c>
    </row>
    <row r="388" spans="1:27">
      <c r="A388" s="1" t="s">
        <v>233</v>
      </c>
      <c r="B388" s="1">
        <v>2015</v>
      </c>
      <c r="C388" s="1">
        <v>55386.367189999997</v>
      </c>
      <c r="D388" s="1">
        <v>64.828002929999997</v>
      </c>
      <c r="E388" s="1">
        <v>91.876343869999999</v>
      </c>
      <c r="F388" s="1">
        <v>2.8031559650000002</v>
      </c>
      <c r="G388" s="1">
        <v>2.0788208039999998</v>
      </c>
      <c r="H388" s="1">
        <v>3.2416793589999999</v>
      </c>
      <c r="I388" s="1">
        <v>79.033738529999994</v>
      </c>
      <c r="J388" s="1">
        <v>6.6176674499999999</v>
      </c>
      <c r="K388" s="1">
        <v>5.1319458180000002</v>
      </c>
      <c r="L388" s="1">
        <v>9.216648202</v>
      </c>
      <c r="M388" s="1">
        <v>98.844013450000006</v>
      </c>
      <c r="N388" s="1">
        <v>0.73361828630000003</v>
      </c>
      <c r="O388" s="1">
        <v>0.42236825970000003</v>
      </c>
      <c r="P388" s="1">
        <v>0</v>
      </c>
      <c r="Q388" s="2">
        <f t="shared" si="11"/>
        <v>5</v>
      </c>
      <c r="R388" s="1">
        <f t="shared" si="12"/>
        <v>0.4017427139999995</v>
      </c>
      <c r="S388" s="1">
        <f t="shared" si="13"/>
        <v>0.85914853000000169</v>
      </c>
      <c r="T388" s="1">
        <f t="shared" si="14"/>
        <v>3.1450277999999797E-2</v>
      </c>
      <c r="U388" s="1">
        <f t="shared" si="15"/>
        <v>92</v>
      </c>
      <c r="V388" s="3">
        <f t="shared" si="16"/>
        <v>79</v>
      </c>
      <c r="W388" s="3">
        <f t="shared" si="17"/>
        <v>99</v>
      </c>
      <c r="X388" s="3" t="str">
        <f t="shared" si="18"/>
        <v/>
      </c>
      <c r="Y388" s="3" t="str">
        <f t="shared" si="19"/>
        <v/>
      </c>
      <c r="Z388" s="1" t="str">
        <f t="shared" si="20"/>
        <v/>
      </c>
      <c r="AA388" s="3">
        <f t="shared" si="21"/>
        <v>0.82769825200000191</v>
      </c>
    </row>
    <row r="389" spans="1:27">
      <c r="A389" s="1" t="s">
        <v>233</v>
      </c>
      <c r="B389" s="1">
        <v>2020</v>
      </c>
      <c r="C389" s="1">
        <v>59308.691409999999</v>
      </c>
      <c r="D389" s="1">
        <v>67.354003910000003</v>
      </c>
      <c r="E389" s="1">
        <v>93.885057439999997</v>
      </c>
      <c r="F389" s="1">
        <v>2.7727361859999999</v>
      </c>
      <c r="G389" s="1">
        <v>1.410816657</v>
      </c>
      <c r="H389" s="1">
        <v>1.9313897120000001</v>
      </c>
      <c r="I389" s="1">
        <v>83.329481180000002</v>
      </c>
      <c r="J389" s="1">
        <v>6.9773593590000003</v>
      </c>
      <c r="K389" s="1">
        <v>3.7769992870000002</v>
      </c>
      <c r="L389" s="1">
        <v>5.9161601729999997</v>
      </c>
      <c r="M389" s="1">
        <v>99.001264840000005</v>
      </c>
      <c r="N389" s="1">
        <v>0.73478540299999995</v>
      </c>
      <c r="O389" s="1">
        <v>0.26394975469999998</v>
      </c>
      <c r="P389" s="1">
        <v>0</v>
      </c>
      <c r="Q389" s="2" t="str">
        <f t="shared" si="11"/>
        <v/>
      </c>
      <c r="R389" s="1" t="str">
        <f t="shared" si="12"/>
        <v/>
      </c>
      <c r="S389" s="1" t="str">
        <f t="shared" si="13"/>
        <v/>
      </c>
      <c r="T389" s="1" t="str">
        <f t="shared" si="14"/>
        <v/>
      </c>
      <c r="U389" s="1">
        <f t="shared" si="15"/>
        <v>94</v>
      </c>
      <c r="V389" s="3">
        <f t="shared" si="16"/>
        <v>83</v>
      </c>
      <c r="W389" s="3">
        <f t="shared" si="17"/>
        <v>99</v>
      </c>
      <c r="X389" s="3" t="str">
        <f t="shared" si="18"/>
        <v/>
      </c>
      <c r="Y389" s="3" t="str">
        <f t="shared" si="19"/>
        <v/>
      </c>
      <c r="Z389" s="1" t="str">
        <f t="shared" si="20"/>
        <v/>
      </c>
      <c r="AA389" s="3" t="str">
        <f t="shared" si="21"/>
        <v/>
      </c>
    </row>
    <row r="390" spans="1:27">
      <c r="A390" s="1" t="s">
        <v>234</v>
      </c>
      <c r="B390" s="1">
        <v>2015</v>
      </c>
      <c r="C390" s="1">
        <v>10715.657230000001</v>
      </c>
      <c r="D390" s="1">
        <v>18.851999280000001</v>
      </c>
      <c r="E390" s="1">
        <v>41.247509460000003</v>
      </c>
      <c r="F390" s="1">
        <v>30.695737130000001</v>
      </c>
      <c r="G390" s="1">
        <v>13.55439295</v>
      </c>
      <c r="H390" s="1">
        <v>14.502360449999999</v>
      </c>
      <c r="I390" s="1">
        <v>36.726779729999997</v>
      </c>
      <c r="J390" s="1">
        <v>32.662799669999998</v>
      </c>
      <c r="K390" s="1">
        <v>14.310065379999999</v>
      </c>
      <c r="L390" s="1">
        <v>16.30035522</v>
      </c>
      <c r="M390" s="1">
        <v>60.70687736</v>
      </c>
      <c r="N390" s="1">
        <v>22.228553949999998</v>
      </c>
      <c r="O390" s="1">
        <v>10.301639140000001</v>
      </c>
      <c r="P390" s="1">
        <v>6.7629295520000001</v>
      </c>
      <c r="Q390" s="2">
        <f t="shared" si="11"/>
        <v>5</v>
      </c>
      <c r="R390" s="1">
        <f t="shared" si="12"/>
        <v>-5.9316458000000696E-2</v>
      </c>
      <c r="S390" s="1">
        <f t="shared" si="13"/>
        <v>-0.6266301839999997</v>
      </c>
      <c r="T390" s="1">
        <f t="shared" si="14"/>
        <v>1.8621654179999994</v>
      </c>
      <c r="U390" s="1">
        <f t="shared" si="15"/>
        <v>41</v>
      </c>
      <c r="V390" s="3">
        <f t="shared" si="16"/>
        <v>37</v>
      </c>
      <c r="W390" s="3">
        <f t="shared" si="17"/>
        <v>61</v>
      </c>
      <c r="X390" s="3" t="str">
        <f t="shared" si="18"/>
        <v/>
      </c>
      <c r="Y390" s="3" t="str">
        <f t="shared" si="19"/>
        <v/>
      </c>
      <c r="Z390" s="1" t="str">
        <f t="shared" si="20"/>
        <v/>
      </c>
      <c r="AA390" s="3">
        <f t="shared" si="21"/>
        <v>-2.4887956019999988</v>
      </c>
    </row>
    <row r="391" spans="1:27">
      <c r="A391" s="1" t="s">
        <v>234</v>
      </c>
      <c r="B391" s="1">
        <v>2020</v>
      </c>
      <c r="C391" s="1">
        <v>11193.728520000001</v>
      </c>
      <c r="D391" s="1">
        <v>20.198999400000002</v>
      </c>
      <c r="E391" s="1">
        <v>40.95092717</v>
      </c>
      <c r="F391" s="1">
        <v>37.426962869999997</v>
      </c>
      <c r="G391" s="1">
        <v>13.537555190000001</v>
      </c>
      <c r="H391" s="1">
        <v>8.0845547619999998</v>
      </c>
      <c r="I391" s="1">
        <v>33.593628809999998</v>
      </c>
      <c r="J391" s="1">
        <v>42.164380680000001</v>
      </c>
      <c r="K391" s="1">
        <v>14.111096160000001</v>
      </c>
      <c r="L391" s="1">
        <v>10.13089435</v>
      </c>
      <c r="M391" s="1">
        <v>70.017704449999997</v>
      </c>
      <c r="N391" s="1">
        <v>18.710660919999999</v>
      </c>
      <c r="O391" s="1">
        <v>11.27163464</v>
      </c>
      <c r="P391" s="1">
        <v>0</v>
      </c>
      <c r="Q391" s="2" t="str">
        <f t="shared" si="11"/>
        <v/>
      </c>
      <c r="R391" s="1" t="str">
        <f t="shared" si="12"/>
        <v/>
      </c>
      <c r="S391" s="1" t="str">
        <f t="shared" si="13"/>
        <v/>
      </c>
      <c r="T391" s="1" t="str">
        <f t="shared" si="14"/>
        <v/>
      </c>
      <c r="U391" s="1">
        <f t="shared" si="15"/>
        <v>41</v>
      </c>
      <c r="V391" s="3">
        <f t="shared" si="16"/>
        <v>34</v>
      </c>
      <c r="W391" s="3">
        <f t="shared" si="17"/>
        <v>70</v>
      </c>
      <c r="X391" s="3" t="str">
        <f t="shared" si="18"/>
        <v/>
      </c>
      <c r="Y391" s="3" t="str">
        <f t="shared" si="19"/>
        <v/>
      </c>
      <c r="Z391" s="1" t="str">
        <f t="shared" si="20"/>
        <v/>
      </c>
      <c r="AA391" s="3" t="str">
        <f t="shared" si="21"/>
        <v/>
      </c>
    </row>
    <row r="392" spans="1:27">
      <c r="A392" s="1" t="s">
        <v>235</v>
      </c>
      <c r="B392" s="1">
        <v>2015</v>
      </c>
      <c r="C392" s="1">
        <v>46671.917970000002</v>
      </c>
      <c r="D392" s="1">
        <v>79.60199738</v>
      </c>
      <c r="E392" s="1">
        <v>99.926720459999999</v>
      </c>
      <c r="F392" s="1">
        <v>0</v>
      </c>
      <c r="G392" s="1">
        <v>7.3279544409999994E-2</v>
      </c>
      <c r="H392" s="1">
        <v>0</v>
      </c>
      <c r="I392" s="1">
        <v>100</v>
      </c>
      <c r="J392" s="1">
        <v>0</v>
      </c>
      <c r="K392" s="1">
        <v>0</v>
      </c>
      <c r="L392" s="1">
        <v>0</v>
      </c>
      <c r="M392" s="1">
        <v>99.907945209999994</v>
      </c>
      <c r="N392" s="1">
        <v>0</v>
      </c>
      <c r="O392" s="1">
        <v>9.2054794519999997E-2</v>
      </c>
      <c r="P392" s="1">
        <v>0</v>
      </c>
      <c r="Q392" s="2">
        <f t="shared" si="11"/>
        <v>5</v>
      </c>
      <c r="R392" s="1">
        <f t="shared" si="12"/>
        <v>-2.2156999999936033E-4</v>
      </c>
      <c r="S392" s="1">
        <f t="shared" si="13"/>
        <v>0</v>
      </c>
      <c r="T392" s="1">
        <f t="shared" si="14"/>
        <v>0</v>
      </c>
      <c r="U392" s="1">
        <f t="shared" si="15"/>
        <v>100</v>
      </c>
      <c r="V392" s="3">
        <f t="shared" si="16"/>
        <v>100</v>
      </c>
      <c r="W392" s="3">
        <f t="shared" si="17"/>
        <v>100</v>
      </c>
      <c r="X392" s="3" t="str">
        <f t="shared" si="18"/>
        <v>fullaccesss</v>
      </c>
      <c r="Y392" s="3" t="str">
        <f t="shared" si="19"/>
        <v>fullaccesss</v>
      </c>
      <c r="Z392" s="1" t="str">
        <f t="shared" si="20"/>
        <v>fullaccesss</v>
      </c>
      <c r="AA392" s="3">
        <f t="shared" si="21"/>
        <v>0</v>
      </c>
    </row>
    <row r="393" spans="1:27">
      <c r="A393" s="1" t="s">
        <v>235</v>
      </c>
      <c r="B393" s="1">
        <v>2020</v>
      </c>
      <c r="C393" s="1">
        <v>46754.78125</v>
      </c>
      <c r="D393" s="1">
        <v>80.809997559999999</v>
      </c>
      <c r="E393" s="1">
        <v>99.925612610000002</v>
      </c>
      <c r="F393" s="1">
        <v>0</v>
      </c>
      <c r="G393" s="1">
        <v>7.4387391420000004E-2</v>
      </c>
      <c r="H393" s="1">
        <v>0</v>
      </c>
      <c r="I393" s="1">
        <v>100</v>
      </c>
      <c r="J393" s="1">
        <v>0</v>
      </c>
      <c r="K393" s="1">
        <v>0</v>
      </c>
      <c r="L393" s="1">
        <v>0</v>
      </c>
      <c r="M393" s="1">
        <v>99.907945209999994</v>
      </c>
      <c r="N393" s="1">
        <v>0</v>
      </c>
      <c r="O393" s="1">
        <v>9.2054794519999997E-2</v>
      </c>
      <c r="P393" s="1">
        <v>0</v>
      </c>
      <c r="Q393" s="2" t="str">
        <f t="shared" si="11"/>
        <v/>
      </c>
      <c r="R393" s="1" t="str">
        <f t="shared" si="12"/>
        <v/>
      </c>
      <c r="S393" s="1" t="str">
        <f t="shared" si="13"/>
        <v/>
      </c>
      <c r="T393" s="1" t="str">
        <f t="shared" si="14"/>
        <v/>
      </c>
      <c r="U393" s="1">
        <f t="shared" si="15"/>
        <v>100</v>
      </c>
      <c r="V393" s="3">
        <f t="shared" si="16"/>
        <v>100</v>
      </c>
      <c r="W393" s="3">
        <f t="shared" si="17"/>
        <v>100</v>
      </c>
      <c r="X393" s="3" t="str">
        <f t="shared" si="18"/>
        <v/>
      </c>
      <c r="Y393" s="3" t="str">
        <f t="shared" si="19"/>
        <v/>
      </c>
      <c r="Z393" s="1" t="str">
        <f t="shared" si="20"/>
        <v/>
      </c>
      <c r="AA393" s="3" t="str">
        <f t="shared" si="21"/>
        <v/>
      </c>
    </row>
    <row r="394" spans="1:27">
      <c r="A394" s="1" t="s">
        <v>236</v>
      </c>
      <c r="B394" s="1">
        <v>2015</v>
      </c>
      <c r="C394" s="1">
        <v>20908.023440000001</v>
      </c>
      <c r="D394" s="1">
        <v>18.256000520000001</v>
      </c>
      <c r="E394" s="1">
        <v>90.111028570000002</v>
      </c>
      <c r="F394" s="1">
        <v>0.91280129350000005</v>
      </c>
      <c r="G394" s="1">
        <v>6.7615228930000004</v>
      </c>
      <c r="H394" s="1">
        <v>2.2146472469999998</v>
      </c>
      <c r="I394" s="1">
        <v>88.257106140000005</v>
      </c>
      <c r="J394" s="1">
        <v>1.0162902579999999</v>
      </c>
      <c r="K394" s="1">
        <v>8.017356135</v>
      </c>
      <c r="L394" s="1">
        <v>2.7092474630000001</v>
      </c>
      <c r="M394" s="1">
        <v>98.412246519999997</v>
      </c>
      <c r="N394" s="1">
        <v>0.44941380939999998</v>
      </c>
      <c r="O394" s="1">
        <v>1.1383396720000001</v>
      </c>
      <c r="P394" s="1">
        <v>0</v>
      </c>
      <c r="Q394" s="2">
        <f t="shared" si="11"/>
        <v>5</v>
      </c>
      <c r="R394" s="1">
        <f t="shared" si="12"/>
        <v>0.42331015999999977</v>
      </c>
      <c r="S394" s="1">
        <f t="shared" si="13"/>
        <v>0.45606591199999968</v>
      </c>
      <c r="T394" s="1">
        <f t="shared" si="14"/>
        <v>0.23142673400000149</v>
      </c>
      <c r="U394" s="1">
        <f t="shared" si="15"/>
        <v>90</v>
      </c>
      <c r="V394" s="3">
        <f t="shared" si="16"/>
        <v>88</v>
      </c>
      <c r="W394" s="3">
        <f t="shared" si="17"/>
        <v>98</v>
      </c>
      <c r="X394" s="3" t="str">
        <f t="shared" si="18"/>
        <v/>
      </c>
      <c r="Y394" s="3" t="str">
        <f t="shared" si="19"/>
        <v/>
      </c>
      <c r="Z394" s="1" t="str">
        <f t="shared" si="20"/>
        <v/>
      </c>
      <c r="AA394" s="3">
        <f t="shared" si="21"/>
        <v>0.22463917799999819</v>
      </c>
    </row>
    <row r="395" spans="1:27">
      <c r="A395" s="1" t="s">
        <v>236</v>
      </c>
      <c r="B395" s="1">
        <v>2020</v>
      </c>
      <c r="C395" s="1">
        <v>21413.25</v>
      </c>
      <c r="D395" s="1">
        <v>18.71299934</v>
      </c>
      <c r="E395" s="1">
        <v>92.227579370000001</v>
      </c>
      <c r="F395" s="1">
        <v>0.59545814949999998</v>
      </c>
      <c r="G395" s="1">
        <v>5.3489270639999997</v>
      </c>
      <c r="H395" s="1">
        <v>1.82803542</v>
      </c>
      <c r="I395" s="1">
        <v>90.537435700000003</v>
      </c>
      <c r="J395" s="1">
        <v>0.70320990380000004</v>
      </c>
      <c r="K395" s="1">
        <v>6.5104886119999996</v>
      </c>
      <c r="L395" s="1">
        <v>2.2488657820000002</v>
      </c>
      <c r="M395" s="1">
        <v>99.569380190000004</v>
      </c>
      <c r="N395" s="1">
        <v>0.12739779009999999</v>
      </c>
      <c r="O395" s="1">
        <v>0.3032220202</v>
      </c>
      <c r="P395" s="1">
        <v>0</v>
      </c>
      <c r="Q395" s="2" t="str">
        <f t="shared" si="11"/>
        <v/>
      </c>
      <c r="R395" s="1" t="str">
        <f t="shared" si="12"/>
        <v/>
      </c>
      <c r="S395" s="1" t="str">
        <f t="shared" si="13"/>
        <v/>
      </c>
      <c r="T395" s="1" t="str">
        <f t="shared" si="14"/>
        <v/>
      </c>
      <c r="U395" s="1">
        <f t="shared" si="15"/>
        <v>92</v>
      </c>
      <c r="V395" s="3">
        <f t="shared" si="16"/>
        <v>91</v>
      </c>
      <c r="W395" s="3">
        <f t="shared" si="17"/>
        <v>100</v>
      </c>
      <c r="X395" s="3" t="str">
        <f t="shared" si="18"/>
        <v/>
      </c>
      <c r="Y395" s="3" t="str">
        <f t="shared" si="19"/>
        <v/>
      </c>
      <c r="Z395" s="1" t="str">
        <f t="shared" si="20"/>
        <v/>
      </c>
      <c r="AA395" s="3" t="str">
        <f t="shared" si="21"/>
        <v/>
      </c>
    </row>
    <row r="396" spans="1:27">
      <c r="A396" s="1" t="s">
        <v>237</v>
      </c>
      <c r="B396" s="1">
        <v>2015</v>
      </c>
      <c r="C396" s="1">
        <v>38902.949220000002</v>
      </c>
      <c r="D396" s="1">
        <v>33.894001009999997</v>
      </c>
      <c r="E396" s="1">
        <v>58.950253320000002</v>
      </c>
      <c r="F396" s="1">
        <v>26.111815979999999</v>
      </c>
      <c r="G396" s="1">
        <v>5.635847128</v>
      </c>
      <c r="H396" s="1">
        <v>9.3020835690000006</v>
      </c>
      <c r="I396" s="1">
        <v>51.707437730000002</v>
      </c>
      <c r="J396" s="1">
        <v>26.687789639999998</v>
      </c>
      <c r="K396" s="1">
        <v>8.1225675119999998</v>
      </c>
      <c r="L396" s="1">
        <v>13.482205130000001</v>
      </c>
      <c r="M396" s="1">
        <v>73.076457570000002</v>
      </c>
      <c r="N396" s="1">
        <v>24.98845154</v>
      </c>
      <c r="O396" s="1">
        <v>0.78581062170000004</v>
      </c>
      <c r="P396" s="1">
        <v>1.14928027</v>
      </c>
      <c r="Q396" s="2">
        <f t="shared" si="11"/>
        <v>5</v>
      </c>
      <c r="R396" s="1">
        <f t="shared" si="12"/>
        <v>0.29968445599999993</v>
      </c>
      <c r="S396" s="1">
        <f t="shared" si="13"/>
        <v>0.29831786799999949</v>
      </c>
      <c r="T396" s="1">
        <f t="shared" si="14"/>
        <v>0.13744039799999824</v>
      </c>
      <c r="U396" s="1">
        <f t="shared" si="15"/>
        <v>59</v>
      </c>
      <c r="V396" s="3">
        <f t="shared" si="16"/>
        <v>52</v>
      </c>
      <c r="W396" s="3">
        <f t="shared" si="17"/>
        <v>73</v>
      </c>
      <c r="X396" s="3" t="str">
        <f t="shared" si="18"/>
        <v/>
      </c>
      <c r="Y396" s="3" t="str">
        <f t="shared" si="19"/>
        <v/>
      </c>
      <c r="Z396" s="1" t="str">
        <f t="shared" si="20"/>
        <v/>
      </c>
      <c r="AA396" s="3">
        <f t="shared" si="21"/>
        <v>0.16087747000000124</v>
      </c>
    </row>
    <row r="397" spans="1:27">
      <c r="A397" s="1" t="s">
        <v>237</v>
      </c>
      <c r="B397" s="1">
        <v>2020</v>
      </c>
      <c r="C397" s="1">
        <v>43849.269529999998</v>
      </c>
      <c r="D397" s="1">
        <v>35.252998349999999</v>
      </c>
      <c r="E397" s="1">
        <v>60.448675600000001</v>
      </c>
      <c r="F397" s="1">
        <v>26.670019750000002</v>
      </c>
      <c r="G397" s="1">
        <v>3.6502178750000001</v>
      </c>
      <c r="H397" s="1">
        <v>9.2310867739999996</v>
      </c>
      <c r="I397" s="1">
        <v>53.19902707</v>
      </c>
      <c r="J397" s="1">
        <v>27.457644510000002</v>
      </c>
      <c r="K397" s="1">
        <v>5.6376600080000001</v>
      </c>
      <c r="L397" s="1">
        <v>13.70566842</v>
      </c>
      <c r="M397" s="1">
        <v>73.763659559999994</v>
      </c>
      <c r="N397" s="1">
        <v>25.223439859999999</v>
      </c>
      <c r="O397" s="1">
        <v>0</v>
      </c>
      <c r="P397" s="1">
        <v>1.012900581</v>
      </c>
      <c r="Q397" s="2" t="str">
        <f t="shared" si="11"/>
        <v/>
      </c>
      <c r="R397" s="1" t="str">
        <f t="shared" si="12"/>
        <v/>
      </c>
      <c r="S397" s="1" t="str">
        <f t="shared" si="13"/>
        <v/>
      </c>
      <c r="T397" s="1" t="str">
        <f t="shared" si="14"/>
        <v/>
      </c>
      <c r="U397" s="1">
        <f t="shared" si="15"/>
        <v>60</v>
      </c>
      <c r="V397" s="3">
        <f t="shared" si="16"/>
        <v>53</v>
      </c>
      <c r="W397" s="3">
        <f t="shared" si="17"/>
        <v>74</v>
      </c>
      <c r="X397" s="3" t="str">
        <f t="shared" si="18"/>
        <v/>
      </c>
      <c r="Y397" s="3" t="str">
        <f t="shared" si="19"/>
        <v/>
      </c>
      <c r="Z397" s="1" t="str">
        <f t="shared" si="20"/>
        <v/>
      </c>
      <c r="AA397" s="3" t="str">
        <f t="shared" si="21"/>
        <v/>
      </c>
    </row>
    <row r="398" spans="1:27">
      <c r="A398" s="1" t="s">
        <v>238</v>
      </c>
      <c r="B398" s="1">
        <v>2015</v>
      </c>
      <c r="C398" s="1">
        <v>559.13598630000001</v>
      </c>
      <c r="D398" s="1">
        <v>66.055999760000006</v>
      </c>
      <c r="E398" s="1">
        <v>95.747692169999993</v>
      </c>
      <c r="F398" s="1">
        <v>0.88280139830000004</v>
      </c>
      <c r="G398" s="1">
        <v>1.0138349760000001</v>
      </c>
      <c r="H398" s="1">
        <v>2.3556714599999999</v>
      </c>
      <c r="I398" s="1">
        <v>90.57961632</v>
      </c>
      <c r="J398" s="1">
        <v>1.2850321419999999</v>
      </c>
      <c r="K398" s="1">
        <v>1.200506574</v>
      </c>
      <c r="L398" s="1">
        <v>6.9348449649999999</v>
      </c>
      <c r="M398" s="1">
        <v>98.403399699999994</v>
      </c>
      <c r="N398" s="1">
        <v>0.67610833329999998</v>
      </c>
      <c r="O398" s="1">
        <v>0.91790651420000002</v>
      </c>
      <c r="P398" s="1">
        <v>2.585454545E-3</v>
      </c>
      <c r="Q398" s="2">
        <f t="shared" si="11"/>
        <v>5</v>
      </c>
      <c r="R398" s="1">
        <f t="shared" si="12"/>
        <v>0.44838790000000017</v>
      </c>
      <c r="S398" s="1">
        <f t="shared" si="13"/>
        <v>1.1989592619999996</v>
      </c>
      <c r="T398" s="1">
        <f t="shared" si="14"/>
        <v>6.209083399999997E-2</v>
      </c>
      <c r="U398" s="1">
        <f t="shared" si="15"/>
        <v>96</v>
      </c>
      <c r="V398" s="3">
        <f t="shared" si="16"/>
        <v>91</v>
      </c>
      <c r="W398" s="3">
        <f t="shared" si="17"/>
        <v>98</v>
      </c>
      <c r="X398" s="3" t="str">
        <f t="shared" si="18"/>
        <v/>
      </c>
      <c r="Y398" s="3" t="str">
        <f t="shared" si="19"/>
        <v/>
      </c>
      <c r="Z398" s="1" t="str">
        <f t="shared" si="20"/>
        <v/>
      </c>
      <c r="AA398" s="3">
        <f t="shared" si="21"/>
        <v>1.1368684279999997</v>
      </c>
    </row>
    <row r="399" spans="1:27">
      <c r="A399" s="1" t="s">
        <v>238</v>
      </c>
      <c r="B399" s="1">
        <v>2020</v>
      </c>
      <c r="C399" s="1">
        <v>586.63397220000002</v>
      </c>
      <c r="D399" s="1">
        <v>66.149002080000002</v>
      </c>
      <c r="E399" s="1">
        <v>97.989631669999994</v>
      </c>
      <c r="F399" s="1">
        <v>1.0672469410000001</v>
      </c>
      <c r="G399" s="1">
        <v>0.37933650730000001</v>
      </c>
      <c r="H399" s="1">
        <v>0.56378488400000004</v>
      </c>
      <c r="I399" s="1">
        <v>96.574412629999998</v>
      </c>
      <c r="J399" s="1">
        <v>1.6002958599999999</v>
      </c>
      <c r="K399" s="1">
        <v>0.1598017947</v>
      </c>
      <c r="L399" s="1">
        <v>1.6654897200000001</v>
      </c>
      <c r="M399" s="1">
        <v>98.713853869999994</v>
      </c>
      <c r="N399" s="1">
        <v>0.79446523710000005</v>
      </c>
      <c r="O399" s="1">
        <v>0.49168089250000002</v>
      </c>
      <c r="P399" s="1">
        <v>0</v>
      </c>
      <c r="Q399" s="2" t="str">
        <f t="shared" si="11"/>
        <v/>
      </c>
      <c r="R399" s="1" t="str">
        <f t="shared" si="12"/>
        <v/>
      </c>
      <c r="S399" s="1" t="str">
        <f t="shared" si="13"/>
        <v/>
      </c>
      <c r="T399" s="1" t="str">
        <f t="shared" si="14"/>
        <v/>
      </c>
      <c r="U399" s="1">
        <f t="shared" si="15"/>
        <v>98</v>
      </c>
      <c r="V399" s="3">
        <f t="shared" si="16"/>
        <v>97</v>
      </c>
      <c r="W399" s="3">
        <f t="shared" si="17"/>
        <v>99</v>
      </c>
      <c r="X399" s="3" t="str">
        <f t="shared" si="18"/>
        <v/>
      </c>
      <c r="Y399" s="3" t="str">
        <f t="shared" si="19"/>
        <v/>
      </c>
      <c r="Z399" s="1" t="str">
        <f t="shared" si="20"/>
        <v/>
      </c>
      <c r="AA399" s="3" t="str">
        <f t="shared" si="21"/>
        <v/>
      </c>
    </row>
    <row r="400" spans="1:27">
      <c r="A400" s="1" t="s">
        <v>239</v>
      </c>
      <c r="B400" s="1">
        <v>2015</v>
      </c>
      <c r="C400" s="1">
        <v>9764.9492190000001</v>
      </c>
      <c r="D400" s="1">
        <v>86.553001399999999</v>
      </c>
      <c r="E400" s="1">
        <v>99.781231030000001</v>
      </c>
      <c r="F400" s="1">
        <v>0</v>
      </c>
      <c r="G400" s="1">
        <v>0.2187689729</v>
      </c>
      <c r="H400" s="1">
        <v>0</v>
      </c>
      <c r="I400" s="1">
        <v>99.549986529999998</v>
      </c>
      <c r="J400" s="1">
        <v>0</v>
      </c>
      <c r="K400" s="1">
        <v>0.4500134657</v>
      </c>
      <c r="L400" s="1">
        <v>0</v>
      </c>
      <c r="M400" s="1">
        <v>99.817160389999998</v>
      </c>
      <c r="N400" s="1">
        <v>0</v>
      </c>
      <c r="O400" s="1">
        <v>0.18283961479999999</v>
      </c>
      <c r="P400" s="1">
        <v>0</v>
      </c>
      <c r="Q400" s="2">
        <f t="shared" si="11"/>
        <v>5</v>
      </c>
      <c r="R400" s="1">
        <f t="shared" si="12"/>
        <v>9.1273199999989171E-3</v>
      </c>
      <c r="S400" s="1">
        <f t="shared" si="13"/>
        <v>3.387764200000163E-2</v>
      </c>
      <c r="T400" s="1">
        <f t="shared" si="14"/>
        <v>4.8794579999992035E-3</v>
      </c>
      <c r="U400" s="1">
        <f t="shared" si="15"/>
        <v>100</v>
      </c>
      <c r="V400" s="3">
        <f t="shared" si="16"/>
        <v>100</v>
      </c>
      <c r="W400" s="3">
        <f t="shared" si="17"/>
        <v>100</v>
      </c>
      <c r="X400" s="3" t="str">
        <f t="shared" si="18"/>
        <v>fullaccesss</v>
      </c>
      <c r="Y400" s="3" t="str">
        <f t="shared" si="19"/>
        <v>fullaccesss</v>
      </c>
      <c r="Z400" s="1" t="str">
        <f t="shared" si="20"/>
        <v>fullaccesss</v>
      </c>
      <c r="AA400" s="3">
        <f t="shared" si="21"/>
        <v>2.8998184000002425E-2</v>
      </c>
    </row>
    <row r="401" spans="1:27">
      <c r="A401" s="1" t="s">
        <v>239</v>
      </c>
      <c r="B401" s="1">
        <v>2020</v>
      </c>
      <c r="C401" s="1">
        <v>10099.26953</v>
      </c>
      <c r="D401" s="1">
        <v>87.97699738</v>
      </c>
      <c r="E401" s="1">
        <v>99.826867629999995</v>
      </c>
      <c r="F401" s="1">
        <v>0</v>
      </c>
      <c r="G401" s="1">
        <v>0.17313237349999999</v>
      </c>
      <c r="H401" s="1">
        <v>0</v>
      </c>
      <c r="I401" s="1">
        <v>99.719374740000006</v>
      </c>
      <c r="J401" s="1">
        <v>0</v>
      </c>
      <c r="K401" s="1">
        <v>0.28062526259999998</v>
      </c>
      <c r="L401" s="1">
        <v>0</v>
      </c>
      <c r="M401" s="1">
        <v>99.841557679999994</v>
      </c>
      <c r="N401" s="1">
        <v>0</v>
      </c>
      <c r="O401" s="1">
        <v>0.1584423157</v>
      </c>
      <c r="P401" s="1">
        <v>0</v>
      </c>
      <c r="Q401" s="2" t="str">
        <f t="shared" si="11"/>
        <v/>
      </c>
      <c r="R401" s="1" t="str">
        <f t="shared" si="12"/>
        <v/>
      </c>
      <c r="S401" s="1" t="str">
        <f t="shared" si="13"/>
        <v/>
      </c>
      <c r="T401" s="1" t="str">
        <f t="shared" si="14"/>
        <v/>
      </c>
      <c r="U401" s="1">
        <f t="shared" si="15"/>
        <v>100</v>
      </c>
      <c r="V401" s="3">
        <f t="shared" si="16"/>
        <v>100</v>
      </c>
      <c r="W401" s="3">
        <f t="shared" si="17"/>
        <v>100</v>
      </c>
      <c r="X401" s="3" t="str">
        <f t="shared" si="18"/>
        <v/>
      </c>
      <c r="Y401" s="3" t="str">
        <f t="shared" si="19"/>
        <v/>
      </c>
      <c r="Z401" s="1" t="str">
        <f t="shared" si="20"/>
        <v/>
      </c>
      <c r="AA401" s="3" t="str">
        <f t="shared" si="21"/>
        <v/>
      </c>
    </row>
    <row r="402" spans="1:27">
      <c r="A402" s="1" t="s">
        <v>240</v>
      </c>
      <c r="B402" s="1">
        <v>2015</v>
      </c>
      <c r="C402" s="1">
        <v>8296.7753909999992</v>
      </c>
      <c r="D402" s="1">
        <v>73.718002319999997</v>
      </c>
      <c r="E402" s="1">
        <v>100</v>
      </c>
      <c r="F402" s="1">
        <v>0</v>
      </c>
      <c r="G402" s="1">
        <v>0</v>
      </c>
      <c r="H402" s="1">
        <v>0</v>
      </c>
      <c r="I402" s="1">
        <v>100</v>
      </c>
      <c r="J402" s="1">
        <v>0</v>
      </c>
      <c r="K402" s="1">
        <v>0</v>
      </c>
      <c r="L402" s="1">
        <v>0</v>
      </c>
      <c r="M402" s="1">
        <v>100</v>
      </c>
      <c r="N402" s="1">
        <v>0</v>
      </c>
      <c r="O402" s="1">
        <v>0</v>
      </c>
      <c r="P402" s="1">
        <v>0</v>
      </c>
      <c r="Q402" s="2">
        <f t="shared" si="11"/>
        <v>5</v>
      </c>
      <c r="R402" s="1">
        <f t="shared" si="12"/>
        <v>5.6000000085987263E-7</v>
      </c>
      <c r="S402" s="1">
        <f t="shared" si="13"/>
        <v>0</v>
      </c>
      <c r="T402" s="1">
        <f t="shared" si="14"/>
        <v>0</v>
      </c>
      <c r="U402" s="1">
        <f t="shared" si="15"/>
        <v>100</v>
      </c>
      <c r="V402" s="3">
        <f t="shared" si="16"/>
        <v>100</v>
      </c>
      <c r="W402" s="3">
        <f t="shared" si="17"/>
        <v>100</v>
      </c>
      <c r="X402" s="3" t="str">
        <f t="shared" si="18"/>
        <v>fullaccesss</v>
      </c>
      <c r="Y402" s="3" t="str">
        <f t="shared" si="19"/>
        <v>fullaccesss</v>
      </c>
      <c r="Z402" s="1" t="str">
        <f t="shared" si="20"/>
        <v>fullaccesss</v>
      </c>
      <c r="AA402" s="3">
        <f t="shared" si="21"/>
        <v>0</v>
      </c>
    </row>
    <row r="403" spans="1:27">
      <c r="A403" s="1" t="s">
        <v>240</v>
      </c>
      <c r="B403" s="1">
        <v>2020</v>
      </c>
      <c r="C403" s="1">
        <v>8654.6181639999995</v>
      </c>
      <c r="D403" s="1">
        <v>73.915000919999997</v>
      </c>
      <c r="E403" s="1">
        <v>100.0000028</v>
      </c>
      <c r="F403" s="1">
        <v>0</v>
      </c>
      <c r="G403" s="1">
        <v>0</v>
      </c>
      <c r="H403" s="1">
        <v>0</v>
      </c>
      <c r="I403" s="1">
        <v>100</v>
      </c>
      <c r="J403" s="1">
        <v>0</v>
      </c>
      <c r="K403" s="1">
        <v>0</v>
      </c>
      <c r="L403" s="1">
        <v>0</v>
      </c>
      <c r="M403" s="1">
        <v>100</v>
      </c>
      <c r="N403" s="1">
        <v>0</v>
      </c>
      <c r="O403" s="1">
        <v>0</v>
      </c>
      <c r="P403" s="1">
        <v>0</v>
      </c>
      <c r="Q403" s="2" t="str">
        <f t="shared" si="11"/>
        <v/>
      </c>
      <c r="R403" s="1" t="str">
        <f t="shared" si="12"/>
        <v/>
      </c>
      <c r="S403" s="1" t="str">
        <f t="shared" si="13"/>
        <v/>
      </c>
      <c r="T403" s="1" t="str">
        <f t="shared" si="14"/>
        <v/>
      </c>
      <c r="U403" s="1">
        <f t="shared" si="15"/>
        <v>100</v>
      </c>
      <c r="V403" s="3">
        <f t="shared" si="16"/>
        <v>100</v>
      </c>
      <c r="W403" s="3">
        <f t="shared" si="17"/>
        <v>100</v>
      </c>
      <c r="X403" s="3" t="str">
        <f t="shared" si="18"/>
        <v/>
      </c>
      <c r="Y403" s="3" t="str">
        <f t="shared" si="19"/>
        <v/>
      </c>
      <c r="Z403" s="1" t="str">
        <f t="shared" si="20"/>
        <v/>
      </c>
      <c r="AA403" s="3" t="str">
        <f t="shared" si="21"/>
        <v/>
      </c>
    </row>
    <row r="404" spans="1:27">
      <c r="A404" s="1" t="s">
        <v>241</v>
      </c>
      <c r="B404" s="1">
        <v>2015</v>
      </c>
      <c r="C404" s="1">
        <v>17997.410159999999</v>
      </c>
      <c r="D404" s="1">
        <v>52.167999270000003</v>
      </c>
      <c r="E404" s="1">
        <v>93.509611480000004</v>
      </c>
      <c r="F404" s="1">
        <v>5.9680836279999996</v>
      </c>
      <c r="G404" s="1">
        <v>0.52230488829999999</v>
      </c>
      <c r="H404" s="1">
        <v>0</v>
      </c>
      <c r="I404" s="1">
        <v>91.385705099999996</v>
      </c>
      <c r="J404" s="1">
        <v>7.8573236560000002</v>
      </c>
      <c r="K404" s="1">
        <v>0.75697124390000003</v>
      </c>
      <c r="L404" s="1">
        <v>0</v>
      </c>
      <c r="M404" s="1">
        <v>95.456987190000007</v>
      </c>
      <c r="N404" s="1">
        <v>4.2358697369999998</v>
      </c>
      <c r="O404" s="1">
        <v>0.30714306949999998</v>
      </c>
      <c r="P404" s="1">
        <v>0</v>
      </c>
      <c r="Q404" s="2">
        <f t="shared" si="11"/>
        <v>5</v>
      </c>
      <c r="R404" s="1">
        <f t="shared" si="12"/>
        <v>8.3249139999998084E-2</v>
      </c>
      <c r="S404" s="1">
        <f t="shared" si="13"/>
        <v>0.13940798000000143</v>
      </c>
      <c r="T404" s="1">
        <f t="shared" si="14"/>
        <v>-1.0364566000001218E-2</v>
      </c>
      <c r="U404" s="1">
        <f t="shared" si="15"/>
        <v>94</v>
      </c>
      <c r="V404" s="3">
        <f t="shared" si="16"/>
        <v>91</v>
      </c>
      <c r="W404" s="3">
        <f t="shared" si="17"/>
        <v>95</v>
      </c>
      <c r="X404" s="3" t="str">
        <f t="shared" si="18"/>
        <v/>
      </c>
      <c r="Y404" s="3" t="str">
        <f t="shared" si="19"/>
        <v/>
      </c>
      <c r="Z404" s="1" t="str">
        <f t="shared" si="20"/>
        <v/>
      </c>
      <c r="AA404" s="3">
        <f t="shared" si="21"/>
        <v>0.14977254600000264</v>
      </c>
    </row>
    <row r="405" spans="1:27">
      <c r="A405" s="1" t="s">
        <v>241</v>
      </c>
      <c r="B405" s="1">
        <v>2020</v>
      </c>
      <c r="C405" s="1">
        <v>17500.65625</v>
      </c>
      <c r="D405" s="1">
        <v>55.475002289999999</v>
      </c>
      <c r="E405" s="1">
        <v>93.925857179999994</v>
      </c>
      <c r="F405" s="1">
        <v>5.8737307679999997</v>
      </c>
      <c r="G405" s="1">
        <v>0.20041205419999999</v>
      </c>
      <c r="H405" s="1">
        <v>0</v>
      </c>
      <c r="I405" s="1">
        <v>92.082745000000003</v>
      </c>
      <c r="J405" s="1">
        <v>7.9172549999999999</v>
      </c>
      <c r="K405" s="1">
        <v>0</v>
      </c>
      <c r="L405" s="1">
        <v>0</v>
      </c>
      <c r="M405" s="1">
        <v>95.405164360000001</v>
      </c>
      <c r="N405" s="1">
        <v>4.2335701170000002</v>
      </c>
      <c r="O405" s="1">
        <v>0.36126552499999998</v>
      </c>
      <c r="P405" s="1">
        <v>0</v>
      </c>
      <c r="Q405" s="2" t="str">
        <f t="shared" si="11"/>
        <v/>
      </c>
      <c r="R405" s="1" t="str">
        <f t="shared" si="12"/>
        <v/>
      </c>
      <c r="S405" s="1" t="str">
        <f t="shared" si="13"/>
        <v/>
      </c>
      <c r="T405" s="1" t="str">
        <f t="shared" si="14"/>
        <v/>
      </c>
      <c r="U405" s="1">
        <f t="shared" si="15"/>
        <v>94</v>
      </c>
      <c r="V405" s="3">
        <f t="shared" si="16"/>
        <v>92</v>
      </c>
      <c r="W405" s="3">
        <f t="shared" si="17"/>
        <v>95</v>
      </c>
      <c r="X405" s="3" t="str">
        <f t="shared" si="18"/>
        <v/>
      </c>
      <c r="Y405" s="3" t="str">
        <f t="shared" si="19"/>
        <v/>
      </c>
      <c r="Z405" s="1" t="str">
        <f t="shared" si="20"/>
        <v/>
      </c>
      <c r="AA405" s="3" t="str">
        <f t="shared" si="21"/>
        <v/>
      </c>
    </row>
    <row r="406" spans="1:27">
      <c r="A406" s="1" t="s">
        <v>242</v>
      </c>
      <c r="B406" s="1">
        <v>2015</v>
      </c>
      <c r="C406" s="1">
        <v>8454.0185550000006</v>
      </c>
      <c r="D406" s="1">
        <v>26.742000579999999</v>
      </c>
      <c r="E406" s="1">
        <v>76.239495509999998</v>
      </c>
      <c r="F406" s="1">
        <v>3.050011091</v>
      </c>
      <c r="G406" s="1">
        <v>3.944733748</v>
      </c>
      <c r="H406" s="1">
        <v>16.76575965</v>
      </c>
      <c r="I406" s="1">
        <v>69.552182060000007</v>
      </c>
      <c r="J406" s="1">
        <v>3.681021887</v>
      </c>
      <c r="K406" s="1">
        <v>4.8574855120000002</v>
      </c>
      <c r="L406" s="1">
        <v>21.90931054</v>
      </c>
      <c r="M406" s="1">
        <v>94.558955389999994</v>
      </c>
      <c r="N406" s="1">
        <v>1.321396987</v>
      </c>
      <c r="O406" s="1">
        <v>1.444318955</v>
      </c>
      <c r="P406" s="1">
        <v>2.6753286630000002</v>
      </c>
      <c r="Q406" s="2">
        <f t="shared" si="11"/>
        <v>5</v>
      </c>
      <c r="R406" s="1">
        <f t="shared" si="12"/>
        <v>1.1225839019999995</v>
      </c>
      <c r="S406" s="1">
        <f t="shared" si="13"/>
        <v>1.4182834279999981</v>
      </c>
      <c r="T406" s="1">
        <f t="shared" si="14"/>
        <v>0.20433369400000173</v>
      </c>
      <c r="U406" s="1">
        <f t="shared" si="15"/>
        <v>76</v>
      </c>
      <c r="V406" s="3">
        <f t="shared" si="16"/>
        <v>70</v>
      </c>
      <c r="W406" s="3">
        <f t="shared" si="17"/>
        <v>95</v>
      </c>
      <c r="X406" s="3" t="str">
        <f t="shared" si="18"/>
        <v/>
      </c>
      <c r="Y406" s="3" t="str">
        <f t="shared" si="19"/>
        <v/>
      </c>
      <c r="Z406" s="1" t="str">
        <f t="shared" si="20"/>
        <v/>
      </c>
      <c r="AA406" s="3">
        <f t="shared" si="21"/>
        <v>1.2139497339999963</v>
      </c>
    </row>
    <row r="407" spans="1:27">
      <c r="A407" s="1" t="s">
        <v>242</v>
      </c>
      <c r="B407" s="1">
        <v>2020</v>
      </c>
      <c r="C407" s="1">
        <v>9537.6416019999997</v>
      </c>
      <c r="D407" s="1">
        <v>27.505998609999999</v>
      </c>
      <c r="E407" s="1">
        <v>81.852415019999995</v>
      </c>
      <c r="F407" s="1">
        <v>2.5683639349999998</v>
      </c>
      <c r="G407" s="1">
        <v>3.4218570050000001</v>
      </c>
      <c r="H407" s="1">
        <v>12.157364039999999</v>
      </c>
      <c r="I407" s="1">
        <v>76.643599199999997</v>
      </c>
      <c r="J407" s="1">
        <v>3.2071439279999998</v>
      </c>
      <c r="K407" s="1">
        <v>4.1407069480000001</v>
      </c>
      <c r="L407" s="1">
        <v>16.00854992</v>
      </c>
      <c r="M407" s="1">
        <v>95.580623860000003</v>
      </c>
      <c r="N407" s="1">
        <v>0.88481447629999999</v>
      </c>
      <c r="O407" s="1">
        <v>1.5272683229999999</v>
      </c>
      <c r="P407" s="1">
        <v>2.0072933389999998</v>
      </c>
      <c r="Q407" s="2" t="str">
        <f t="shared" si="11"/>
        <v/>
      </c>
      <c r="R407" s="1" t="str">
        <f t="shared" si="12"/>
        <v/>
      </c>
      <c r="S407" s="1" t="str">
        <f t="shared" si="13"/>
        <v/>
      </c>
      <c r="T407" s="1" t="str">
        <f t="shared" si="14"/>
        <v/>
      </c>
      <c r="U407" s="1">
        <f t="shared" si="15"/>
        <v>82</v>
      </c>
      <c r="V407" s="3">
        <f t="shared" si="16"/>
        <v>77</v>
      </c>
      <c r="W407" s="3">
        <f t="shared" si="17"/>
        <v>96</v>
      </c>
      <c r="X407" s="3" t="str">
        <f t="shared" si="18"/>
        <v/>
      </c>
      <c r="Y407" s="3" t="str">
        <f t="shared" si="19"/>
        <v/>
      </c>
      <c r="Z407" s="1" t="str">
        <f t="shared" si="20"/>
        <v/>
      </c>
      <c r="AA407" s="3" t="str">
        <f t="shared" si="21"/>
        <v/>
      </c>
    </row>
    <row r="408" spans="1:27">
      <c r="A408" s="1" t="s">
        <v>243</v>
      </c>
      <c r="B408" s="1">
        <v>2015</v>
      </c>
      <c r="C408" s="1">
        <v>68714.515629999994</v>
      </c>
      <c r="D408" s="1">
        <v>47.694004059999997</v>
      </c>
      <c r="E408" s="1">
        <v>99.259170580000003</v>
      </c>
      <c r="F408" s="1">
        <v>0.2176525852</v>
      </c>
      <c r="G408" s="1">
        <v>0.1822513237</v>
      </c>
      <c r="H408" s="1">
        <v>0.34092551430000001</v>
      </c>
      <c r="I408" s="1">
        <v>98.879516710000004</v>
      </c>
      <c r="J408" s="1">
        <v>0.2456716052</v>
      </c>
      <c r="K408" s="1">
        <v>0.22302119049999999</v>
      </c>
      <c r="L408" s="1">
        <v>0.65179049</v>
      </c>
      <c r="M408" s="1">
        <v>99.675536840000007</v>
      </c>
      <c r="N408" s="1">
        <v>0.1869241354</v>
      </c>
      <c r="O408" s="1">
        <v>0.1375390245</v>
      </c>
      <c r="P408" s="1">
        <v>0</v>
      </c>
      <c r="Q408" s="2">
        <f t="shared" si="11"/>
        <v>5</v>
      </c>
      <c r="R408" s="1">
        <f t="shared" si="12"/>
        <v>0.14816588399999944</v>
      </c>
      <c r="S408" s="1">
        <f t="shared" si="13"/>
        <v>0.22409665799999914</v>
      </c>
      <c r="T408" s="1">
        <f t="shared" si="14"/>
        <v>6.4892631999998687E-2</v>
      </c>
      <c r="U408" s="1">
        <f t="shared" si="15"/>
        <v>99</v>
      </c>
      <c r="V408" s="3">
        <f t="shared" si="16"/>
        <v>99</v>
      </c>
      <c r="W408" s="3">
        <f t="shared" si="17"/>
        <v>100</v>
      </c>
      <c r="X408" s="3" t="str">
        <f t="shared" si="18"/>
        <v/>
      </c>
      <c r="Y408" s="3" t="str">
        <f t="shared" si="19"/>
        <v/>
      </c>
      <c r="Z408" s="1" t="str">
        <f t="shared" si="20"/>
        <v>fullaccesss</v>
      </c>
      <c r="AA408" s="3">
        <f t="shared" si="21"/>
        <v>0.15920402600000044</v>
      </c>
    </row>
    <row r="409" spans="1:27">
      <c r="A409" s="1" t="s">
        <v>243</v>
      </c>
      <c r="B409" s="1">
        <v>2020</v>
      </c>
      <c r="C409" s="1">
        <v>69799.976559999996</v>
      </c>
      <c r="D409" s="1">
        <v>51.430000309999997</v>
      </c>
      <c r="E409" s="1">
        <v>100</v>
      </c>
      <c r="F409" s="1">
        <v>0</v>
      </c>
      <c r="G409" s="1">
        <v>0</v>
      </c>
      <c r="H409" s="1">
        <v>0</v>
      </c>
      <c r="I409" s="1">
        <v>100</v>
      </c>
      <c r="J409" s="1">
        <v>0</v>
      </c>
      <c r="K409" s="1">
        <v>0</v>
      </c>
      <c r="L409" s="1">
        <v>0</v>
      </c>
      <c r="M409" s="1">
        <v>100</v>
      </c>
      <c r="N409" s="1">
        <v>0</v>
      </c>
      <c r="O409" s="1">
        <v>0</v>
      </c>
      <c r="P409" s="1">
        <v>0</v>
      </c>
      <c r="Q409" s="2" t="str">
        <f t="shared" si="11"/>
        <v/>
      </c>
      <c r="R409" s="1" t="str">
        <f t="shared" si="12"/>
        <v/>
      </c>
      <c r="S409" s="1" t="str">
        <f t="shared" si="13"/>
        <v/>
      </c>
      <c r="T409" s="1" t="str">
        <f t="shared" si="14"/>
        <v/>
      </c>
      <c r="U409" s="1">
        <f t="shared" si="15"/>
        <v>100</v>
      </c>
      <c r="V409" s="3">
        <f t="shared" si="16"/>
        <v>100</v>
      </c>
      <c r="W409" s="3">
        <f t="shared" si="17"/>
        <v>100</v>
      </c>
      <c r="X409" s="3" t="str">
        <f t="shared" si="18"/>
        <v/>
      </c>
      <c r="Y409" s="3" t="str">
        <f t="shared" si="19"/>
        <v/>
      </c>
      <c r="Z409" s="1" t="str">
        <f t="shared" si="20"/>
        <v/>
      </c>
      <c r="AA409" s="3" t="str">
        <f t="shared" si="21"/>
        <v/>
      </c>
    </row>
    <row r="410" spans="1:27">
      <c r="A410" s="1" t="s">
        <v>244</v>
      </c>
      <c r="B410" s="1">
        <v>2015</v>
      </c>
      <c r="C410" s="1">
        <v>1196.2939449999999</v>
      </c>
      <c r="D410" s="1">
        <v>29.489999770000001</v>
      </c>
      <c r="E410" s="1">
        <v>75.250103710000005</v>
      </c>
      <c r="F410" s="1">
        <v>3.486316247</v>
      </c>
      <c r="G410" s="1">
        <v>16.460746719999999</v>
      </c>
      <c r="H410" s="1">
        <v>4.8028333229999998</v>
      </c>
      <c r="I410" s="1">
        <v>68.95938975</v>
      </c>
      <c r="J410" s="1">
        <v>4.2085077100000001</v>
      </c>
      <c r="K410" s="1">
        <v>20.19524109</v>
      </c>
      <c r="L410" s="1">
        <v>6.6368614499999996</v>
      </c>
      <c r="M410" s="1">
        <v>90.291081230000003</v>
      </c>
      <c r="N410" s="1">
        <v>1.759571234</v>
      </c>
      <c r="O410" s="1">
        <v>7.5316383</v>
      </c>
      <c r="P410" s="1">
        <v>0.41770924009999999</v>
      </c>
      <c r="Q410" s="2">
        <f t="shared" si="11"/>
        <v>5</v>
      </c>
      <c r="R410" s="1">
        <f t="shared" si="12"/>
        <v>2.0490994979999981</v>
      </c>
      <c r="S410" s="1">
        <f t="shared" si="13"/>
        <v>2.3056811740000001</v>
      </c>
      <c r="T410" s="1">
        <f t="shared" si="14"/>
        <v>1.2371753380000001</v>
      </c>
      <c r="U410" s="1">
        <f t="shared" si="15"/>
        <v>75</v>
      </c>
      <c r="V410" s="3">
        <f t="shared" si="16"/>
        <v>69</v>
      </c>
      <c r="W410" s="3">
        <f t="shared" si="17"/>
        <v>90</v>
      </c>
      <c r="X410" s="3" t="str">
        <f t="shared" si="18"/>
        <v/>
      </c>
      <c r="Y410" s="3" t="str">
        <f t="shared" si="19"/>
        <v/>
      </c>
      <c r="Z410" s="1" t="str">
        <f t="shared" si="20"/>
        <v/>
      </c>
      <c r="AA410" s="3">
        <f t="shared" si="21"/>
        <v>1.0685058359999999</v>
      </c>
    </row>
    <row r="411" spans="1:27">
      <c r="A411" s="1" t="s">
        <v>244</v>
      </c>
      <c r="B411" s="1">
        <v>2020</v>
      </c>
      <c r="C411" s="1">
        <v>1318.4420170000001</v>
      </c>
      <c r="D411" s="1">
        <v>31.31999969</v>
      </c>
      <c r="E411" s="1">
        <v>85.495601199999996</v>
      </c>
      <c r="F411" s="1">
        <v>1.88586597</v>
      </c>
      <c r="G411" s="1">
        <v>8.3600293969999999</v>
      </c>
      <c r="H411" s="1">
        <v>4.2585034329999996</v>
      </c>
      <c r="I411" s="1">
        <v>80.48779562</v>
      </c>
      <c r="J411" s="1">
        <v>2.0493646750000001</v>
      </c>
      <c r="K411" s="1">
        <v>11.26233968</v>
      </c>
      <c r="L411" s="1">
        <v>6.2005000179999996</v>
      </c>
      <c r="M411" s="1">
        <v>96.476957920000004</v>
      </c>
      <c r="N411" s="1">
        <v>1.527338152</v>
      </c>
      <c r="O411" s="1">
        <v>1.995703929</v>
      </c>
      <c r="P411" s="1">
        <v>0</v>
      </c>
      <c r="Q411" s="2" t="str">
        <f t="shared" si="11"/>
        <v/>
      </c>
      <c r="R411" s="1" t="str">
        <f t="shared" si="12"/>
        <v/>
      </c>
      <c r="S411" s="1" t="str">
        <f t="shared" si="13"/>
        <v/>
      </c>
      <c r="T411" s="1" t="str">
        <f t="shared" si="14"/>
        <v/>
      </c>
      <c r="U411" s="1">
        <f t="shared" si="15"/>
        <v>85</v>
      </c>
      <c r="V411" s="3">
        <f t="shared" si="16"/>
        <v>80</v>
      </c>
      <c r="W411" s="3">
        <f t="shared" si="17"/>
        <v>96</v>
      </c>
      <c r="X411" s="3" t="str">
        <f t="shared" si="18"/>
        <v/>
      </c>
      <c r="Y411" s="3" t="str">
        <f t="shared" si="19"/>
        <v/>
      </c>
      <c r="Z411" s="1" t="str">
        <f t="shared" si="20"/>
        <v/>
      </c>
      <c r="AA411" s="3" t="str">
        <f t="shared" si="21"/>
        <v/>
      </c>
    </row>
    <row r="412" spans="1:27">
      <c r="A412" s="1" t="s">
        <v>245</v>
      </c>
      <c r="B412" s="1">
        <v>2015</v>
      </c>
      <c r="C412" s="1">
        <v>7323.1621089999999</v>
      </c>
      <c r="D412" s="1">
        <v>40.099998470000003</v>
      </c>
      <c r="E412" s="1">
        <v>63.637126350000003</v>
      </c>
      <c r="F412" s="1">
        <v>5.6657679649999997</v>
      </c>
      <c r="G412" s="1">
        <v>17.17891539</v>
      </c>
      <c r="H412" s="1">
        <v>13.51819029</v>
      </c>
      <c r="I412" s="1">
        <v>47.242183279999999</v>
      </c>
      <c r="J412" s="1">
        <v>7.3346522839999997</v>
      </c>
      <c r="K412" s="1">
        <v>23.470036180000001</v>
      </c>
      <c r="L412" s="1">
        <v>21.953128249999999</v>
      </c>
      <c r="M412" s="1">
        <v>88.127329700000004</v>
      </c>
      <c r="N412" s="1">
        <v>3.1728458380000002</v>
      </c>
      <c r="O412" s="1">
        <v>7.7814550410000001</v>
      </c>
      <c r="P412" s="1">
        <v>0.91836941770000002</v>
      </c>
      <c r="Q412" s="2">
        <f t="shared" si="11"/>
        <v>5</v>
      </c>
      <c r="R412" s="1">
        <f t="shared" si="12"/>
        <v>0.98931874799999941</v>
      </c>
      <c r="S412" s="1">
        <f t="shared" si="13"/>
        <v>0.97507389400000055</v>
      </c>
      <c r="T412" s="1">
        <f t="shared" si="14"/>
        <v>0.49251606199999853</v>
      </c>
      <c r="U412" s="1">
        <f t="shared" si="15"/>
        <v>64</v>
      </c>
      <c r="V412" s="3">
        <f t="shared" si="16"/>
        <v>47</v>
      </c>
      <c r="W412" s="3">
        <f t="shared" si="17"/>
        <v>88</v>
      </c>
      <c r="X412" s="3" t="str">
        <f t="shared" si="18"/>
        <v/>
      </c>
      <c r="Y412" s="3" t="str">
        <f t="shared" si="19"/>
        <v/>
      </c>
      <c r="Z412" s="1" t="str">
        <f t="shared" si="20"/>
        <v/>
      </c>
      <c r="AA412" s="3">
        <f t="shared" si="21"/>
        <v>0.48255783200000202</v>
      </c>
    </row>
    <row r="413" spans="1:27">
      <c r="A413" s="1" t="s">
        <v>245</v>
      </c>
      <c r="B413" s="1">
        <v>2020</v>
      </c>
      <c r="C413" s="1">
        <v>8278.7373050000006</v>
      </c>
      <c r="D413" s="1">
        <v>42.799999239999998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52.117552750000002</v>
      </c>
      <c r="J413" s="1">
        <v>8.1875420190000003</v>
      </c>
      <c r="K413" s="1">
        <v>20.7910842</v>
      </c>
      <c r="L413" s="1">
        <v>18.90382103</v>
      </c>
      <c r="M413" s="1">
        <v>90.589910009999997</v>
      </c>
      <c r="N413" s="1">
        <v>3.2293480560000001</v>
      </c>
      <c r="O413" s="1">
        <v>5.3079905280000004</v>
      </c>
      <c r="P413" s="1">
        <v>0.87275140490000003</v>
      </c>
      <c r="Q413" s="2" t="str">
        <f t="shared" si="11"/>
        <v/>
      </c>
      <c r="R413" s="1" t="str">
        <f t="shared" si="12"/>
        <v/>
      </c>
      <c r="S413" s="1" t="str">
        <f t="shared" si="13"/>
        <v/>
      </c>
      <c r="T413" s="1" t="str">
        <f t="shared" si="14"/>
        <v/>
      </c>
      <c r="U413" s="1">
        <f t="shared" si="15"/>
        <v>69</v>
      </c>
      <c r="V413" s="3">
        <f t="shared" si="16"/>
        <v>52</v>
      </c>
      <c r="W413" s="3">
        <f t="shared" si="17"/>
        <v>91</v>
      </c>
      <c r="X413" s="3" t="str">
        <f t="shared" si="18"/>
        <v/>
      </c>
      <c r="Y413" s="3" t="str">
        <f t="shared" si="19"/>
        <v/>
      </c>
      <c r="Z413" s="1" t="str">
        <f t="shared" si="20"/>
        <v/>
      </c>
      <c r="AA413" s="3" t="str">
        <f t="shared" si="21"/>
        <v/>
      </c>
    </row>
    <row r="414" spans="1:27">
      <c r="A414" s="1" t="s">
        <v>246</v>
      </c>
      <c r="B414" s="1">
        <v>2015</v>
      </c>
      <c r="C414" s="1">
        <v>1.2469999789999999</v>
      </c>
      <c r="D414" s="1">
        <v>0</v>
      </c>
      <c r="E414" s="1">
        <v>99.457396000000003</v>
      </c>
      <c r="F414" s="1">
        <v>0</v>
      </c>
      <c r="G414" s="1">
        <v>0.54260399999999998</v>
      </c>
      <c r="H414" s="1">
        <v>0</v>
      </c>
      <c r="I414" s="1">
        <v>99.457396000000003</v>
      </c>
      <c r="J414" s="1">
        <v>0</v>
      </c>
      <c r="K414" s="1">
        <v>0.54260399999999998</v>
      </c>
      <c r="L414" s="1">
        <v>0</v>
      </c>
      <c r="M414" s="1" t="s">
        <v>272</v>
      </c>
      <c r="N414" s="1" t="s">
        <v>272</v>
      </c>
      <c r="O414" s="1" t="s">
        <v>272</v>
      </c>
      <c r="P414" s="1" t="s">
        <v>272</v>
      </c>
      <c r="Q414" s="2">
        <f t="shared" si="11"/>
        <v>5</v>
      </c>
      <c r="R414" s="1">
        <f t="shared" si="12"/>
        <v>5.0056129999998686E-2</v>
      </c>
      <c r="S414" s="1">
        <f t="shared" si="13"/>
        <v>5.0056129999998686E-2</v>
      </c>
      <c r="T414" s="1" t="str">
        <f t="shared" si="14"/>
        <v>null</v>
      </c>
      <c r="U414" s="1">
        <f t="shared" si="15"/>
        <v>99</v>
      </c>
      <c r="V414" s="3">
        <f t="shared" si="16"/>
        <v>99</v>
      </c>
      <c r="W414" s="3" t="str">
        <f t="shared" si="17"/>
        <v>null</v>
      </c>
      <c r="X414" s="3" t="str">
        <f t="shared" si="18"/>
        <v/>
      </c>
      <c r="Y414" s="3" t="str">
        <f t="shared" si="19"/>
        <v/>
      </c>
      <c r="Z414" s="1" t="str">
        <f t="shared" si="20"/>
        <v/>
      </c>
      <c r="AA414" s="3" t="str">
        <f t="shared" si="21"/>
        <v>null</v>
      </c>
    </row>
    <row r="415" spans="1:27">
      <c r="A415" s="1" t="s">
        <v>246</v>
      </c>
      <c r="B415" s="1">
        <v>2020</v>
      </c>
      <c r="C415" s="1">
        <v>1.3500000240000001</v>
      </c>
      <c r="D415" s="1">
        <v>0</v>
      </c>
      <c r="E415" s="1">
        <v>99.707676649999996</v>
      </c>
      <c r="F415" s="1">
        <v>0</v>
      </c>
      <c r="G415" s="1">
        <v>0.29232334589999998</v>
      </c>
      <c r="H415" s="1">
        <v>0</v>
      </c>
      <c r="I415" s="1">
        <v>99.707676649999996</v>
      </c>
      <c r="J415" s="1">
        <v>0</v>
      </c>
      <c r="K415" s="1">
        <v>0.29232334589999998</v>
      </c>
      <c r="L415" s="1">
        <v>0</v>
      </c>
      <c r="M415" s="1" t="s">
        <v>272</v>
      </c>
      <c r="N415" s="1" t="s">
        <v>272</v>
      </c>
      <c r="O415" s="1" t="s">
        <v>272</v>
      </c>
      <c r="P415" s="1" t="s">
        <v>272</v>
      </c>
      <c r="Q415" s="2" t="str">
        <f t="shared" si="11"/>
        <v/>
      </c>
      <c r="R415" s="1" t="str">
        <f t="shared" si="12"/>
        <v/>
      </c>
      <c r="S415" s="1" t="str">
        <f t="shared" si="13"/>
        <v/>
      </c>
      <c r="T415" s="1" t="str">
        <f t="shared" si="14"/>
        <v/>
      </c>
      <c r="U415" s="1">
        <f t="shared" si="15"/>
        <v>100</v>
      </c>
      <c r="V415" s="3">
        <f t="shared" si="16"/>
        <v>100</v>
      </c>
      <c r="W415" s="3" t="str">
        <f t="shared" si="17"/>
        <v>null</v>
      </c>
      <c r="X415" s="3" t="str">
        <f t="shared" si="18"/>
        <v/>
      </c>
      <c r="Y415" s="3" t="str">
        <f t="shared" si="19"/>
        <v/>
      </c>
      <c r="Z415" s="1" t="str">
        <f t="shared" si="20"/>
        <v/>
      </c>
      <c r="AA415" s="3" t="str">
        <f t="shared" si="21"/>
        <v/>
      </c>
    </row>
    <row r="416" spans="1:27">
      <c r="A416" s="1" t="s">
        <v>247</v>
      </c>
      <c r="B416" s="1">
        <v>2015</v>
      </c>
      <c r="C416" s="1">
        <v>100.7799988</v>
      </c>
      <c r="D416" s="1">
        <v>23.274999619999999</v>
      </c>
      <c r="E416" s="1">
        <v>98.549705349999996</v>
      </c>
      <c r="F416" s="1">
        <v>0.87898212229999995</v>
      </c>
      <c r="G416" s="1">
        <v>0.57131252860000004</v>
      </c>
      <c r="H416" s="1">
        <v>0</v>
      </c>
      <c r="I416" s="1">
        <v>98.393048230000005</v>
      </c>
      <c r="J416" s="1">
        <v>1.1023191240000001</v>
      </c>
      <c r="K416" s="1">
        <v>0.50463264750000003</v>
      </c>
      <c r="L416" s="1">
        <v>0</v>
      </c>
      <c r="M416" s="1">
        <v>99.066110559999998</v>
      </c>
      <c r="N416" s="1">
        <v>0.14276156700000001</v>
      </c>
      <c r="O416" s="1">
        <v>0.79112787279999996</v>
      </c>
      <c r="P416" s="1">
        <v>0</v>
      </c>
      <c r="Q416" s="2">
        <f t="shared" si="11"/>
        <v>5</v>
      </c>
      <c r="R416" s="1">
        <f t="shared" si="12"/>
        <v>3.6275095999999965E-2</v>
      </c>
      <c r="S416" s="1">
        <f t="shared" si="13"/>
        <v>1.5006061999997655E-2</v>
      </c>
      <c r="T416" s="1">
        <f t="shared" si="14"/>
        <v>0.1081095260000012</v>
      </c>
      <c r="U416" s="1">
        <f t="shared" si="15"/>
        <v>99</v>
      </c>
      <c r="V416" s="3">
        <f t="shared" si="16"/>
        <v>98</v>
      </c>
      <c r="W416" s="3">
        <f t="shared" si="17"/>
        <v>99</v>
      </c>
      <c r="X416" s="3" t="str">
        <f t="shared" si="18"/>
        <v/>
      </c>
      <c r="Y416" s="3" t="str">
        <f t="shared" si="19"/>
        <v/>
      </c>
      <c r="Z416" s="1" t="str">
        <f t="shared" si="20"/>
        <v/>
      </c>
      <c r="AA416" s="3">
        <f t="shared" si="21"/>
        <v>-9.310346400000355E-2</v>
      </c>
    </row>
    <row r="417" spans="1:27">
      <c r="A417" s="1" t="s">
        <v>247</v>
      </c>
      <c r="B417" s="1">
        <v>2020</v>
      </c>
      <c r="C417" s="1">
        <v>105.6969986</v>
      </c>
      <c r="D417" s="1">
        <v>23.098999020000001</v>
      </c>
      <c r="E417" s="1">
        <v>98.731080829999996</v>
      </c>
      <c r="F417" s="1">
        <v>0.88149729619999995</v>
      </c>
      <c r="G417" s="1">
        <v>0.38742187769999997</v>
      </c>
      <c r="H417" s="1">
        <v>0</v>
      </c>
      <c r="I417" s="1">
        <v>98.468078539999993</v>
      </c>
      <c r="J417" s="1">
        <v>1.103159706</v>
      </c>
      <c r="K417" s="1">
        <v>0.42876175509999997</v>
      </c>
      <c r="L417" s="1">
        <v>0</v>
      </c>
      <c r="M417" s="1">
        <v>99.606658190000005</v>
      </c>
      <c r="N417" s="1">
        <v>0.143540536</v>
      </c>
      <c r="O417" s="1">
        <v>0.2498012758</v>
      </c>
      <c r="P417" s="1">
        <v>0</v>
      </c>
      <c r="Q417" s="2" t="str">
        <f t="shared" si="11"/>
        <v/>
      </c>
      <c r="R417" s="1" t="str">
        <f t="shared" si="12"/>
        <v/>
      </c>
      <c r="S417" s="1" t="str">
        <f t="shared" si="13"/>
        <v/>
      </c>
      <c r="T417" s="1" t="str">
        <f t="shared" si="14"/>
        <v/>
      </c>
      <c r="U417" s="1">
        <f t="shared" si="15"/>
        <v>99</v>
      </c>
      <c r="V417" s="3">
        <f t="shared" si="16"/>
        <v>98</v>
      </c>
      <c r="W417" s="3">
        <f t="shared" si="17"/>
        <v>100</v>
      </c>
      <c r="X417" s="3" t="str">
        <f t="shared" si="18"/>
        <v/>
      </c>
      <c r="Y417" s="3" t="str">
        <f t="shared" si="19"/>
        <v/>
      </c>
      <c r="Z417" s="1" t="str">
        <f t="shared" si="20"/>
        <v/>
      </c>
      <c r="AA417" s="3" t="str">
        <f t="shared" si="21"/>
        <v/>
      </c>
    </row>
    <row r="418" spans="1:27">
      <c r="A418" s="1" t="s">
        <v>248</v>
      </c>
      <c r="B418" s="1">
        <v>2015</v>
      </c>
      <c r="C418" s="1">
        <v>1370.3320309999999</v>
      </c>
      <c r="D418" s="1">
        <v>53.319000240000001</v>
      </c>
      <c r="E418" s="1">
        <v>98.136177649999993</v>
      </c>
      <c r="F418" s="1">
        <v>1.1164222559999999</v>
      </c>
      <c r="G418" s="1">
        <v>0.56928192339999995</v>
      </c>
      <c r="H418" s="1">
        <v>0.17811817260000001</v>
      </c>
      <c r="I418" s="1" t="s">
        <v>272</v>
      </c>
      <c r="J418" s="1" t="s">
        <v>272</v>
      </c>
      <c r="K418" s="1" t="s">
        <v>272</v>
      </c>
      <c r="L418" s="1" t="s">
        <v>272</v>
      </c>
      <c r="M418" s="1" t="s">
        <v>272</v>
      </c>
      <c r="N418" s="1" t="s">
        <v>272</v>
      </c>
      <c r="O418" s="1" t="s">
        <v>272</v>
      </c>
      <c r="P418" s="1" t="s">
        <v>272</v>
      </c>
      <c r="Q418" s="2">
        <f t="shared" si="11"/>
        <v>5</v>
      </c>
      <c r="R418" s="1">
        <f t="shared" si="12"/>
        <v>0.14779862400000071</v>
      </c>
      <c r="S418" s="1" t="str">
        <f t="shared" si="13"/>
        <v>null</v>
      </c>
      <c r="T418" s="1" t="str">
        <f t="shared" si="14"/>
        <v>null</v>
      </c>
      <c r="U418" s="1">
        <f t="shared" si="15"/>
        <v>98</v>
      </c>
      <c r="V418" s="3" t="str">
        <f t="shared" si="16"/>
        <v>null</v>
      </c>
      <c r="W418" s="3" t="str">
        <f t="shared" si="17"/>
        <v>null</v>
      </c>
      <c r="X418" s="3" t="str">
        <f t="shared" si="18"/>
        <v/>
      </c>
      <c r="Y418" s="3" t="str">
        <f t="shared" si="19"/>
        <v/>
      </c>
      <c r="Z418" s="1" t="str">
        <f t="shared" si="20"/>
        <v/>
      </c>
      <c r="AA418" s="3" t="str">
        <f t="shared" si="21"/>
        <v>null</v>
      </c>
    </row>
    <row r="419" spans="1:27">
      <c r="A419" s="1" t="s">
        <v>248</v>
      </c>
      <c r="B419" s="1">
        <v>2020</v>
      </c>
      <c r="C419" s="1">
        <v>1399.490967</v>
      </c>
      <c r="D419" s="1">
        <v>53.2140007</v>
      </c>
      <c r="E419" s="1">
        <v>98.875170769999997</v>
      </c>
      <c r="F419" s="1">
        <v>1.1248292310000001</v>
      </c>
      <c r="G419" s="1">
        <v>0</v>
      </c>
      <c r="H419" s="1">
        <v>0</v>
      </c>
      <c r="I419" s="1" t="s">
        <v>272</v>
      </c>
      <c r="J419" s="1" t="s">
        <v>272</v>
      </c>
      <c r="K419" s="1" t="s">
        <v>272</v>
      </c>
      <c r="L419" s="1" t="s">
        <v>272</v>
      </c>
      <c r="M419" s="1" t="s">
        <v>272</v>
      </c>
      <c r="N419" s="1" t="s">
        <v>272</v>
      </c>
      <c r="O419" s="1" t="s">
        <v>272</v>
      </c>
      <c r="P419" s="1" t="s">
        <v>272</v>
      </c>
      <c r="Q419" s="2" t="str">
        <f t="shared" si="11"/>
        <v/>
      </c>
      <c r="R419" s="1" t="str">
        <f t="shared" si="12"/>
        <v/>
      </c>
      <c r="S419" s="1" t="str">
        <f t="shared" si="13"/>
        <v/>
      </c>
      <c r="T419" s="1" t="str">
        <f t="shared" si="14"/>
        <v/>
      </c>
      <c r="U419" s="1">
        <f t="shared" si="15"/>
        <v>99</v>
      </c>
      <c r="V419" s="3" t="str">
        <f t="shared" si="16"/>
        <v>null</v>
      </c>
      <c r="W419" s="3" t="str">
        <f t="shared" si="17"/>
        <v>null</v>
      </c>
      <c r="X419" s="3" t="str">
        <f t="shared" si="18"/>
        <v/>
      </c>
      <c r="Y419" s="3" t="str">
        <f t="shared" si="19"/>
        <v/>
      </c>
      <c r="Z419" s="1" t="str">
        <f t="shared" si="20"/>
        <v/>
      </c>
      <c r="AA419" s="3" t="str">
        <f t="shared" si="21"/>
        <v/>
      </c>
    </row>
    <row r="420" spans="1:27">
      <c r="A420" s="1" t="s">
        <v>249</v>
      </c>
      <c r="B420" s="1">
        <v>2015</v>
      </c>
      <c r="C420" s="1">
        <v>11179.95117</v>
      </c>
      <c r="D420" s="1">
        <v>68.055999760000006</v>
      </c>
      <c r="E420" s="1">
        <v>94.845455099999995</v>
      </c>
      <c r="F420" s="1">
        <v>2.9001003930000002</v>
      </c>
      <c r="G420" s="1">
        <v>2.1791030770000002</v>
      </c>
      <c r="H420" s="1">
        <v>7.5341425109999999E-2</v>
      </c>
      <c r="I420" s="1">
        <v>85.59067297</v>
      </c>
      <c r="J420" s="1">
        <v>7.6364837000000003</v>
      </c>
      <c r="K420" s="1">
        <v>6.5369886399999997</v>
      </c>
      <c r="L420" s="1">
        <v>0.23585469070000001</v>
      </c>
      <c r="M420" s="1">
        <v>99.189447939999994</v>
      </c>
      <c r="N420" s="1">
        <v>0.67694539840000001</v>
      </c>
      <c r="O420" s="1">
        <v>0.13360666639999999</v>
      </c>
      <c r="P420" s="1">
        <v>0</v>
      </c>
      <c r="Q420" s="2">
        <f t="shared" si="11"/>
        <v>5</v>
      </c>
      <c r="R420" s="1">
        <f t="shared" si="12"/>
        <v>0.53957077800000097</v>
      </c>
      <c r="S420" s="1">
        <f t="shared" si="13"/>
        <v>1.6691117920000011</v>
      </c>
      <c r="T420" s="1">
        <f t="shared" si="14"/>
        <v>-1.3650061999999252E-2</v>
      </c>
      <c r="U420" s="1">
        <f t="shared" si="15"/>
        <v>95</v>
      </c>
      <c r="V420" s="3">
        <f t="shared" si="16"/>
        <v>86</v>
      </c>
      <c r="W420" s="3">
        <f t="shared" si="17"/>
        <v>99</v>
      </c>
      <c r="X420" s="3" t="str">
        <f t="shared" si="18"/>
        <v/>
      </c>
      <c r="Y420" s="3" t="str">
        <f t="shared" si="19"/>
        <v/>
      </c>
      <c r="Z420" s="1" t="str">
        <f t="shared" si="20"/>
        <v/>
      </c>
      <c r="AA420" s="3">
        <f t="shared" si="21"/>
        <v>1.6827618540000004</v>
      </c>
    </row>
    <row r="421" spans="1:27">
      <c r="A421" s="1" t="s">
        <v>249</v>
      </c>
      <c r="B421" s="1">
        <v>2020</v>
      </c>
      <c r="C421" s="1">
        <v>11818.61816</v>
      </c>
      <c r="D421" s="1">
        <v>69.568000789999999</v>
      </c>
      <c r="E421" s="1">
        <v>97.54330899</v>
      </c>
      <c r="F421" s="1">
        <v>1.63135067</v>
      </c>
      <c r="G421" s="1">
        <v>0.82534033780000005</v>
      </c>
      <c r="H421" s="1">
        <v>0</v>
      </c>
      <c r="I421" s="1">
        <v>93.936231930000005</v>
      </c>
      <c r="J421" s="1">
        <v>3.3516873569999999</v>
      </c>
      <c r="K421" s="1">
        <v>2.71208071</v>
      </c>
      <c r="L421" s="1">
        <v>0</v>
      </c>
      <c r="M421" s="1">
        <v>99.121197629999998</v>
      </c>
      <c r="N421" s="1">
        <v>0.87880236840000003</v>
      </c>
      <c r="O421" s="1">
        <v>0</v>
      </c>
      <c r="P421" s="1">
        <v>0</v>
      </c>
      <c r="Q421" s="2" t="str">
        <f t="shared" si="11"/>
        <v/>
      </c>
      <c r="R421" s="1" t="str">
        <f t="shared" si="12"/>
        <v/>
      </c>
      <c r="S421" s="1" t="str">
        <f t="shared" si="13"/>
        <v/>
      </c>
      <c r="T421" s="1" t="str">
        <f t="shared" si="14"/>
        <v/>
      </c>
      <c r="U421" s="1">
        <f t="shared" si="15"/>
        <v>98</v>
      </c>
      <c r="V421" s="3">
        <f t="shared" si="16"/>
        <v>94</v>
      </c>
      <c r="W421" s="3">
        <f t="shared" si="17"/>
        <v>99</v>
      </c>
      <c r="X421" s="3" t="str">
        <f t="shared" si="18"/>
        <v/>
      </c>
      <c r="Y421" s="3" t="str">
        <f t="shared" si="19"/>
        <v/>
      </c>
      <c r="Z421" s="1" t="str">
        <f t="shared" si="20"/>
        <v/>
      </c>
      <c r="AA421" s="3" t="str">
        <f t="shared" si="21"/>
        <v/>
      </c>
    </row>
    <row r="422" spans="1:27">
      <c r="A422" s="1" t="s">
        <v>250</v>
      </c>
      <c r="B422" s="1">
        <v>2015</v>
      </c>
      <c r="C422" s="1">
        <v>78529.414059999996</v>
      </c>
      <c r="D422" s="1">
        <v>73.611000059999995</v>
      </c>
      <c r="E422" s="1">
        <v>96.256159120000007</v>
      </c>
      <c r="F422" s="1">
        <v>2.0267476019999999</v>
      </c>
      <c r="G422" s="1">
        <v>1.5188707130000001</v>
      </c>
      <c r="H422" s="1">
        <v>0.1982225671</v>
      </c>
      <c r="I422" s="1">
        <v>94.203882989999997</v>
      </c>
      <c r="J422" s="1">
        <v>2.6336569440000002</v>
      </c>
      <c r="K422" s="1">
        <v>2.7404600640000001</v>
      </c>
      <c r="L422" s="1">
        <v>0.42199999999999999</v>
      </c>
      <c r="M422" s="1">
        <v>96.99188504</v>
      </c>
      <c r="N422" s="1">
        <v>1.8091750579999999</v>
      </c>
      <c r="O422" s="1">
        <v>1.080939898</v>
      </c>
      <c r="P422" s="1">
        <v>0.11799999999999999</v>
      </c>
      <c r="Q422" s="2">
        <f t="shared" si="11"/>
        <v>5</v>
      </c>
      <c r="R422" s="1">
        <f t="shared" si="12"/>
        <v>0.15162200799999823</v>
      </c>
      <c r="S422" s="1">
        <f t="shared" si="13"/>
        <v>0.36425735600000164</v>
      </c>
      <c r="T422" s="1">
        <f t="shared" si="14"/>
        <v>6.6586558000000198E-2</v>
      </c>
      <c r="U422" s="1">
        <f t="shared" si="15"/>
        <v>96</v>
      </c>
      <c r="V422" s="3">
        <f t="shared" si="16"/>
        <v>94</v>
      </c>
      <c r="W422" s="3">
        <f t="shared" si="17"/>
        <v>97</v>
      </c>
      <c r="X422" s="3" t="str">
        <f t="shared" si="18"/>
        <v/>
      </c>
      <c r="Y422" s="3" t="str">
        <f t="shared" si="19"/>
        <v/>
      </c>
      <c r="Z422" s="1" t="str">
        <f t="shared" si="20"/>
        <v/>
      </c>
      <c r="AA422" s="3">
        <f t="shared" si="21"/>
        <v>0.29767079800000146</v>
      </c>
    </row>
    <row r="423" spans="1:27">
      <c r="A423" s="1" t="s">
        <v>250</v>
      </c>
      <c r="B423" s="1">
        <v>2020</v>
      </c>
      <c r="C423" s="1">
        <v>84339.070309999996</v>
      </c>
      <c r="D423" s="1">
        <v>76.105003359999998</v>
      </c>
      <c r="E423" s="1">
        <v>97.014269159999998</v>
      </c>
      <c r="F423" s="1">
        <v>2.0230780749999999</v>
      </c>
      <c r="G423" s="1">
        <v>0.73767495449999998</v>
      </c>
      <c r="H423" s="1">
        <v>0.2249778093</v>
      </c>
      <c r="I423" s="1">
        <v>96.025169770000005</v>
      </c>
      <c r="J423" s="1">
        <v>2.684574639</v>
      </c>
      <c r="K423" s="1">
        <v>0.78825559109999999</v>
      </c>
      <c r="L423" s="1">
        <v>0.502</v>
      </c>
      <c r="M423" s="1">
        <v>97.324817830000001</v>
      </c>
      <c r="N423" s="1">
        <v>1.8153852029999999</v>
      </c>
      <c r="O423" s="1">
        <v>0.72179696339999999</v>
      </c>
      <c r="P423" s="1">
        <v>0.13800000000000001</v>
      </c>
      <c r="Q423" s="2" t="str">
        <f t="shared" si="11"/>
        <v/>
      </c>
      <c r="R423" s="1" t="str">
        <f t="shared" si="12"/>
        <v/>
      </c>
      <c r="S423" s="1" t="str">
        <f t="shared" si="13"/>
        <v/>
      </c>
      <c r="T423" s="1" t="str">
        <f t="shared" si="14"/>
        <v/>
      </c>
      <c r="U423" s="1">
        <f t="shared" si="15"/>
        <v>97</v>
      </c>
      <c r="V423" s="3">
        <f t="shared" si="16"/>
        <v>96</v>
      </c>
      <c r="W423" s="3">
        <f t="shared" si="17"/>
        <v>97</v>
      </c>
      <c r="X423" s="3" t="str">
        <f t="shared" si="18"/>
        <v/>
      </c>
      <c r="Y423" s="3" t="str">
        <f t="shared" si="19"/>
        <v/>
      </c>
      <c r="Z423" s="1" t="str">
        <f t="shared" si="20"/>
        <v/>
      </c>
      <c r="AA423" s="3" t="str">
        <f t="shared" si="21"/>
        <v/>
      </c>
    </row>
    <row r="424" spans="1:27">
      <c r="A424" s="1" t="s">
        <v>251</v>
      </c>
      <c r="B424" s="1">
        <v>2015</v>
      </c>
      <c r="C424" s="1">
        <v>5565.283203</v>
      </c>
      <c r="D424" s="1">
        <v>50.317001339999997</v>
      </c>
      <c r="E424" s="1">
        <v>97.658944309999995</v>
      </c>
      <c r="F424" s="1">
        <v>0.94791505470000004</v>
      </c>
      <c r="G424" s="1">
        <v>0.24775003200000001</v>
      </c>
      <c r="H424" s="1">
        <v>1.1453906060000001</v>
      </c>
      <c r="I424" s="1">
        <v>96.219783160000006</v>
      </c>
      <c r="J424" s="1">
        <v>1.0009544290000001</v>
      </c>
      <c r="K424" s="1">
        <v>0.47386486500000002</v>
      </c>
      <c r="L424" s="1">
        <v>2.305397551</v>
      </c>
      <c r="M424" s="1">
        <v>99.079971720000003</v>
      </c>
      <c r="N424" s="1">
        <v>0.89554398800000001</v>
      </c>
      <c r="O424" s="1">
        <v>2.4484294899999998E-2</v>
      </c>
      <c r="P424" s="1">
        <v>0</v>
      </c>
      <c r="Q424" s="2">
        <f t="shared" si="11"/>
        <v>5</v>
      </c>
      <c r="R424" s="1">
        <f t="shared" si="12"/>
        <v>0.46821113800000091</v>
      </c>
      <c r="S424" s="1">
        <f t="shared" si="13"/>
        <v>0.75604336799999883</v>
      </c>
      <c r="T424" s="1">
        <f t="shared" si="14"/>
        <v>0.18400565599999935</v>
      </c>
      <c r="U424" s="1">
        <f t="shared" si="15"/>
        <v>98</v>
      </c>
      <c r="V424" s="3">
        <f t="shared" si="16"/>
        <v>96</v>
      </c>
      <c r="W424" s="3">
        <f t="shared" si="17"/>
        <v>99</v>
      </c>
      <c r="X424" s="3" t="str">
        <f t="shared" si="18"/>
        <v/>
      </c>
      <c r="Y424" s="3" t="str">
        <f t="shared" si="19"/>
        <v/>
      </c>
      <c r="Z424" s="1" t="str">
        <f t="shared" si="20"/>
        <v/>
      </c>
      <c r="AA424" s="3">
        <f t="shared" si="21"/>
        <v>0.57203771199999953</v>
      </c>
    </row>
    <row r="425" spans="1:27">
      <c r="A425" s="1" t="s">
        <v>251</v>
      </c>
      <c r="B425" s="1">
        <v>2020</v>
      </c>
      <c r="C425" s="1">
        <v>6031.1870120000003</v>
      </c>
      <c r="D425" s="1">
        <v>52.516002659999998</v>
      </c>
      <c r="E425" s="1">
        <v>100</v>
      </c>
      <c r="F425" s="1">
        <v>0</v>
      </c>
      <c r="G425" s="1">
        <v>0</v>
      </c>
      <c r="H425" s="1">
        <v>0</v>
      </c>
      <c r="I425" s="1">
        <v>100</v>
      </c>
      <c r="J425" s="1">
        <v>0</v>
      </c>
      <c r="K425" s="1">
        <v>0</v>
      </c>
      <c r="L425" s="1">
        <v>0</v>
      </c>
      <c r="M425" s="1">
        <v>100</v>
      </c>
      <c r="N425" s="1">
        <v>0</v>
      </c>
      <c r="O425" s="1">
        <v>0</v>
      </c>
      <c r="P425" s="1">
        <v>0</v>
      </c>
      <c r="Q425" s="2" t="str">
        <f t="shared" si="11"/>
        <v/>
      </c>
      <c r="R425" s="1" t="str">
        <f t="shared" si="12"/>
        <v/>
      </c>
      <c r="S425" s="1" t="str">
        <f t="shared" si="13"/>
        <v/>
      </c>
      <c r="T425" s="1" t="str">
        <f t="shared" si="14"/>
        <v/>
      </c>
      <c r="U425" s="1">
        <f t="shared" si="15"/>
        <v>100</v>
      </c>
      <c r="V425" s="3">
        <f t="shared" si="16"/>
        <v>100</v>
      </c>
      <c r="W425" s="3">
        <f t="shared" si="17"/>
        <v>100</v>
      </c>
      <c r="X425" s="3" t="str">
        <f t="shared" si="18"/>
        <v/>
      </c>
      <c r="Y425" s="3" t="str">
        <f t="shared" si="19"/>
        <v/>
      </c>
      <c r="Z425" s="1" t="str">
        <f t="shared" si="20"/>
        <v/>
      </c>
      <c r="AA425" s="3" t="str">
        <f t="shared" si="21"/>
        <v/>
      </c>
    </row>
    <row r="426" spans="1:27">
      <c r="A426" s="1" t="s">
        <v>252</v>
      </c>
      <c r="B426" s="1">
        <v>2015</v>
      </c>
      <c r="C426" s="1">
        <v>35.97900009</v>
      </c>
      <c r="D426" s="1">
        <v>92.194992069999998</v>
      </c>
      <c r="E426" s="1">
        <v>94.318181820000007</v>
      </c>
      <c r="F426" s="1">
        <v>0</v>
      </c>
      <c r="G426" s="1">
        <v>5.6818181819999998</v>
      </c>
      <c r="H426" s="1">
        <v>0</v>
      </c>
      <c r="I426" s="1" t="s">
        <v>272</v>
      </c>
      <c r="J426" s="1" t="s">
        <v>272</v>
      </c>
      <c r="K426" s="1" t="s">
        <v>272</v>
      </c>
      <c r="L426" s="1" t="s">
        <v>272</v>
      </c>
      <c r="M426" s="1" t="s">
        <v>272</v>
      </c>
      <c r="N426" s="1" t="s">
        <v>272</v>
      </c>
      <c r="O426" s="1" t="s">
        <v>272</v>
      </c>
      <c r="P426" s="1" t="s">
        <v>272</v>
      </c>
      <c r="Q426" s="2">
        <f t="shared" si="11"/>
        <v>3</v>
      </c>
      <c r="R426" s="1">
        <f t="shared" si="12"/>
        <v>0</v>
      </c>
      <c r="S426" s="1" t="str">
        <f t="shared" si="13"/>
        <v>null</v>
      </c>
      <c r="T426" s="1" t="str">
        <f t="shared" si="14"/>
        <v>null</v>
      </c>
      <c r="U426" s="1">
        <f t="shared" si="15"/>
        <v>94</v>
      </c>
      <c r="V426" s="3" t="str">
        <f t="shared" si="16"/>
        <v>null</v>
      </c>
      <c r="W426" s="3" t="str">
        <f t="shared" si="17"/>
        <v>null</v>
      </c>
      <c r="X426" s="3" t="str">
        <f t="shared" si="18"/>
        <v/>
      </c>
      <c r="Y426" s="3" t="str">
        <f t="shared" si="19"/>
        <v/>
      </c>
      <c r="Z426" s="1" t="str">
        <f t="shared" si="20"/>
        <v/>
      </c>
      <c r="AA426" s="3" t="str">
        <f t="shared" si="21"/>
        <v>null</v>
      </c>
    </row>
    <row r="427" spans="1:27">
      <c r="A427" s="1" t="s">
        <v>252</v>
      </c>
      <c r="B427" s="1">
        <v>2018</v>
      </c>
      <c r="C427" s="1">
        <v>37.666999820000001</v>
      </c>
      <c r="D427" s="1">
        <v>93.097999569999999</v>
      </c>
      <c r="E427" s="1">
        <v>94.318181820000007</v>
      </c>
      <c r="F427" s="1">
        <v>0</v>
      </c>
      <c r="G427" s="1">
        <v>5.6818181819999998</v>
      </c>
      <c r="H427" s="1">
        <v>0</v>
      </c>
      <c r="I427" s="1" t="s">
        <v>272</v>
      </c>
      <c r="J427" s="1" t="s">
        <v>272</v>
      </c>
      <c r="K427" s="1" t="s">
        <v>272</v>
      </c>
      <c r="L427" s="1" t="s">
        <v>272</v>
      </c>
      <c r="M427" s="1" t="s">
        <v>272</v>
      </c>
      <c r="N427" s="1" t="s">
        <v>272</v>
      </c>
      <c r="O427" s="1" t="s">
        <v>272</v>
      </c>
      <c r="P427" s="1" t="s">
        <v>272</v>
      </c>
      <c r="Q427" s="2" t="str">
        <f t="shared" si="11"/>
        <v/>
      </c>
      <c r="R427" s="1" t="str">
        <f t="shared" si="12"/>
        <v/>
      </c>
      <c r="S427" s="1" t="str">
        <f t="shared" si="13"/>
        <v/>
      </c>
      <c r="T427" s="1" t="str">
        <f t="shared" si="14"/>
        <v/>
      </c>
      <c r="U427" s="1">
        <f t="shared" si="15"/>
        <v>94</v>
      </c>
      <c r="V427" s="3" t="str">
        <f t="shared" si="16"/>
        <v>null</v>
      </c>
      <c r="W427" s="3" t="str">
        <f t="shared" si="17"/>
        <v>null</v>
      </c>
      <c r="X427" s="3" t="str">
        <f t="shared" si="18"/>
        <v/>
      </c>
      <c r="Y427" s="3" t="str">
        <f t="shared" si="19"/>
        <v/>
      </c>
      <c r="Z427" s="1" t="str">
        <f t="shared" si="20"/>
        <v/>
      </c>
      <c r="AA427" s="3" t="str">
        <f t="shared" si="21"/>
        <v/>
      </c>
    </row>
    <row r="428" spans="1:27">
      <c r="A428" s="1" t="s">
        <v>253</v>
      </c>
      <c r="B428" s="1">
        <v>2015</v>
      </c>
      <c r="C428" s="1">
        <v>11.09899998</v>
      </c>
      <c r="D428" s="1">
        <v>59.729999540000001</v>
      </c>
      <c r="E428" s="1">
        <v>100</v>
      </c>
      <c r="F428" s="1">
        <v>0</v>
      </c>
      <c r="G428" s="1">
        <v>0</v>
      </c>
      <c r="H428" s="1">
        <v>0</v>
      </c>
      <c r="I428" s="1">
        <v>100</v>
      </c>
      <c r="J428" s="1">
        <v>0</v>
      </c>
      <c r="K428" s="1">
        <v>0</v>
      </c>
      <c r="L428" s="1">
        <v>0</v>
      </c>
      <c r="M428" s="1">
        <v>100</v>
      </c>
      <c r="N428" s="1">
        <v>0</v>
      </c>
      <c r="O428" s="1">
        <v>0</v>
      </c>
      <c r="P428" s="1">
        <v>0</v>
      </c>
      <c r="Q428" s="2">
        <f t="shared" si="11"/>
        <v>5</v>
      </c>
      <c r="R428" s="1">
        <f t="shared" si="12"/>
        <v>0</v>
      </c>
      <c r="S428" s="1">
        <f t="shared" si="13"/>
        <v>0</v>
      </c>
      <c r="T428" s="1">
        <f t="shared" si="14"/>
        <v>0</v>
      </c>
      <c r="U428" s="1">
        <f t="shared" si="15"/>
        <v>100</v>
      </c>
      <c r="V428" s="3">
        <f t="shared" si="16"/>
        <v>100</v>
      </c>
      <c r="W428" s="3">
        <f t="shared" si="17"/>
        <v>100</v>
      </c>
      <c r="X428" s="3" t="str">
        <f t="shared" si="18"/>
        <v>fullaccesss</v>
      </c>
      <c r="Y428" s="3" t="str">
        <f t="shared" si="19"/>
        <v>fullaccesss</v>
      </c>
      <c r="Z428" s="1" t="str">
        <f t="shared" si="20"/>
        <v>fullaccesss</v>
      </c>
      <c r="AA428" s="3">
        <f t="shared" si="21"/>
        <v>0</v>
      </c>
    </row>
    <row r="429" spans="1:27">
      <c r="A429" s="1" t="s">
        <v>253</v>
      </c>
      <c r="B429" s="1">
        <v>2020</v>
      </c>
      <c r="C429" s="1">
        <v>11.791999819999999</v>
      </c>
      <c r="D429" s="1">
        <v>64.013999940000005</v>
      </c>
      <c r="E429" s="1">
        <v>100</v>
      </c>
      <c r="F429" s="1">
        <v>0</v>
      </c>
      <c r="G429" s="1">
        <v>0</v>
      </c>
      <c r="H429" s="1">
        <v>0</v>
      </c>
      <c r="I429" s="1">
        <v>100</v>
      </c>
      <c r="J429" s="1">
        <v>0</v>
      </c>
      <c r="K429" s="1">
        <v>0</v>
      </c>
      <c r="L429" s="1">
        <v>0</v>
      </c>
      <c r="M429" s="1">
        <v>100</v>
      </c>
      <c r="N429" s="1">
        <v>0</v>
      </c>
      <c r="O429" s="1">
        <v>0</v>
      </c>
      <c r="P429" s="1">
        <v>0</v>
      </c>
      <c r="Q429" s="2" t="str">
        <f t="shared" si="11"/>
        <v/>
      </c>
      <c r="R429" s="1" t="str">
        <f t="shared" si="12"/>
        <v/>
      </c>
      <c r="S429" s="1" t="str">
        <f t="shared" si="13"/>
        <v/>
      </c>
      <c r="T429" s="1" t="str">
        <f t="shared" si="14"/>
        <v/>
      </c>
      <c r="U429" s="1">
        <f t="shared" si="15"/>
        <v>100</v>
      </c>
      <c r="V429" s="3">
        <f t="shared" si="16"/>
        <v>100</v>
      </c>
      <c r="W429" s="3">
        <f t="shared" si="17"/>
        <v>100</v>
      </c>
      <c r="X429" s="3" t="str">
        <f t="shared" si="18"/>
        <v/>
      </c>
      <c r="Y429" s="3" t="str">
        <f t="shared" si="19"/>
        <v/>
      </c>
      <c r="Z429" s="1" t="str">
        <f t="shared" si="20"/>
        <v/>
      </c>
      <c r="AA429" s="3" t="str">
        <f t="shared" si="21"/>
        <v/>
      </c>
    </row>
    <row r="430" spans="1:27">
      <c r="A430" s="1" t="s">
        <v>254</v>
      </c>
      <c r="B430" s="1">
        <v>2015</v>
      </c>
      <c r="C430" s="1">
        <v>38225.445310000003</v>
      </c>
      <c r="D430" s="1">
        <v>22.059999470000001</v>
      </c>
      <c r="E430" s="1">
        <v>47.841558360000001</v>
      </c>
      <c r="F430" s="1">
        <v>30.095403770000001</v>
      </c>
      <c r="G430" s="1">
        <v>15.106768450000001</v>
      </c>
      <c r="H430" s="1">
        <v>6.9562694199999999</v>
      </c>
      <c r="I430" s="1">
        <v>39.717003130000002</v>
      </c>
      <c r="J430" s="1">
        <v>34.176563299999998</v>
      </c>
      <c r="K430" s="1">
        <v>17.519117219999998</v>
      </c>
      <c r="L430" s="1">
        <v>8.5873163479999999</v>
      </c>
      <c r="M430" s="1">
        <v>76.546356090000003</v>
      </c>
      <c r="N430" s="1">
        <v>15.67629339</v>
      </c>
      <c r="O430" s="1">
        <v>6.5837192800000004</v>
      </c>
      <c r="P430" s="1">
        <v>1.1936312419999999</v>
      </c>
      <c r="Q430" s="2">
        <f t="shared" si="11"/>
        <v>5</v>
      </c>
      <c r="R430" s="1">
        <f t="shared" si="12"/>
        <v>1.6026981699999994</v>
      </c>
      <c r="S430" s="1">
        <f t="shared" si="13"/>
        <v>1.7028372899999993</v>
      </c>
      <c r="T430" s="1">
        <f t="shared" si="14"/>
        <v>0.44729914199999998</v>
      </c>
      <c r="U430" s="1">
        <f t="shared" si="15"/>
        <v>48</v>
      </c>
      <c r="V430" s="3">
        <f t="shared" si="16"/>
        <v>40</v>
      </c>
      <c r="W430" s="3">
        <f t="shared" si="17"/>
        <v>77</v>
      </c>
      <c r="X430" s="3" t="str">
        <f t="shared" si="18"/>
        <v/>
      </c>
      <c r="Y430" s="3" t="str">
        <f t="shared" si="19"/>
        <v/>
      </c>
      <c r="Z430" s="1" t="str">
        <f t="shared" si="20"/>
        <v/>
      </c>
      <c r="AA430" s="3">
        <f t="shared" si="21"/>
        <v>1.2555381479999994</v>
      </c>
    </row>
    <row r="431" spans="1:27">
      <c r="A431" s="1" t="s">
        <v>254</v>
      </c>
      <c r="B431" s="1">
        <v>2020</v>
      </c>
      <c r="C431" s="1">
        <v>45741</v>
      </c>
      <c r="D431" s="1">
        <v>24.95400047</v>
      </c>
      <c r="E431" s="1">
        <v>55.855049209999997</v>
      </c>
      <c r="F431" s="1">
        <v>27.282859999999999</v>
      </c>
      <c r="G431" s="1">
        <v>12.16590654</v>
      </c>
      <c r="H431" s="1">
        <v>4.6961842520000001</v>
      </c>
      <c r="I431" s="1">
        <v>48.231189579999999</v>
      </c>
      <c r="J431" s="1">
        <v>31.784694259999998</v>
      </c>
      <c r="K431" s="1">
        <v>14.076160610000001</v>
      </c>
      <c r="L431" s="1">
        <v>5.9079555460000002</v>
      </c>
      <c r="M431" s="1">
        <v>78.782851800000003</v>
      </c>
      <c r="N431" s="1">
        <v>13.74416783</v>
      </c>
      <c r="O431" s="1">
        <v>6.4210441329999997</v>
      </c>
      <c r="P431" s="1">
        <v>1.0519362379999999</v>
      </c>
      <c r="Q431" s="2" t="str">
        <f t="shared" si="11"/>
        <v/>
      </c>
      <c r="R431" s="1" t="str">
        <f t="shared" si="12"/>
        <v/>
      </c>
      <c r="S431" s="1" t="str">
        <f t="shared" si="13"/>
        <v/>
      </c>
      <c r="T431" s="1" t="str">
        <f t="shared" si="14"/>
        <v/>
      </c>
      <c r="U431" s="1">
        <f t="shared" si="15"/>
        <v>56</v>
      </c>
      <c r="V431" s="3">
        <f t="shared" si="16"/>
        <v>48</v>
      </c>
      <c r="W431" s="3">
        <f t="shared" si="17"/>
        <v>79</v>
      </c>
      <c r="X431" s="3" t="str">
        <f t="shared" si="18"/>
        <v/>
      </c>
      <c r="Y431" s="3" t="str">
        <f t="shared" si="19"/>
        <v/>
      </c>
      <c r="Z431" s="1" t="str">
        <f t="shared" si="20"/>
        <v/>
      </c>
      <c r="AA431" s="3" t="str">
        <f t="shared" si="21"/>
        <v/>
      </c>
    </row>
    <row r="432" spans="1:27">
      <c r="A432" s="1" t="s">
        <v>255</v>
      </c>
      <c r="B432" s="1">
        <v>2015</v>
      </c>
      <c r="C432" s="1">
        <v>44921.636720000002</v>
      </c>
      <c r="D432" s="1">
        <v>69.061004639999993</v>
      </c>
      <c r="E432" s="1">
        <v>93.65690669</v>
      </c>
      <c r="F432" s="1">
        <v>5.6308737229999997</v>
      </c>
      <c r="G432" s="1">
        <v>0.4364563488</v>
      </c>
      <c r="H432" s="1">
        <v>0.27576323949999998</v>
      </c>
      <c r="I432" s="1">
        <v>98.843111609999994</v>
      </c>
      <c r="J432" s="1">
        <v>0</v>
      </c>
      <c r="K432" s="1">
        <v>0.944405312</v>
      </c>
      <c r="L432" s="1">
        <v>0.21248308169999999</v>
      </c>
      <c r="M432" s="1">
        <v>91.333508530000003</v>
      </c>
      <c r="N432" s="1">
        <v>8.1534782769999996</v>
      </c>
      <c r="O432" s="1">
        <v>0.20890075559999999</v>
      </c>
      <c r="P432" s="1">
        <v>0.30411244139999999</v>
      </c>
      <c r="Q432" s="2">
        <f t="shared" si="11"/>
        <v>5</v>
      </c>
      <c r="R432" s="1">
        <f t="shared" si="12"/>
        <v>5.4275051999999845E-2</v>
      </c>
      <c r="S432" s="1">
        <f t="shared" si="13"/>
        <v>0.2313776780000012</v>
      </c>
      <c r="T432" s="1">
        <f t="shared" si="14"/>
        <v>-1.1247683999999935E-2</v>
      </c>
      <c r="U432" s="1">
        <f t="shared" si="15"/>
        <v>94</v>
      </c>
      <c r="V432" s="3">
        <f t="shared" si="16"/>
        <v>99</v>
      </c>
      <c r="W432" s="3">
        <f t="shared" si="17"/>
        <v>91</v>
      </c>
      <c r="X432" s="3" t="str">
        <f t="shared" si="18"/>
        <v/>
      </c>
      <c r="Y432" s="3" t="str">
        <f t="shared" si="19"/>
        <v/>
      </c>
      <c r="Z432" s="1" t="str">
        <f t="shared" si="20"/>
        <v/>
      </c>
      <c r="AA432" s="3">
        <f t="shared" si="21"/>
        <v>0.24262536200000112</v>
      </c>
    </row>
    <row r="433" spans="1:27">
      <c r="A433" s="1" t="s">
        <v>255</v>
      </c>
      <c r="B433" s="1">
        <v>2020</v>
      </c>
      <c r="C433" s="1">
        <v>43733.757810000003</v>
      </c>
      <c r="D433" s="1">
        <v>69.608001709999996</v>
      </c>
      <c r="E433" s="1">
        <v>93.928281949999999</v>
      </c>
      <c r="F433" s="1">
        <v>5.671978717</v>
      </c>
      <c r="G433" s="1">
        <v>7.5904501289999995E-2</v>
      </c>
      <c r="H433" s="1">
        <v>0.32383483600000001</v>
      </c>
      <c r="I433" s="1">
        <v>100</v>
      </c>
      <c r="J433" s="1">
        <v>0</v>
      </c>
      <c r="K433" s="1">
        <v>0</v>
      </c>
      <c r="L433" s="1">
        <v>0</v>
      </c>
      <c r="M433" s="1">
        <v>91.277270110000003</v>
      </c>
      <c r="N433" s="1">
        <v>8.1484577900000001</v>
      </c>
      <c r="O433" s="1">
        <v>0.1090456533</v>
      </c>
      <c r="P433" s="1">
        <v>0.46522644460000001</v>
      </c>
      <c r="Q433" s="2" t="str">
        <f t="shared" si="11"/>
        <v/>
      </c>
      <c r="R433" s="1" t="str">
        <f t="shared" si="12"/>
        <v/>
      </c>
      <c r="S433" s="1" t="str">
        <f t="shared" si="13"/>
        <v/>
      </c>
      <c r="T433" s="1" t="str">
        <f t="shared" si="14"/>
        <v/>
      </c>
      <c r="U433" s="1">
        <f t="shared" si="15"/>
        <v>94</v>
      </c>
      <c r="V433" s="3">
        <f t="shared" si="16"/>
        <v>100</v>
      </c>
      <c r="W433" s="3">
        <f t="shared" si="17"/>
        <v>91</v>
      </c>
      <c r="X433" s="3" t="str">
        <f t="shared" si="18"/>
        <v/>
      </c>
      <c r="Y433" s="3" t="str">
        <f t="shared" si="19"/>
        <v/>
      </c>
      <c r="Z433" s="1" t="str">
        <f t="shared" si="20"/>
        <v/>
      </c>
      <c r="AA433" s="3" t="str">
        <f t="shared" si="21"/>
        <v/>
      </c>
    </row>
    <row r="434" spans="1:27">
      <c r="A434" s="1" t="s">
        <v>256</v>
      </c>
      <c r="B434" s="1">
        <v>2015</v>
      </c>
      <c r="C434" s="1">
        <v>9262.8964840000008</v>
      </c>
      <c r="D434" s="1">
        <v>85.674003600000006</v>
      </c>
      <c r="E434" s="1">
        <v>99.971332469999993</v>
      </c>
      <c r="F434" s="1">
        <v>0</v>
      </c>
      <c r="G434" s="1">
        <v>2.8667534309999999E-2</v>
      </c>
      <c r="H434" s="1">
        <v>0</v>
      </c>
      <c r="I434" s="1" t="s">
        <v>272</v>
      </c>
      <c r="J434" s="1" t="s">
        <v>272</v>
      </c>
      <c r="K434" s="1" t="s">
        <v>272</v>
      </c>
      <c r="L434" s="1" t="s">
        <v>272</v>
      </c>
      <c r="M434" s="1" t="s">
        <v>272</v>
      </c>
      <c r="N434" s="1" t="s">
        <v>272</v>
      </c>
      <c r="O434" s="1" t="s">
        <v>272</v>
      </c>
      <c r="P434" s="1" t="s">
        <v>272</v>
      </c>
      <c r="Q434" s="2">
        <f t="shared" si="11"/>
        <v>5</v>
      </c>
      <c r="R434" s="1">
        <f t="shared" si="12"/>
        <v>-1.1472939999976005E-3</v>
      </c>
      <c r="S434" s="1" t="str">
        <f t="shared" si="13"/>
        <v>null</v>
      </c>
      <c r="T434" s="1" t="str">
        <f t="shared" si="14"/>
        <v>null</v>
      </c>
      <c r="U434" s="1">
        <f t="shared" si="15"/>
        <v>100</v>
      </c>
      <c r="V434" s="3" t="str">
        <f t="shared" si="16"/>
        <v>null</v>
      </c>
      <c r="W434" s="3" t="str">
        <f t="shared" si="17"/>
        <v>null</v>
      </c>
      <c r="X434" s="3" t="str">
        <f t="shared" si="18"/>
        <v>fullaccesss</v>
      </c>
      <c r="Y434" s="3" t="str">
        <f t="shared" si="19"/>
        <v/>
      </c>
      <c r="Z434" s="1" t="str">
        <f t="shared" si="20"/>
        <v/>
      </c>
      <c r="AA434" s="3" t="str">
        <f t="shared" si="21"/>
        <v>null</v>
      </c>
    </row>
    <row r="435" spans="1:27">
      <c r="A435" s="1" t="s">
        <v>256</v>
      </c>
      <c r="B435" s="1">
        <v>2020</v>
      </c>
      <c r="C435" s="1">
        <v>9890.4003909999992</v>
      </c>
      <c r="D435" s="1">
        <v>87.047996519999998</v>
      </c>
      <c r="E435" s="1">
        <v>99.965596000000005</v>
      </c>
      <c r="F435" s="1">
        <v>0</v>
      </c>
      <c r="G435" s="1">
        <v>3.4403999999999997E-2</v>
      </c>
      <c r="H435" s="1">
        <v>0</v>
      </c>
      <c r="I435" s="1" t="s">
        <v>272</v>
      </c>
      <c r="J435" s="1" t="s">
        <v>272</v>
      </c>
      <c r="K435" s="1" t="s">
        <v>272</v>
      </c>
      <c r="L435" s="1" t="s">
        <v>272</v>
      </c>
      <c r="M435" s="1" t="s">
        <v>272</v>
      </c>
      <c r="N435" s="1" t="s">
        <v>272</v>
      </c>
      <c r="O435" s="1" t="s">
        <v>272</v>
      </c>
      <c r="P435" s="1" t="s">
        <v>272</v>
      </c>
      <c r="Q435" s="2" t="str">
        <f t="shared" si="11"/>
        <v/>
      </c>
      <c r="R435" s="1" t="str">
        <f t="shared" si="12"/>
        <v/>
      </c>
      <c r="S435" s="1" t="str">
        <f t="shared" si="13"/>
        <v/>
      </c>
      <c r="T435" s="1" t="str">
        <f t="shared" si="14"/>
        <v/>
      </c>
      <c r="U435" s="1">
        <f t="shared" si="15"/>
        <v>100</v>
      </c>
      <c r="V435" s="3" t="str">
        <f t="shared" si="16"/>
        <v>null</v>
      </c>
      <c r="W435" s="3" t="str">
        <f t="shared" si="17"/>
        <v>null</v>
      </c>
      <c r="X435" s="3" t="str">
        <f t="shared" si="18"/>
        <v/>
      </c>
      <c r="Y435" s="3" t="str">
        <f t="shared" si="19"/>
        <v/>
      </c>
      <c r="Z435" s="1" t="str">
        <f t="shared" si="20"/>
        <v/>
      </c>
      <c r="AA435" s="3" t="str">
        <f t="shared" si="21"/>
        <v/>
      </c>
    </row>
    <row r="436" spans="1:27">
      <c r="A436" s="1" t="s">
        <v>257</v>
      </c>
      <c r="B436" s="1">
        <v>2015</v>
      </c>
      <c r="C436" s="1">
        <v>65860.148440000004</v>
      </c>
      <c r="D436" s="1">
        <v>82.625999449999995</v>
      </c>
      <c r="E436" s="1">
        <v>100.0000015</v>
      </c>
      <c r="F436" s="1">
        <v>0</v>
      </c>
      <c r="G436" s="1">
        <v>0</v>
      </c>
      <c r="H436" s="1">
        <v>0</v>
      </c>
      <c r="I436" s="1">
        <v>100</v>
      </c>
      <c r="J436" s="1">
        <v>0</v>
      </c>
      <c r="K436" s="1">
        <v>0</v>
      </c>
      <c r="L436" s="1">
        <v>0</v>
      </c>
      <c r="M436" s="1">
        <v>100</v>
      </c>
      <c r="N436" s="1">
        <v>0</v>
      </c>
      <c r="O436" s="1">
        <v>0</v>
      </c>
      <c r="P436" s="1">
        <v>0</v>
      </c>
      <c r="Q436" s="2">
        <f t="shared" si="11"/>
        <v>5</v>
      </c>
      <c r="R436" s="1">
        <f t="shared" si="12"/>
        <v>-5.8800000033443214E-7</v>
      </c>
      <c r="S436" s="1">
        <f t="shared" si="13"/>
        <v>0</v>
      </c>
      <c r="T436" s="1">
        <f t="shared" si="14"/>
        <v>0</v>
      </c>
      <c r="U436" s="1">
        <f t="shared" si="15"/>
        <v>100</v>
      </c>
      <c r="V436" s="3">
        <f t="shared" si="16"/>
        <v>100</v>
      </c>
      <c r="W436" s="3">
        <f t="shared" si="17"/>
        <v>100</v>
      </c>
      <c r="X436" s="3" t="str">
        <f t="shared" si="18"/>
        <v>fullaccesss</v>
      </c>
      <c r="Y436" s="3" t="str">
        <f t="shared" si="19"/>
        <v>fullaccesss</v>
      </c>
      <c r="Z436" s="1" t="str">
        <f t="shared" si="20"/>
        <v>fullaccesss</v>
      </c>
      <c r="AA436" s="3">
        <f t="shared" si="21"/>
        <v>0</v>
      </c>
    </row>
    <row r="437" spans="1:27">
      <c r="A437" s="1" t="s">
        <v>257</v>
      </c>
      <c r="B437" s="1">
        <v>2020</v>
      </c>
      <c r="C437" s="1">
        <v>67886.007809999996</v>
      </c>
      <c r="D437" s="1">
        <v>83.902999879999996</v>
      </c>
      <c r="E437" s="1">
        <v>99.999998559999995</v>
      </c>
      <c r="F437" s="1">
        <v>0</v>
      </c>
      <c r="G437" s="1">
        <v>1.4385328199999999E-6</v>
      </c>
      <c r="H437" s="1">
        <v>0</v>
      </c>
      <c r="I437" s="1">
        <v>100</v>
      </c>
      <c r="J437" s="1">
        <v>0</v>
      </c>
      <c r="K437" s="1">
        <v>0</v>
      </c>
      <c r="L437" s="1">
        <v>0</v>
      </c>
      <c r="M437" s="1">
        <v>100</v>
      </c>
      <c r="N437" s="1">
        <v>0</v>
      </c>
      <c r="O437" s="1">
        <v>0</v>
      </c>
      <c r="P437" s="1">
        <v>0</v>
      </c>
      <c r="Q437" s="2" t="str">
        <f t="shared" si="11"/>
        <v/>
      </c>
      <c r="R437" s="1" t="str">
        <f t="shared" si="12"/>
        <v/>
      </c>
      <c r="S437" s="1" t="str">
        <f t="shared" si="13"/>
        <v/>
      </c>
      <c r="T437" s="1" t="str">
        <f t="shared" si="14"/>
        <v/>
      </c>
      <c r="U437" s="1">
        <f t="shared" si="15"/>
        <v>100</v>
      </c>
      <c r="V437" s="3">
        <f t="shared" si="16"/>
        <v>100</v>
      </c>
      <c r="W437" s="3">
        <f t="shared" si="17"/>
        <v>100</v>
      </c>
      <c r="X437" s="3" t="str">
        <f t="shared" si="18"/>
        <v/>
      </c>
      <c r="Y437" s="3" t="str">
        <f t="shared" si="19"/>
        <v/>
      </c>
      <c r="Z437" s="1" t="str">
        <f t="shared" si="20"/>
        <v/>
      </c>
      <c r="AA437" s="3" t="str">
        <f t="shared" si="21"/>
        <v/>
      </c>
    </row>
    <row r="438" spans="1:27">
      <c r="A438" s="1" t="s">
        <v>258</v>
      </c>
      <c r="B438" s="1">
        <v>2015</v>
      </c>
      <c r="C438" s="1">
        <v>51482.636720000002</v>
      </c>
      <c r="D438" s="1">
        <v>31.617000579999999</v>
      </c>
      <c r="E438" s="1">
        <v>52.963794589999999</v>
      </c>
      <c r="F438" s="1">
        <v>11.30893693</v>
      </c>
      <c r="G438" s="1">
        <v>21.385247880000001</v>
      </c>
      <c r="H438" s="1">
        <v>14.3420206</v>
      </c>
      <c r="I438" s="1">
        <v>38.863424559999999</v>
      </c>
      <c r="J438" s="1">
        <v>13.19289824</v>
      </c>
      <c r="K438" s="1">
        <v>28.1932841</v>
      </c>
      <c r="L438" s="1">
        <v>19.750393110000001</v>
      </c>
      <c r="M438" s="1">
        <v>83.4608554</v>
      </c>
      <c r="N438" s="1">
        <v>7.2342011279999996</v>
      </c>
      <c r="O438" s="1">
        <v>6.6604502999999999</v>
      </c>
      <c r="P438" s="1">
        <v>2.6444931710000001</v>
      </c>
      <c r="Q438" s="2">
        <f t="shared" si="11"/>
        <v>5</v>
      </c>
      <c r="R438" s="1">
        <f t="shared" si="12"/>
        <v>1.5506005999999999</v>
      </c>
      <c r="S438" s="1">
        <f t="shared" si="13"/>
        <v>1.316708156</v>
      </c>
      <c r="T438" s="1">
        <f t="shared" si="14"/>
        <v>1.0666138999999988</v>
      </c>
      <c r="U438" s="1">
        <f t="shared" si="15"/>
        <v>53</v>
      </c>
      <c r="V438" s="3">
        <f t="shared" si="16"/>
        <v>39</v>
      </c>
      <c r="W438" s="3">
        <f t="shared" si="17"/>
        <v>83</v>
      </c>
      <c r="X438" s="3" t="str">
        <f t="shared" si="18"/>
        <v/>
      </c>
      <c r="Y438" s="3" t="str">
        <f t="shared" si="19"/>
        <v/>
      </c>
      <c r="Z438" s="1" t="str">
        <f t="shared" si="20"/>
        <v/>
      </c>
      <c r="AA438" s="3">
        <f t="shared" si="21"/>
        <v>0.25009425600000124</v>
      </c>
    </row>
    <row r="439" spans="1:27">
      <c r="A439" s="1" t="s">
        <v>258</v>
      </c>
      <c r="B439" s="1">
        <v>2020</v>
      </c>
      <c r="C439" s="1">
        <v>59734.214840000001</v>
      </c>
      <c r="D439" s="1">
        <v>35.227001190000003</v>
      </c>
      <c r="E439" s="1">
        <v>60.716797589999999</v>
      </c>
      <c r="F439" s="1">
        <v>11.29007067</v>
      </c>
      <c r="G439" s="1">
        <v>14.51775136</v>
      </c>
      <c r="H439" s="1">
        <v>13.475380380000001</v>
      </c>
      <c r="I439" s="1">
        <v>45.446965339999998</v>
      </c>
      <c r="J439" s="1">
        <v>13.98368881</v>
      </c>
      <c r="K439" s="1">
        <v>21.21996133</v>
      </c>
      <c r="L439" s="1">
        <v>19.349384520000001</v>
      </c>
      <c r="M439" s="1">
        <v>88.793924899999993</v>
      </c>
      <c r="N439" s="1">
        <v>6.3372311659999996</v>
      </c>
      <c r="O439" s="1">
        <v>2.1941787860000002</v>
      </c>
      <c r="P439" s="1">
        <v>2.6746651520000002</v>
      </c>
      <c r="Q439" s="2" t="str">
        <f t="shared" si="11"/>
        <v/>
      </c>
      <c r="R439" s="1" t="str">
        <f t="shared" si="12"/>
        <v/>
      </c>
      <c r="S439" s="1" t="str">
        <f t="shared" si="13"/>
        <v/>
      </c>
      <c r="T439" s="1" t="str">
        <f t="shared" si="14"/>
        <v/>
      </c>
      <c r="U439" s="1">
        <f t="shared" si="15"/>
        <v>61</v>
      </c>
      <c r="V439" s="3">
        <f t="shared" si="16"/>
        <v>45</v>
      </c>
      <c r="W439" s="3">
        <f t="shared" si="17"/>
        <v>89</v>
      </c>
      <c r="X439" s="3" t="str">
        <f t="shared" si="18"/>
        <v/>
      </c>
      <c r="Y439" s="3" t="str">
        <f t="shared" si="19"/>
        <v/>
      </c>
      <c r="Z439" s="1" t="str">
        <f t="shared" si="20"/>
        <v/>
      </c>
      <c r="AA439" s="3" t="str">
        <f t="shared" si="21"/>
        <v/>
      </c>
    </row>
    <row r="440" spans="1:27">
      <c r="A440" s="1" t="s">
        <v>260</v>
      </c>
      <c r="B440" s="1">
        <v>2015</v>
      </c>
      <c r="C440" s="1">
        <v>320878.3125</v>
      </c>
      <c r="D440" s="1">
        <v>81.671005249999993</v>
      </c>
      <c r="E440" s="1">
        <v>99.447157759999996</v>
      </c>
      <c r="F440" s="1">
        <v>0</v>
      </c>
      <c r="G440" s="1">
        <v>0.55284223720000003</v>
      </c>
      <c r="H440" s="1">
        <v>0</v>
      </c>
      <c r="I440" s="1">
        <v>97.780118509999994</v>
      </c>
      <c r="J440" s="1">
        <v>0</v>
      </c>
      <c r="K440" s="1">
        <v>2.2198814850000002</v>
      </c>
      <c r="L440" s="1">
        <v>0</v>
      </c>
      <c r="M440" s="1">
        <v>99.821279809999993</v>
      </c>
      <c r="N440" s="1">
        <v>0</v>
      </c>
      <c r="O440" s="1">
        <v>0.1787201944</v>
      </c>
      <c r="P440" s="1">
        <v>0</v>
      </c>
      <c r="Q440" s="2">
        <f t="shared" si="11"/>
        <v>5</v>
      </c>
      <c r="R440" s="1">
        <f t="shared" si="12"/>
        <v>8.7273784000001339E-2</v>
      </c>
      <c r="S440" s="1">
        <f t="shared" si="13"/>
        <v>0.37813376600000198</v>
      </c>
      <c r="T440" s="1">
        <f t="shared" si="14"/>
        <v>2.1372932000002721E-2</v>
      </c>
      <c r="U440" s="1">
        <f t="shared" si="15"/>
        <v>99</v>
      </c>
      <c r="V440" s="3">
        <f t="shared" si="16"/>
        <v>98</v>
      </c>
      <c r="W440" s="3">
        <f t="shared" si="17"/>
        <v>100</v>
      </c>
      <c r="X440" s="3" t="str">
        <f t="shared" si="18"/>
        <v/>
      </c>
      <c r="Y440" s="3" t="str">
        <f t="shared" si="19"/>
        <v/>
      </c>
      <c r="Z440" s="1" t="str">
        <f t="shared" si="20"/>
        <v>fullaccesss</v>
      </c>
      <c r="AA440" s="3">
        <f t="shared" si="21"/>
        <v>0.35676083399999925</v>
      </c>
    </row>
    <row r="441" spans="1:27">
      <c r="A441" s="1" t="s">
        <v>260</v>
      </c>
      <c r="B441" s="1">
        <v>2020</v>
      </c>
      <c r="C441" s="1">
        <v>331002.65629999997</v>
      </c>
      <c r="D441" s="1">
        <v>82.664001459999994</v>
      </c>
      <c r="E441" s="1">
        <v>99.883526680000003</v>
      </c>
      <c r="F441" s="1">
        <v>0</v>
      </c>
      <c r="G441" s="1">
        <v>0.1164733182</v>
      </c>
      <c r="H441" s="1">
        <v>0</v>
      </c>
      <c r="I441" s="1">
        <v>99.670787340000004</v>
      </c>
      <c r="J441" s="1">
        <v>0</v>
      </c>
      <c r="K441" s="1">
        <v>0.3292126628</v>
      </c>
      <c r="L441" s="1">
        <v>0</v>
      </c>
      <c r="M441" s="1">
        <v>99.928144470000007</v>
      </c>
      <c r="N441" s="1">
        <v>0</v>
      </c>
      <c r="O441" s="1">
        <v>7.1855529599999995E-2</v>
      </c>
      <c r="P441" s="1">
        <v>0</v>
      </c>
      <c r="Q441" s="2" t="str">
        <f t="shared" si="11"/>
        <v/>
      </c>
      <c r="R441" s="1" t="str">
        <f t="shared" si="12"/>
        <v/>
      </c>
      <c r="S441" s="1" t="str">
        <f t="shared" si="13"/>
        <v/>
      </c>
      <c r="T441" s="1" t="str">
        <f t="shared" si="14"/>
        <v/>
      </c>
      <c r="U441" s="1">
        <f t="shared" si="15"/>
        <v>100</v>
      </c>
      <c r="V441" s="3">
        <f t="shared" si="16"/>
        <v>100</v>
      </c>
      <c r="W441" s="3">
        <f t="shared" si="17"/>
        <v>100</v>
      </c>
      <c r="X441" s="3" t="str">
        <f t="shared" si="18"/>
        <v/>
      </c>
      <c r="Y441" s="3" t="str">
        <f t="shared" si="19"/>
        <v/>
      </c>
      <c r="Z441" s="1" t="str">
        <f t="shared" si="20"/>
        <v/>
      </c>
      <c r="AA441" s="3" t="str">
        <f t="shared" si="21"/>
        <v/>
      </c>
    </row>
    <row r="442" spans="1:27">
      <c r="A442" s="1" t="s">
        <v>261</v>
      </c>
      <c r="B442" s="1">
        <v>2015</v>
      </c>
      <c r="C442" s="1">
        <v>104.9499969</v>
      </c>
      <c r="D442" s="1">
        <v>95.349998470000003</v>
      </c>
      <c r="E442" s="1">
        <v>98.718272810000002</v>
      </c>
      <c r="F442" s="1">
        <v>0</v>
      </c>
      <c r="G442" s="1">
        <v>1.2817271859999999</v>
      </c>
      <c r="H442" s="1">
        <v>0</v>
      </c>
      <c r="I442" s="1" t="s">
        <v>272</v>
      </c>
      <c r="J442" s="1" t="s">
        <v>272</v>
      </c>
      <c r="K442" s="1" t="s">
        <v>272</v>
      </c>
      <c r="L442" s="1" t="s">
        <v>272</v>
      </c>
      <c r="M442" s="1" t="s">
        <v>272</v>
      </c>
      <c r="N442" s="1" t="s">
        <v>272</v>
      </c>
      <c r="O442" s="1" t="s">
        <v>272</v>
      </c>
      <c r="P442" s="1" t="s">
        <v>272</v>
      </c>
      <c r="Q442" s="2">
        <f t="shared" si="11"/>
        <v>5</v>
      </c>
      <c r="R442" s="1">
        <f t="shared" si="12"/>
        <v>-1.0860000003276582E-6</v>
      </c>
      <c r="S442" s="1" t="str">
        <f t="shared" si="13"/>
        <v>null</v>
      </c>
      <c r="T442" s="1" t="str">
        <f t="shared" si="14"/>
        <v>null</v>
      </c>
      <c r="U442" s="1">
        <f t="shared" si="15"/>
        <v>99</v>
      </c>
      <c r="V442" s="3" t="str">
        <f t="shared" si="16"/>
        <v>null</v>
      </c>
      <c r="W442" s="3" t="str">
        <f t="shared" si="17"/>
        <v>null</v>
      </c>
      <c r="X442" s="3" t="str">
        <f t="shared" si="18"/>
        <v/>
      </c>
      <c r="Y442" s="3" t="str">
        <f t="shared" si="19"/>
        <v/>
      </c>
      <c r="Z442" s="1" t="str">
        <f t="shared" si="20"/>
        <v/>
      </c>
      <c r="AA442" s="3" t="str">
        <f t="shared" si="21"/>
        <v>null</v>
      </c>
    </row>
    <row r="443" spans="1:27">
      <c r="A443" s="1" t="s">
        <v>261</v>
      </c>
      <c r="B443" s="1">
        <v>2020</v>
      </c>
      <c r="C443" s="1">
        <v>104.4229965</v>
      </c>
      <c r="D443" s="1">
        <v>95.939002990000006</v>
      </c>
      <c r="E443" s="1">
        <v>98.71826738</v>
      </c>
      <c r="F443" s="1">
        <v>0</v>
      </c>
      <c r="G443" s="1">
        <v>1.281732624</v>
      </c>
      <c r="H443" s="1">
        <v>0</v>
      </c>
      <c r="I443" s="1" t="s">
        <v>272</v>
      </c>
      <c r="J443" s="1" t="s">
        <v>272</v>
      </c>
      <c r="K443" s="1" t="s">
        <v>272</v>
      </c>
      <c r="L443" s="1" t="s">
        <v>272</v>
      </c>
      <c r="M443" s="1" t="s">
        <v>272</v>
      </c>
      <c r="N443" s="1" t="s">
        <v>272</v>
      </c>
      <c r="O443" s="1" t="s">
        <v>272</v>
      </c>
      <c r="P443" s="1" t="s">
        <v>272</v>
      </c>
      <c r="Q443" s="2" t="str">
        <f t="shared" si="11"/>
        <v/>
      </c>
      <c r="R443" s="1" t="str">
        <f t="shared" si="12"/>
        <v/>
      </c>
      <c r="S443" s="1" t="str">
        <f t="shared" si="13"/>
        <v/>
      </c>
      <c r="T443" s="1" t="str">
        <f t="shared" si="14"/>
        <v/>
      </c>
      <c r="U443" s="1">
        <f t="shared" si="15"/>
        <v>99</v>
      </c>
      <c r="V443" s="3" t="str">
        <f t="shared" si="16"/>
        <v>null</v>
      </c>
      <c r="W443" s="3" t="str">
        <f t="shared" si="17"/>
        <v>null</v>
      </c>
      <c r="X443" s="3" t="str">
        <f t="shared" si="18"/>
        <v/>
      </c>
      <c r="Y443" s="3" t="str">
        <f t="shared" si="19"/>
        <v/>
      </c>
      <c r="Z443" s="1" t="str">
        <f t="shared" si="20"/>
        <v/>
      </c>
      <c r="AA443" s="3" t="str">
        <f t="shared" si="21"/>
        <v/>
      </c>
    </row>
    <row r="444" spans="1:27">
      <c r="A444" s="1" t="s">
        <v>262</v>
      </c>
      <c r="B444" s="1">
        <v>2015</v>
      </c>
      <c r="C444" s="1">
        <v>3412.0129390000002</v>
      </c>
      <c r="D444" s="1">
        <v>95.04499817</v>
      </c>
      <c r="E444" s="1">
        <v>99.131397559999996</v>
      </c>
      <c r="F444" s="1">
        <v>0.53810473530000003</v>
      </c>
      <c r="G444" s="1">
        <v>0.30749747300000002</v>
      </c>
      <c r="H444" s="1">
        <v>2.3000230189999998E-2</v>
      </c>
      <c r="I444" s="1">
        <v>91.495843840000006</v>
      </c>
      <c r="J444" s="1">
        <v>4.5115506810000001</v>
      </c>
      <c r="K444" s="1">
        <v>3.5284232109999998</v>
      </c>
      <c r="L444" s="1">
        <v>0.46418227099999998</v>
      </c>
      <c r="M444" s="1">
        <v>99.529461979999994</v>
      </c>
      <c r="N444" s="1">
        <v>0.3309562908</v>
      </c>
      <c r="O444" s="1">
        <v>0.13958172699999999</v>
      </c>
      <c r="P444" s="1">
        <v>0</v>
      </c>
      <c r="Q444" s="2">
        <f t="shared" si="11"/>
        <v>5</v>
      </c>
      <c r="R444" s="1">
        <f t="shared" si="12"/>
        <v>7.2872000000000978E-2</v>
      </c>
      <c r="S444" s="1">
        <f t="shared" si="13"/>
        <v>0.76099723199999969</v>
      </c>
      <c r="T444" s="1">
        <f t="shared" si="14"/>
        <v>3.2654492000000347E-2</v>
      </c>
      <c r="U444" s="1">
        <f t="shared" si="15"/>
        <v>99</v>
      </c>
      <c r="V444" s="3">
        <f t="shared" si="16"/>
        <v>91</v>
      </c>
      <c r="W444" s="3">
        <f t="shared" si="17"/>
        <v>100</v>
      </c>
      <c r="X444" s="3" t="str">
        <f t="shared" si="18"/>
        <v/>
      </c>
      <c r="Y444" s="3" t="str">
        <f t="shared" si="19"/>
        <v/>
      </c>
      <c r="Z444" s="1" t="str">
        <f t="shared" si="20"/>
        <v>fullaccesss</v>
      </c>
      <c r="AA444" s="3">
        <f t="shared" si="21"/>
        <v>0.72834273999999932</v>
      </c>
    </row>
    <row r="445" spans="1:27">
      <c r="A445" s="1" t="s">
        <v>262</v>
      </c>
      <c r="B445" s="1">
        <v>2020</v>
      </c>
      <c r="C445" s="1">
        <v>3473.7270509999998</v>
      </c>
      <c r="D445" s="1">
        <v>95.51499939</v>
      </c>
      <c r="E445" s="1">
        <v>99.495757560000001</v>
      </c>
      <c r="F445" s="1">
        <v>0.50424244119999995</v>
      </c>
      <c r="G445" s="1">
        <v>0</v>
      </c>
      <c r="H445" s="1">
        <v>0</v>
      </c>
      <c r="I445" s="1">
        <v>95.300830000000005</v>
      </c>
      <c r="J445" s="1">
        <v>4.6991699999999996</v>
      </c>
      <c r="K445" s="1">
        <v>0</v>
      </c>
      <c r="L445" s="1">
        <v>0</v>
      </c>
      <c r="M445" s="1">
        <v>99.692734439999995</v>
      </c>
      <c r="N445" s="1">
        <v>0.30726556170000002</v>
      </c>
      <c r="O445" s="1">
        <v>0</v>
      </c>
      <c r="P445" s="1">
        <v>0</v>
      </c>
      <c r="Q445" s="2" t="str">
        <f t="shared" si="11"/>
        <v/>
      </c>
      <c r="R445" s="1" t="str">
        <f t="shared" si="12"/>
        <v/>
      </c>
      <c r="S445" s="1" t="str">
        <f t="shared" si="13"/>
        <v/>
      </c>
      <c r="T445" s="1" t="str">
        <f t="shared" si="14"/>
        <v/>
      </c>
      <c r="U445" s="1">
        <f t="shared" si="15"/>
        <v>99</v>
      </c>
      <c r="V445" s="3">
        <f t="shared" si="16"/>
        <v>95</v>
      </c>
      <c r="W445" s="3">
        <f t="shared" si="17"/>
        <v>100</v>
      </c>
      <c r="X445" s="3" t="str">
        <f t="shared" si="18"/>
        <v/>
      </c>
      <c r="Y445" s="3" t="str">
        <f t="shared" si="19"/>
        <v/>
      </c>
      <c r="Z445" s="1" t="str">
        <f t="shared" si="20"/>
        <v/>
      </c>
      <c r="AA445" s="3" t="str">
        <f t="shared" si="21"/>
        <v/>
      </c>
    </row>
    <row r="446" spans="1:27">
      <c r="A446" s="1" t="s">
        <v>263</v>
      </c>
      <c r="B446" s="1">
        <v>2015</v>
      </c>
      <c r="C446" s="1">
        <v>30929.556639999999</v>
      </c>
      <c r="D446" s="1">
        <v>50.75</v>
      </c>
      <c r="E446" s="1">
        <v>97.528578260000003</v>
      </c>
      <c r="F446" s="1">
        <v>0</v>
      </c>
      <c r="G446" s="1">
        <v>0</v>
      </c>
      <c r="H446" s="1">
        <v>2.4714217359999999</v>
      </c>
      <c r="I446" s="1">
        <v>95.642391549999999</v>
      </c>
      <c r="J446" s="1">
        <v>0</v>
      </c>
      <c r="K446" s="1">
        <v>0</v>
      </c>
      <c r="L446" s="1">
        <v>4.3576084509999999</v>
      </c>
      <c r="M446" s="1">
        <v>99.359015619999994</v>
      </c>
      <c r="N446" s="1">
        <v>0</v>
      </c>
      <c r="O446" s="1">
        <v>0</v>
      </c>
      <c r="P446" s="1">
        <v>0.64098438430000004</v>
      </c>
      <c r="Q446" s="2">
        <f t="shared" si="11"/>
        <v>5</v>
      </c>
      <c r="R446" s="1">
        <f t="shared" si="12"/>
        <v>6.0041318000000385E-2</v>
      </c>
      <c r="S446" s="1">
        <f t="shared" si="13"/>
        <v>8.6038161999999835E-2</v>
      </c>
      <c r="T446" s="1">
        <f t="shared" si="14"/>
        <v>3.9397988000001757E-2</v>
      </c>
      <c r="U446" s="1">
        <f t="shared" si="15"/>
        <v>98</v>
      </c>
      <c r="V446" s="3">
        <f t="shared" si="16"/>
        <v>96</v>
      </c>
      <c r="W446" s="3">
        <f t="shared" si="17"/>
        <v>99</v>
      </c>
      <c r="X446" s="3" t="str">
        <f t="shared" si="18"/>
        <v/>
      </c>
      <c r="Y446" s="3" t="str">
        <f t="shared" si="19"/>
        <v/>
      </c>
      <c r="Z446" s="1" t="str">
        <f t="shared" si="20"/>
        <v/>
      </c>
      <c r="AA446" s="3">
        <f t="shared" si="21"/>
        <v>4.6640173999998077E-2</v>
      </c>
    </row>
    <row r="447" spans="1:27">
      <c r="A447" s="1" t="s">
        <v>263</v>
      </c>
      <c r="B447" s="1">
        <v>2020</v>
      </c>
      <c r="C447" s="1">
        <v>33469.199220000002</v>
      </c>
      <c r="D447" s="1">
        <v>50.415996550000003</v>
      </c>
      <c r="E447" s="1">
        <v>97.828784850000005</v>
      </c>
      <c r="F447" s="1">
        <v>0</v>
      </c>
      <c r="G447" s="1">
        <v>0.22384422000000001</v>
      </c>
      <c r="H447" s="1">
        <v>1.947370925</v>
      </c>
      <c r="I447" s="1">
        <v>96.072582359999998</v>
      </c>
      <c r="J447" s="1">
        <v>0</v>
      </c>
      <c r="K447" s="1">
        <v>0</v>
      </c>
      <c r="L447" s="1">
        <v>3.927417637</v>
      </c>
      <c r="M447" s="1">
        <v>99.556005560000003</v>
      </c>
      <c r="N447" s="1">
        <v>0</v>
      </c>
      <c r="O447" s="1">
        <v>0.44399444339999999</v>
      </c>
      <c r="P447" s="1">
        <v>0</v>
      </c>
      <c r="Q447" s="2" t="str">
        <f t="shared" si="11"/>
        <v/>
      </c>
      <c r="R447" s="1" t="str">
        <f t="shared" si="12"/>
        <v/>
      </c>
      <c r="S447" s="1" t="str">
        <f t="shared" si="13"/>
        <v/>
      </c>
      <c r="T447" s="1" t="str">
        <f t="shared" si="14"/>
        <v/>
      </c>
      <c r="U447" s="1">
        <f t="shared" si="15"/>
        <v>98</v>
      </c>
      <c r="V447" s="3">
        <f t="shared" si="16"/>
        <v>96</v>
      </c>
      <c r="W447" s="3">
        <f t="shared" si="17"/>
        <v>100</v>
      </c>
      <c r="X447" s="3" t="str">
        <f t="shared" si="18"/>
        <v/>
      </c>
      <c r="Y447" s="3" t="str">
        <f t="shared" si="19"/>
        <v/>
      </c>
      <c r="Z447" s="1" t="str">
        <f t="shared" si="20"/>
        <v/>
      </c>
      <c r="AA447" s="3" t="str">
        <f t="shared" si="21"/>
        <v/>
      </c>
    </row>
    <row r="448" spans="1:27">
      <c r="A448" s="1" t="s">
        <v>264</v>
      </c>
      <c r="B448" s="1">
        <v>2015</v>
      </c>
      <c r="C448" s="1">
        <v>271.1279907</v>
      </c>
      <c r="D448" s="1">
        <v>24.961002350000001</v>
      </c>
      <c r="E448" s="1">
        <v>89.988176490000001</v>
      </c>
      <c r="F448" s="1">
        <v>1.05094321</v>
      </c>
      <c r="G448" s="1">
        <v>1.545004807</v>
      </c>
      <c r="H448" s="1">
        <v>7.4158754880000002</v>
      </c>
      <c r="I448" s="1">
        <v>86.978050659999994</v>
      </c>
      <c r="J448" s="1">
        <v>1.234982464</v>
      </c>
      <c r="K448" s="1">
        <v>1.9042720630000001</v>
      </c>
      <c r="L448" s="1">
        <v>9.8826948130000005</v>
      </c>
      <c r="M448" s="1">
        <v>99.037355989999995</v>
      </c>
      <c r="N448" s="1">
        <v>0.49767515569999998</v>
      </c>
      <c r="O448" s="1">
        <v>0.46496885310000002</v>
      </c>
      <c r="P448" s="1">
        <v>0</v>
      </c>
      <c r="Q448" s="2">
        <f t="shared" si="11"/>
        <v>5</v>
      </c>
      <c r="R448" s="1">
        <f t="shared" si="12"/>
        <v>0.24860285199999907</v>
      </c>
      <c r="S448" s="1">
        <f t="shared" si="13"/>
        <v>0.28383011399999986</v>
      </c>
      <c r="T448" s="1">
        <f t="shared" si="14"/>
        <v>9.2528802000001062E-2</v>
      </c>
      <c r="U448" s="1">
        <f t="shared" si="15"/>
        <v>90</v>
      </c>
      <c r="V448" s="3">
        <f t="shared" si="16"/>
        <v>87</v>
      </c>
      <c r="W448" s="3">
        <f t="shared" si="17"/>
        <v>99</v>
      </c>
      <c r="X448" s="3" t="str">
        <f t="shared" si="18"/>
        <v/>
      </c>
      <c r="Y448" s="3" t="str">
        <f t="shared" si="19"/>
        <v/>
      </c>
      <c r="Z448" s="1" t="str">
        <f t="shared" si="20"/>
        <v/>
      </c>
      <c r="AA448" s="3">
        <f t="shared" si="21"/>
        <v>0.19130131199999878</v>
      </c>
    </row>
    <row r="449" spans="1:27">
      <c r="A449" s="1" t="s">
        <v>264</v>
      </c>
      <c r="B449" s="1">
        <v>2020</v>
      </c>
      <c r="C449" s="1">
        <v>307.14999390000003</v>
      </c>
      <c r="D449" s="1">
        <v>25.525001530000001</v>
      </c>
      <c r="E449" s="1">
        <v>91.231190749999996</v>
      </c>
      <c r="F449" s="1">
        <v>1.0623850500000001</v>
      </c>
      <c r="G449" s="1">
        <v>0</v>
      </c>
      <c r="H449" s="1">
        <v>7.706424202</v>
      </c>
      <c r="I449" s="1">
        <v>88.397201229999993</v>
      </c>
      <c r="J449" s="1">
        <v>1.255132675</v>
      </c>
      <c r="K449" s="1">
        <v>0</v>
      </c>
      <c r="L449" s="1">
        <v>10.3476661</v>
      </c>
      <c r="M449" s="1">
        <v>99.5</v>
      </c>
      <c r="N449" s="1">
        <v>0.5</v>
      </c>
      <c r="O449" s="1">
        <v>0</v>
      </c>
      <c r="P449" s="1">
        <v>0</v>
      </c>
      <c r="Q449" s="2" t="str">
        <f t="shared" si="11"/>
        <v/>
      </c>
      <c r="R449" s="1" t="str">
        <f t="shared" si="12"/>
        <v/>
      </c>
      <c r="S449" s="1" t="str">
        <f t="shared" si="13"/>
        <v/>
      </c>
      <c r="T449" s="1" t="str">
        <f t="shared" si="14"/>
        <v/>
      </c>
      <c r="U449" s="1">
        <f t="shared" si="15"/>
        <v>91</v>
      </c>
      <c r="V449" s="3">
        <f t="shared" si="16"/>
        <v>88</v>
      </c>
      <c r="W449" s="3">
        <f t="shared" si="17"/>
        <v>100</v>
      </c>
      <c r="X449" s="3" t="str">
        <f t="shared" si="18"/>
        <v/>
      </c>
      <c r="Y449" s="3" t="str">
        <f t="shared" si="19"/>
        <v/>
      </c>
      <c r="Z449" s="1" t="str">
        <f t="shared" si="20"/>
        <v/>
      </c>
      <c r="AA449" s="3" t="str">
        <f t="shared" si="21"/>
        <v/>
      </c>
    </row>
    <row r="450" spans="1:27">
      <c r="A450" s="1" t="s">
        <v>265</v>
      </c>
      <c r="B450" s="1">
        <v>2015</v>
      </c>
      <c r="C450" s="1">
        <v>30081.82617</v>
      </c>
      <c r="D450" s="1">
        <v>88.153999330000005</v>
      </c>
      <c r="E450" s="1">
        <v>94.571275009999994</v>
      </c>
      <c r="F450" s="1">
        <v>0.47523253770000001</v>
      </c>
      <c r="G450" s="1">
        <v>3.5752642610000001</v>
      </c>
      <c r="H450" s="1">
        <v>1.3782281919999999</v>
      </c>
      <c r="I450" s="1" t="s">
        <v>272</v>
      </c>
      <c r="J450" s="1" t="s">
        <v>272</v>
      </c>
      <c r="K450" s="1" t="s">
        <v>272</v>
      </c>
      <c r="L450" s="1" t="s">
        <v>272</v>
      </c>
      <c r="M450" s="1" t="s">
        <v>272</v>
      </c>
      <c r="N450" s="1" t="s">
        <v>272</v>
      </c>
      <c r="O450" s="1" t="s">
        <v>272</v>
      </c>
      <c r="P450" s="1" t="s">
        <v>272</v>
      </c>
      <c r="Q450" s="2">
        <f t="shared" si="11"/>
        <v>5</v>
      </c>
      <c r="R450" s="1">
        <f t="shared" si="12"/>
        <v>-0.17709485999999969</v>
      </c>
      <c r="S450" s="1" t="str">
        <f t="shared" si="13"/>
        <v>null</v>
      </c>
      <c r="T450" s="1" t="str">
        <f t="shared" si="14"/>
        <v>null</v>
      </c>
      <c r="U450" s="1">
        <f t="shared" si="15"/>
        <v>95</v>
      </c>
      <c r="V450" s="3" t="str">
        <f t="shared" si="16"/>
        <v>null</v>
      </c>
      <c r="W450" s="3" t="str">
        <f t="shared" si="17"/>
        <v>null</v>
      </c>
      <c r="X450" s="3" t="str">
        <f t="shared" si="18"/>
        <v/>
      </c>
      <c r="Y450" s="3" t="str">
        <f t="shared" si="19"/>
        <v/>
      </c>
      <c r="Z450" s="1" t="str">
        <f t="shared" si="20"/>
        <v/>
      </c>
      <c r="AA450" s="3" t="str">
        <f t="shared" si="21"/>
        <v>null</v>
      </c>
    </row>
    <row r="451" spans="1:27">
      <c r="A451" s="1" t="s">
        <v>265</v>
      </c>
      <c r="B451" s="1">
        <v>2020</v>
      </c>
      <c r="C451" s="1">
        <v>28435.943360000001</v>
      </c>
      <c r="D451" s="1">
        <v>88.278999330000005</v>
      </c>
      <c r="E451" s="1">
        <v>93.685800709999995</v>
      </c>
      <c r="F451" s="1">
        <v>0.4707829181</v>
      </c>
      <c r="G451" s="1">
        <v>5.8434163730000002</v>
      </c>
      <c r="H451" s="1" t="s">
        <v>272</v>
      </c>
      <c r="I451" s="1" t="s">
        <v>272</v>
      </c>
      <c r="J451" s="1" t="s">
        <v>272</v>
      </c>
      <c r="K451" s="1" t="s">
        <v>272</v>
      </c>
      <c r="L451" s="1" t="s">
        <v>272</v>
      </c>
      <c r="M451" s="1" t="s">
        <v>272</v>
      </c>
      <c r="N451" s="1" t="s">
        <v>272</v>
      </c>
      <c r="O451" s="1" t="s">
        <v>272</v>
      </c>
      <c r="P451" s="1" t="s">
        <v>272</v>
      </c>
      <c r="Q451" s="2" t="str">
        <f t="shared" si="11"/>
        <v/>
      </c>
      <c r="R451" s="1" t="str">
        <f t="shared" si="12"/>
        <v/>
      </c>
      <c r="S451" s="1" t="str">
        <f t="shared" si="13"/>
        <v/>
      </c>
      <c r="T451" s="1" t="str">
        <f t="shared" si="14"/>
        <v/>
      </c>
      <c r="U451" s="1">
        <f t="shared" si="15"/>
        <v>94</v>
      </c>
      <c r="V451" s="3" t="str">
        <f t="shared" si="16"/>
        <v>null</v>
      </c>
      <c r="W451" s="3" t="str">
        <f t="shared" si="17"/>
        <v>null</v>
      </c>
      <c r="X451" s="3" t="str">
        <f t="shared" si="18"/>
        <v/>
      </c>
      <c r="Y451" s="3" t="str">
        <f t="shared" si="19"/>
        <v/>
      </c>
      <c r="Z451" s="1" t="str">
        <f t="shared" si="20"/>
        <v/>
      </c>
      <c r="AA451" s="3" t="str">
        <f t="shared" si="21"/>
        <v/>
      </c>
    </row>
    <row r="452" spans="1:27">
      <c r="A452" s="1" t="s">
        <v>266</v>
      </c>
      <c r="B452" s="1">
        <v>2015</v>
      </c>
      <c r="C452" s="1">
        <v>92677.078129999994</v>
      </c>
      <c r="D452" s="1">
        <v>33.80900192</v>
      </c>
      <c r="E452" s="1">
        <v>93.328060579999999</v>
      </c>
      <c r="F452" s="1">
        <v>5.2071837849999997E-2</v>
      </c>
      <c r="G452" s="1">
        <v>6.1636180359999999</v>
      </c>
      <c r="H452" s="1">
        <v>0.45624954629999998</v>
      </c>
      <c r="I452" s="1">
        <v>90.833067990000004</v>
      </c>
      <c r="J452" s="1">
        <v>0</v>
      </c>
      <c r="K452" s="1">
        <v>8.4776395650000005</v>
      </c>
      <c r="L452" s="1">
        <v>0.68929244290000002</v>
      </c>
      <c r="M452" s="1">
        <v>98.212743520000004</v>
      </c>
      <c r="N452" s="1">
        <v>0.15401768120000001</v>
      </c>
      <c r="O452" s="1">
        <v>1.6332387960000001</v>
      </c>
      <c r="P452" s="1">
        <v>0</v>
      </c>
      <c r="Q452" s="2">
        <f t="shared" si="11"/>
        <v>5</v>
      </c>
      <c r="R452" s="1">
        <f t="shared" si="12"/>
        <v>0.71125925800000123</v>
      </c>
      <c r="S452" s="1">
        <f t="shared" si="13"/>
        <v>0.93629408999999841</v>
      </c>
      <c r="T452" s="1">
        <f t="shared" si="14"/>
        <v>0.1940592979999991</v>
      </c>
      <c r="U452" s="1">
        <f t="shared" si="15"/>
        <v>93</v>
      </c>
      <c r="V452" s="3">
        <f t="shared" si="16"/>
        <v>91</v>
      </c>
      <c r="W452" s="3">
        <f t="shared" si="17"/>
        <v>98</v>
      </c>
      <c r="X452" s="3" t="str">
        <f t="shared" si="18"/>
        <v/>
      </c>
      <c r="Y452" s="3" t="str">
        <f t="shared" si="19"/>
        <v/>
      </c>
      <c r="Z452" s="1" t="str">
        <f t="shared" si="20"/>
        <v/>
      </c>
      <c r="AA452" s="3">
        <f t="shared" si="21"/>
        <v>0.74223479199999931</v>
      </c>
    </row>
    <row r="453" spans="1:27">
      <c r="A453" s="1" t="s">
        <v>266</v>
      </c>
      <c r="B453" s="1">
        <v>2020</v>
      </c>
      <c r="C453" s="1">
        <v>97338.585940000004</v>
      </c>
      <c r="D453" s="1">
        <v>37.340000150000002</v>
      </c>
      <c r="E453" s="1">
        <v>96.884356870000005</v>
      </c>
      <c r="F453" s="1">
        <v>0</v>
      </c>
      <c r="G453" s="1">
        <v>3.1156431260000002</v>
      </c>
      <c r="H453" s="1">
        <v>0</v>
      </c>
      <c r="I453" s="1">
        <v>95.514538439999995</v>
      </c>
      <c r="J453" s="1">
        <v>0</v>
      </c>
      <c r="K453" s="1">
        <v>4.4854615600000001</v>
      </c>
      <c r="L453" s="1">
        <v>0</v>
      </c>
      <c r="M453" s="1">
        <v>99.183040009999999</v>
      </c>
      <c r="N453" s="1">
        <v>0</v>
      </c>
      <c r="O453" s="1">
        <v>0.81695998700000005</v>
      </c>
      <c r="P453" s="1">
        <v>0</v>
      </c>
      <c r="Q453" s="2" t="str">
        <f t="shared" si="11"/>
        <v/>
      </c>
      <c r="R453" s="1" t="str">
        <f t="shared" si="12"/>
        <v/>
      </c>
      <c r="S453" s="1" t="str">
        <f t="shared" si="13"/>
        <v/>
      </c>
      <c r="T453" s="1" t="str">
        <f t="shared" si="14"/>
        <v/>
      </c>
      <c r="U453" s="1">
        <f t="shared" si="15"/>
        <v>97</v>
      </c>
      <c r="V453" s="3">
        <f t="shared" si="16"/>
        <v>96</v>
      </c>
      <c r="W453" s="3">
        <f t="shared" si="17"/>
        <v>99</v>
      </c>
      <c r="X453" s="3" t="str">
        <f t="shared" si="18"/>
        <v/>
      </c>
      <c r="Y453" s="3" t="str">
        <f t="shared" si="19"/>
        <v/>
      </c>
      <c r="Z453" s="1" t="str">
        <f t="shared" si="20"/>
        <v/>
      </c>
      <c r="AA453" s="3" t="str">
        <f t="shared" si="21"/>
        <v/>
      </c>
    </row>
    <row r="454" spans="1:27">
      <c r="A454" s="1" t="s">
        <v>267</v>
      </c>
      <c r="B454" s="1">
        <v>2015</v>
      </c>
      <c r="C454" s="1">
        <v>12.26200008</v>
      </c>
      <c r="D454" s="1">
        <v>0</v>
      </c>
      <c r="E454" s="1">
        <v>99.321381529999996</v>
      </c>
      <c r="F454" s="1">
        <v>0</v>
      </c>
      <c r="G454" s="1">
        <v>0.67861847409999998</v>
      </c>
      <c r="H454" s="1">
        <v>0</v>
      </c>
      <c r="I454" s="1">
        <v>99.321381529999996</v>
      </c>
      <c r="J454" s="1">
        <v>0</v>
      </c>
      <c r="K454" s="1">
        <v>0.67861847409999998</v>
      </c>
      <c r="L454" s="1">
        <v>0</v>
      </c>
      <c r="M454" s="1" t="s">
        <v>272</v>
      </c>
      <c r="N454" s="1" t="s">
        <v>272</v>
      </c>
      <c r="O454" s="1" t="s">
        <v>272</v>
      </c>
      <c r="P454" s="1" t="s">
        <v>272</v>
      </c>
      <c r="Q454" s="2">
        <f t="shared" si="11"/>
        <v>5</v>
      </c>
      <c r="R454" s="1">
        <f t="shared" si="12"/>
        <v>-3.5618833999998857E-2</v>
      </c>
      <c r="S454" s="1">
        <f t="shared" si="13"/>
        <v>-3.5618833999998857E-2</v>
      </c>
      <c r="T454" s="1" t="str">
        <f t="shared" si="14"/>
        <v>null</v>
      </c>
      <c r="U454" s="1">
        <f t="shared" si="15"/>
        <v>99</v>
      </c>
      <c r="V454" s="3">
        <f t="shared" si="16"/>
        <v>99</v>
      </c>
      <c r="W454" s="3" t="str">
        <f t="shared" si="17"/>
        <v>null</v>
      </c>
      <c r="X454" s="3" t="str">
        <f t="shared" si="18"/>
        <v/>
      </c>
      <c r="Y454" s="3" t="str">
        <f t="shared" si="19"/>
        <v/>
      </c>
      <c r="Z454" s="1" t="str">
        <f t="shared" si="20"/>
        <v/>
      </c>
      <c r="AA454" s="3" t="str">
        <f t="shared" si="21"/>
        <v>null</v>
      </c>
    </row>
    <row r="455" spans="1:27">
      <c r="A455" s="1" t="s">
        <v>267</v>
      </c>
      <c r="B455" s="1">
        <v>2020</v>
      </c>
      <c r="C455" s="1">
        <v>11.24600029</v>
      </c>
      <c r="D455" s="1">
        <v>0</v>
      </c>
      <c r="E455" s="1">
        <v>99.143287360000002</v>
      </c>
      <c r="F455" s="1">
        <v>0</v>
      </c>
      <c r="G455" s="1">
        <v>0.85671263900000005</v>
      </c>
      <c r="H455" s="1">
        <v>0</v>
      </c>
      <c r="I455" s="1">
        <v>99.143287360000002</v>
      </c>
      <c r="J455" s="1">
        <v>0</v>
      </c>
      <c r="K455" s="1">
        <v>0.85671263900000005</v>
      </c>
      <c r="L455" s="1">
        <v>0</v>
      </c>
      <c r="M455" s="1" t="s">
        <v>272</v>
      </c>
      <c r="N455" s="1" t="s">
        <v>272</v>
      </c>
      <c r="O455" s="1" t="s">
        <v>272</v>
      </c>
      <c r="P455" s="1" t="s">
        <v>272</v>
      </c>
      <c r="Q455" s="2" t="str">
        <f t="shared" si="11"/>
        <v/>
      </c>
      <c r="R455" s="1" t="str">
        <f t="shared" si="12"/>
        <v/>
      </c>
      <c r="S455" s="1" t="str">
        <f t="shared" si="13"/>
        <v/>
      </c>
      <c r="T455" s="1" t="str">
        <f t="shared" si="14"/>
        <v/>
      </c>
      <c r="U455" s="1">
        <f t="shared" si="15"/>
        <v>99</v>
      </c>
      <c r="V455" s="3">
        <f t="shared" si="16"/>
        <v>99</v>
      </c>
      <c r="W455" s="3" t="str">
        <f t="shared" si="17"/>
        <v>null</v>
      </c>
      <c r="X455" s="3" t="str">
        <f t="shared" si="18"/>
        <v/>
      </c>
      <c r="Y455" s="3" t="str">
        <f t="shared" si="19"/>
        <v/>
      </c>
      <c r="Z455" s="1" t="str">
        <f t="shared" si="20"/>
        <v/>
      </c>
      <c r="AA455" s="3" t="str">
        <f t="shared" si="21"/>
        <v/>
      </c>
    </row>
    <row r="456" spans="1:27">
      <c r="A456" s="1" t="s">
        <v>268</v>
      </c>
      <c r="B456" s="1">
        <v>2015</v>
      </c>
      <c r="C456" s="1">
        <v>4529.1601559999999</v>
      </c>
      <c r="D456" s="1">
        <v>75.367996219999995</v>
      </c>
      <c r="E456" s="1">
        <v>96.379856709999999</v>
      </c>
      <c r="F456" s="1">
        <v>0.58753466440000002</v>
      </c>
      <c r="G456" s="1">
        <v>3.0326086220000001</v>
      </c>
      <c r="H456" s="1" t="s">
        <v>272</v>
      </c>
      <c r="I456" s="1">
        <v>95.381142350000005</v>
      </c>
      <c r="J456" s="1">
        <v>0.99273120920000002</v>
      </c>
      <c r="K456" s="1">
        <v>3.6261264409999998</v>
      </c>
      <c r="L456" s="1" t="s">
        <v>272</v>
      </c>
      <c r="M456" s="1">
        <v>96.706259619999997</v>
      </c>
      <c r="N456" s="1">
        <v>0.45510708030000002</v>
      </c>
      <c r="O456" s="1">
        <v>2.838633298</v>
      </c>
      <c r="P456" s="1" t="s">
        <v>272</v>
      </c>
      <c r="Q456" s="2">
        <f t="shared" si="11"/>
        <v>5</v>
      </c>
      <c r="R456" s="1">
        <f t="shared" si="12"/>
        <v>0.30010810200000149</v>
      </c>
      <c r="S456" s="1">
        <f t="shared" si="13"/>
        <v>0.66688281399999882</v>
      </c>
      <c r="T456" s="1">
        <f t="shared" si="14"/>
        <v>0.18414096200000074</v>
      </c>
      <c r="U456" s="1">
        <f t="shared" si="15"/>
        <v>96</v>
      </c>
      <c r="V456" s="3">
        <f t="shared" si="16"/>
        <v>95</v>
      </c>
      <c r="W456" s="3">
        <f t="shared" si="17"/>
        <v>97</v>
      </c>
      <c r="X456" s="3" t="str">
        <f t="shared" si="18"/>
        <v/>
      </c>
      <c r="Y456" s="3" t="str">
        <f t="shared" si="19"/>
        <v/>
      </c>
      <c r="Z456" s="1" t="str">
        <f t="shared" si="20"/>
        <v/>
      </c>
      <c r="AA456" s="3">
        <f t="shared" si="21"/>
        <v>0.48274185199999808</v>
      </c>
    </row>
    <row r="457" spans="1:27">
      <c r="A457" s="1" t="s">
        <v>268</v>
      </c>
      <c r="B457" s="1">
        <v>2020</v>
      </c>
      <c r="C457" s="1">
        <v>5101.4160160000001</v>
      </c>
      <c r="D457" s="1">
        <v>76.718994140000007</v>
      </c>
      <c r="E457" s="1">
        <v>97.880397220000006</v>
      </c>
      <c r="F457" s="1">
        <v>1.029979486</v>
      </c>
      <c r="G457" s="1">
        <v>1.089623295</v>
      </c>
      <c r="H457" s="1" t="s">
        <v>272</v>
      </c>
      <c r="I457" s="1">
        <v>98.715556419999999</v>
      </c>
      <c r="J457" s="1">
        <v>0.31740062730000002</v>
      </c>
      <c r="K457" s="1">
        <v>0.96704295760000003</v>
      </c>
      <c r="L457" s="1" t="s">
        <v>272</v>
      </c>
      <c r="M457" s="1">
        <v>97.626964430000001</v>
      </c>
      <c r="N457" s="1">
        <v>1.246217358</v>
      </c>
      <c r="O457" s="1">
        <v>1.126818208</v>
      </c>
      <c r="P457" s="1" t="s">
        <v>272</v>
      </c>
      <c r="Q457" s="2" t="str">
        <f t="shared" si="11"/>
        <v/>
      </c>
      <c r="R457" s="1" t="str">
        <f t="shared" si="12"/>
        <v/>
      </c>
      <c r="S457" s="1" t="str">
        <f t="shared" si="13"/>
        <v/>
      </c>
      <c r="T457" s="1" t="str">
        <f t="shared" si="14"/>
        <v/>
      </c>
      <c r="U457" s="1">
        <f t="shared" si="15"/>
        <v>98</v>
      </c>
      <c r="V457" s="3">
        <f t="shared" si="16"/>
        <v>99</v>
      </c>
      <c r="W457" s="3">
        <f t="shared" si="17"/>
        <v>98</v>
      </c>
      <c r="X457" s="3" t="str">
        <f t="shared" si="18"/>
        <v/>
      </c>
      <c r="Y457" s="3" t="str">
        <f t="shared" si="19"/>
        <v/>
      </c>
      <c r="Z457" s="1" t="str">
        <f t="shared" si="20"/>
        <v/>
      </c>
      <c r="AA457" s="3" t="str">
        <f t="shared" si="21"/>
        <v/>
      </c>
    </row>
    <row r="458" spans="1:27">
      <c r="A458" s="1" t="s">
        <v>269</v>
      </c>
      <c r="B458" s="1">
        <v>2015</v>
      </c>
      <c r="C458" s="1">
        <v>26497.880860000001</v>
      </c>
      <c r="D458" s="1">
        <v>34.777000430000001</v>
      </c>
      <c r="E458" s="1">
        <v>55.778868629999998</v>
      </c>
      <c r="F458" s="1">
        <v>26.035606600000001</v>
      </c>
      <c r="G458" s="1">
        <v>14.70974567</v>
      </c>
      <c r="H458" s="1">
        <v>3.4757790979999998</v>
      </c>
      <c r="I458" s="1">
        <v>44.958268160000003</v>
      </c>
      <c r="J458" s="1">
        <v>28.794611020000001</v>
      </c>
      <c r="K458" s="1">
        <v>21.10381293</v>
      </c>
      <c r="L458" s="1">
        <v>5.1433078959999996</v>
      </c>
      <c r="M458" s="1">
        <v>76.072511899999995</v>
      </c>
      <c r="N458" s="1">
        <v>20.861194009999998</v>
      </c>
      <c r="O458" s="1">
        <v>2.7179047039999999</v>
      </c>
      <c r="P458" s="1">
        <v>0.3483893924</v>
      </c>
      <c r="Q458" s="2">
        <f t="shared" si="11"/>
        <v>5</v>
      </c>
      <c r="R458" s="1">
        <f t="shared" si="12"/>
        <v>0.97694024200000062</v>
      </c>
      <c r="S458" s="1">
        <f t="shared" si="13"/>
        <v>1.1446132419999997</v>
      </c>
      <c r="T458" s="1">
        <f t="shared" si="14"/>
        <v>0.18832348800000034</v>
      </c>
      <c r="U458" s="1">
        <f t="shared" si="15"/>
        <v>56</v>
      </c>
      <c r="V458" s="3">
        <f t="shared" si="16"/>
        <v>45</v>
      </c>
      <c r="W458" s="3">
        <f t="shared" si="17"/>
        <v>76</v>
      </c>
      <c r="X458" s="3" t="str">
        <f t="shared" si="18"/>
        <v/>
      </c>
      <c r="Y458" s="3" t="str">
        <f t="shared" si="19"/>
        <v/>
      </c>
      <c r="Z458" s="1" t="str">
        <f t="shared" si="20"/>
        <v/>
      </c>
      <c r="AA458" s="3">
        <f t="shared" si="21"/>
        <v>0.95628975399999938</v>
      </c>
    </row>
    <row r="459" spans="1:27">
      <c r="A459" s="1" t="s">
        <v>269</v>
      </c>
      <c r="B459" s="1">
        <v>2020</v>
      </c>
      <c r="C459" s="1">
        <v>29825.96875</v>
      </c>
      <c r="D459" s="1">
        <v>37.907997129999998</v>
      </c>
      <c r="E459" s="1">
        <v>60.663569840000001</v>
      </c>
      <c r="F459" s="1">
        <v>28.9627418</v>
      </c>
      <c r="G459" s="1">
        <v>7.77785276</v>
      </c>
      <c r="H459" s="1">
        <v>2.595835594</v>
      </c>
      <c r="I459" s="1">
        <v>50.681334370000002</v>
      </c>
      <c r="J459" s="1">
        <v>33.53021373</v>
      </c>
      <c r="K459" s="1">
        <v>11.60782393</v>
      </c>
      <c r="L459" s="1">
        <v>4.1806279780000004</v>
      </c>
      <c r="M459" s="1">
        <v>77.014129339999997</v>
      </c>
      <c r="N459" s="1">
        <v>21.481379369999999</v>
      </c>
      <c r="O459" s="1">
        <v>1.5044912859999999</v>
      </c>
      <c r="P459" s="1">
        <v>0</v>
      </c>
      <c r="Q459" s="2" t="str">
        <f t="shared" si="11"/>
        <v/>
      </c>
      <c r="R459" s="1" t="str">
        <f t="shared" si="12"/>
        <v/>
      </c>
      <c r="S459" s="1" t="str">
        <f t="shared" si="13"/>
        <v/>
      </c>
      <c r="T459" s="1" t="str">
        <f t="shared" si="14"/>
        <v/>
      </c>
      <c r="U459" s="1">
        <f t="shared" si="15"/>
        <v>61</v>
      </c>
      <c r="V459" s="3">
        <f t="shared" si="16"/>
        <v>51</v>
      </c>
      <c r="W459" s="3">
        <f t="shared" si="17"/>
        <v>77</v>
      </c>
      <c r="X459" s="3" t="str">
        <f t="shared" si="18"/>
        <v/>
      </c>
      <c r="Y459" s="3" t="str">
        <f t="shared" si="19"/>
        <v/>
      </c>
      <c r="Z459" s="1" t="str">
        <f t="shared" si="20"/>
        <v/>
      </c>
      <c r="AA459" s="3" t="str">
        <f t="shared" si="21"/>
        <v/>
      </c>
    </row>
    <row r="460" spans="1:27">
      <c r="A460" s="1" t="s">
        <v>270</v>
      </c>
      <c r="B460" s="1">
        <v>2015</v>
      </c>
      <c r="C460" s="1">
        <v>15879.37012</v>
      </c>
      <c r="D460" s="1">
        <v>41.9070015</v>
      </c>
      <c r="E460" s="1">
        <v>61.338746280000002</v>
      </c>
      <c r="F460" s="1">
        <v>5.6539172300000002</v>
      </c>
      <c r="G460" s="1">
        <v>23.3359001</v>
      </c>
      <c r="H460" s="1">
        <v>9.6714363920000004</v>
      </c>
      <c r="I460" s="1">
        <v>43.616834320000002</v>
      </c>
      <c r="J460" s="1">
        <v>7.2108648679999998</v>
      </c>
      <c r="K460" s="1">
        <v>33.257219489999997</v>
      </c>
      <c r="L460" s="1">
        <v>15.915081320000001</v>
      </c>
      <c r="M460" s="1">
        <v>85.90549729</v>
      </c>
      <c r="N460" s="1">
        <v>3.495619671</v>
      </c>
      <c r="O460" s="1">
        <v>9.5826138469999993</v>
      </c>
      <c r="P460" s="1">
        <v>1.0162691930000001</v>
      </c>
      <c r="Q460" s="2">
        <f t="shared" si="11"/>
        <v>5</v>
      </c>
      <c r="R460" s="1">
        <f t="shared" si="12"/>
        <v>0.81472745800000013</v>
      </c>
      <c r="S460" s="1">
        <f t="shared" si="13"/>
        <v>0.9220908019999996</v>
      </c>
      <c r="T460" s="1">
        <f t="shared" si="14"/>
        <v>0.16567147400000123</v>
      </c>
      <c r="U460" s="1">
        <f t="shared" si="15"/>
        <v>61</v>
      </c>
      <c r="V460" s="3">
        <f t="shared" si="16"/>
        <v>44</v>
      </c>
      <c r="W460" s="3">
        <f t="shared" si="17"/>
        <v>86</v>
      </c>
      <c r="X460" s="3" t="str">
        <f t="shared" si="18"/>
        <v/>
      </c>
      <c r="Y460" s="3" t="str">
        <f t="shared" si="19"/>
        <v/>
      </c>
      <c r="Z460" s="1" t="str">
        <f t="shared" si="20"/>
        <v/>
      </c>
      <c r="AA460" s="3">
        <f t="shared" si="21"/>
        <v>0.75641932799999834</v>
      </c>
    </row>
    <row r="461" spans="1:27">
      <c r="A461" s="1" t="s">
        <v>270</v>
      </c>
      <c r="B461" s="1">
        <v>2020</v>
      </c>
      <c r="C461" s="1">
        <v>18383.95508</v>
      </c>
      <c r="D461" s="1">
        <v>44.6289978</v>
      </c>
      <c r="E461" s="1">
        <v>65.412383570000003</v>
      </c>
      <c r="F461" s="1">
        <v>6.1539390200000001</v>
      </c>
      <c r="G461" s="1">
        <v>21.576840709999999</v>
      </c>
      <c r="H461" s="1">
        <v>6.8568367060000002</v>
      </c>
      <c r="I461" s="1">
        <v>48.22728833</v>
      </c>
      <c r="J461" s="1">
        <v>8.3317036130000002</v>
      </c>
      <c r="K461" s="1">
        <v>31.608654439999999</v>
      </c>
      <c r="L461" s="1">
        <v>11.832353619999999</v>
      </c>
      <c r="M461" s="1">
        <v>86.733854660000006</v>
      </c>
      <c r="N461" s="1">
        <v>3.4519961939999999</v>
      </c>
      <c r="O461" s="1">
        <v>9.1304141049999998</v>
      </c>
      <c r="P461" s="1">
        <v>0.68373504630000004</v>
      </c>
      <c r="Q461" s="2" t="str">
        <f t="shared" si="11"/>
        <v/>
      </c>
      <c r="R461" s="1" t="str">
        <f t="shared" si="12"/>
        <v/>
      </c>
      <c r="S461" s="1" t="str">
        <f t="shared" si="13"/>
        <v/>
      </c>
      <c r="T461" s="1" t="str">
        <f t="shared" si="14"/>
        <v/>
      </c>
      <c r="U461" s="1">
        <f t="shared" si="15"/>
        <v>65</v>
      </c>
      <c r="V461" s="3">
        <f t="shared" si="16"/>
        <v>48</v>
      </c>
      <c r="W461" s="3">
        <f t="shared" si="17"/>
        <v>87</v>
      </c>
      <c r="X461" s="3" t="str">
        <f t="shared" si="18"/>
        <v/>
      </c>
      <c r="Y461" s="3" t="str">
        <f t="shared" si="19"/>
        <v/>
      </c>
      <c r="Z461" s="1" t="str">
        <f t="shared" si="20"/>
        <v/>
      </c>
      <c r="AA461" s="3" t="str">
        <f t="shared" si="21"/>
        <v/>
      </c>
    </row>
    <row r="462" spans="1:27">
      <c r="A462" s="1" t="s">
        <v>271</v>
      </c>
      <c r="B462" s="1">
        <v>2015</v>
      </c>
      <c r="C462" s="1">
        <v>13814.641600000001</v>
      </c>
      <c r="D462" s="1">
        <v>32.384998320000001</v>
      </c>
      <c r="E462" s="1">
        <v>64.954929109999995</v>
      </c>
      <c r="F462" s="1">
        <v>12.456764769999999</v>
      </c>
      <c r="G462" s="1">
        <v>15.89884206</v>
      </c>
      <c r="H462" s="1">
        <v>6.6894640550000002</v>
      </c>
      <c r="I462" s="1">
        <v>51.25006071</v>
      </c>
      <c r="J462" s="1">
        <v>16.396726579999999</v>
      </c>
      <c r="K462" s="1">
        <v>22.514468619999999</v>
      </c>
      <c r="L462" s="1">
        <v>9.8387440880000003</v>
      </c>
      <c r="M462" s="1">
        <v>93.568635740000005</v>
      </c>
      <c r="N462" s="1">
        <v>4.2307197299999997</v>
      </c>
      <c r="O462" s="1">
        <v>2.086401773</v>
      </c>
      <c r="P462" s="1">
        <v>0.11424275640000001</v>
      </c>
      <c r="Q462" s="2">
        <f t="shared" si="11"/>
        <v>5</v>
      </c>
      <c r="R462" s="1">
        <f t="shared" si="12"/>
        <v>-0.45769429999999856</v>
      </c>
      <c r="S462" s="1">
        <f t="shared" si="13"/>
        <v>-0.59352637199999947</v>
      </c>
      <c r="T462" s="1">
        <f t="shared" si="14"/>
        <v>-0.13470135800000094</v>
      </c>
      <c r="U462" s="1">
        <f t="shared" si="15"/>
        <v>65</v>
      </c>
      <c r="V462" s="3">
        <f t="shared" si="16"/>
        <v>51</v>
      </c>
      <c r="W462" s="3">
        <f t="shared" si="17"/>
        <v>94</v>
      </c>
      <c r="X462" s="3" t="str">
        <f t="shared" si="18"/>
        <v/>
      </c>
      <c r="Y462" s="3" t="str">
        <f t="shared" si="19"/>
        <v/>
      </c>
      <c r="Z462" s="1" t="str">
        <f t="shared" si="20"/>
        <v/>
      </c>
      <c r="AA462" s="3">
        <f t="shared" si="21"/>
        <v>-0.45882501399999853</v>
      </c>
    </row>
    <row r="463" spans="1:27">
      <c r="A463" s="1" t="s">
        <v>271</v>
      </c>
      <c r="B463" s="1">
        <v>2020</v>
      </c>
      <c r="C463" s="1">
        <v>14862.92676</v>
      </c>
      <c r="D463" s="1">
        <v>32.242000580000003</v>
      </c>
      <c r="E463" s="1">
        <v>62.666457610000002</v>
      </c>
      <c r="F463" s="1">
        <v>14.1975397</v>
      </c>
      <c r="G463" s="1">
        <v>16.277855450000001</v>
      </c>
      <c r="H463" s="1">
        <v>6.8581472420000003</v>
      </c>
      <c r="I463" s="1">
        <v>48.282428850000002</v>
      </c>
      <c r="J463" s="1">
        <v>18.590984670000001</v>
      </c>
      <c r="K463" s="1">
        <v>23.013646550000001</v>
      </c>
      <c r="L463" s="1">
        <v>10.112939920000001</v>
      </c>
      <c r="M463" s="1">
        <v>92.89512895</v>
      </c>
      <c r="N463" s="1">
        <v>4.9645177570000003</v>
      </c>
      <c r="O463" s="1">
        <v>2.1222986740000001</v>
      </c>
      <c r="P463" s="1">
        <v>1.805461538E-2</v>
      </c>
      <c r="Q463" s="2" t="str">
        <f t="shared" si="11"/>
        <v/>
      </c>
      <c r="R463" s="1" t="str">
        <f t="shared" si="12"/>
        <v/>
      </c>
      <c r="S463" s="1" t="str">
        <f t="shared" si="13"/>
        <v/>
      </c>
      <c r="T463" s="1" t="str">
        <f t="shared" si="14"/>
        <v/>
      </c>
      <c r="U463" s="1">
        <f t="shared" si="15"/>
        <v>63</v>
      </c>
      <c r="V463" s="3">
        <f t="shared" si="16"/>
        <v>48</v>
      </c>
      <c r="W463" s="3">
        <f t="shared" si="17"/>
        <v>93</v>
      </c>
      <c r="X463" s="3" t="str">
        <f t="shared" si="18"/>
        <v/>
      </c>
      <c r="Y463" s="3" t="str">
        <f t="shared" si="19"/>
        <v/>
      </c>
      <c r="Z463" s="1" t="str">
        <f t="shared" si="20"/>
        <v/>
      </c>
      <c r="AA463" s="3" t="str">
        <f t="shared" si="21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46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1" max="21" width="17.7265625" customWidth="1"/>
    <col min="22" max="22" width="17.36328125" customWidth="1"/>
    <col min="23" max="23" width="17.7265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16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27</v>
      </c>
      <c r="R1" s="2" t="s">
        <v>31</v>
      </c>
      <c r="S1" s="2" t="s">
        <v>35</v>
      </c>
      <c r="T1" s="2" t="s">
        <v>37</v>
      </c>
      <c r="U1" s="2" t="s">
        <v>39</v>
      </c>
      <c r="V1" s="2" t="s">
        <v>41</v>
      </c>
      <c r="W1" s="2" t="s">
        <v>43</v>
      </c>
    </row>
    <row r="2" spans="1:23">
      <c r="A2" s="1" t="s">
        <v>11</v>
      </c>
      <c r="B2" s="1">
        <v>2015</v>
      </c>
      <c r="C2" s="1">
        <v>34413.601560000003</v>
      </c>
      <c r="D2" s="1">
        <v>24.802999499999999</v>
      </c>
      <c r="E2" s="1">
        <v>61.339780810000001</v>
      </c>
      <c r="F2" s="1">
        <v>3.5111995139999999</v>
      </c>
      <c r="G2" s="1">
        <v>22.168783829999999</v>
      </c>
      <c r="H2" s="1">
        <v>12.98023585</v>
      </c>
      <c r="I2" s="1">
        <v>52.988502019999999</v>
      </c>
      <c r="J2" s="1">
        <v>3.8611366170000001</v>
      </c>
      <c r="K2" s="1">
        <v>26.553267569999999</v>
      </c>
      <c r="L2" s="1">
        <v>16.597093789999999</v>
      </c>
      <c r="M2" s="1">
        <v>86.658940720000004</v>
      </c>
      <c r="N2" s="1">
        <v>2.450270561</v>
      </c>
      <c r="O2" s="1">
        <v>8.8760357320000001</v>
      </c>
      <c r="P2" s="1">
        <v>2.0147529870000001</v>
      </c>
      <c r="Q2" s="2">
        <f t="shared" ref="Q2:Q256" si="0">IF(A3=A2,B3-B2,"")</f>
        <v>5</v>
      </c>
      <c r="R2" s="1">
        <f t="shared" ref="R2:R256" si="1">IFERROR(IF($A3=$A2,($E3-$E2)/($B3-$B2),""),"null")</f>
        <v>2.7503264880000002</v>
      </c>
      <c r="S2" s="1">
        <f t="shared" ref="S2:S256" si="2">IFERROR(IF($A3=$A2,($I3-$I2)/($B3-$B2),""),"null")</f>
        <v>2.6678826380000005</v>
      </c>
      <c r="T2" s="1">
        <f t="shared" ref="T2:T256" si="3">IFERROR(IF($A3=$A2,($M3-$M2)/($B3-$B2),""),"null")</f>
        <v>2.6682118559999992</v>
      </c>
      <c r="U2" s="1">
        <f t="shared" ref="U2:U256" si="4">IFERROR(ROUND(E2,0),"null")</f>
        <v>61</v>
      </c>
    </row>
    <row r="3" spans="1:23">
      <c r="A3" s="1" t="s">
        <v>11</v>
      </c>
      <c r="B3" s="1">
        <v>2020</v>
      </c>
      <c r="C3" s="1">
        <v>38928.339840000001</v>
      </c>
      <c r="D3" s="1">
        <v>26.025999070000001</v>
      </c>
      <c r="E3" s="1">
        <v>75.091413250000002</v>
      </c>
      <c r="F3" s="1">
        <v>1.447541688</v>
      </c>
      <c r="G3" s="1">
        <v>14.56026288</v>
      </c>
      <c r="H3" s="1">
        <v>8.9007821739999997</v>
      </c>
      <c r="I3" s="1">
        <v>66.32791521</v>
      </c>
      <c r="J3" s="1">
        <v>1.9568248509999999</v>
      </c>
      <c r="K3" s="1">
        <v>19.68294895</v>
      </c>
      <c r="L3" s="1">
        <v>12.03231098</v>
      </c>
      <c r="M3" s="1">
        <v>100</v>
      </c>
      <c r="N3" s="1">
        <v>0</v>
      </c>
      <c r="O3" s="1">
        <v>0</v>
      </c>
      <c r="P3" s="1">
        <v>0</v>
      </c>
      <c r="Q3" s="2" t="str">
        <f t="shared" si="0"/>
        <v/>
      </c>
      <c r="R3" s="1" t="str">
        <f t="shared" si="1"/>
        <v/>
      </c>
      <c r="S3" s="1" t="str">
        <f t="shared" si="2"/>
        <v/>
      </c>
      <c r="T3" s="1" t="str">
        <f t="shared" si="3"/>
        <v/>
      </c>
      <c r="U3" s="1">
        <f t="shared" si="4"/>
        <v>75</v>
      </c>
    </row>
    <row r="4" spans="1:23">
      <c r="A4" s="1" t="s">
        <v>14</v>
      </c>
      <c r="B4" s="1">
        <v>2015</v>
      </c>
      <c r="C4" s="1">
        <v>2890.5239259999998</v>
      </c>
      <c r="D4" s="1">
        <v>57.433998109999997</v>
      </c>
      <c r="E4" s="1">
        <v>93.394325339999995</v>
      </c>
      <c r="F4" s="1">
        <v>3.626383658</v>
      </c>
      <c r="G4" s="1">
        <v>2.9792910039999998</v>
      </c>
      <c r="H4" s="1">
        <v>0</v>
      </c>
      <c r="I4" s="1">
        <v>90.627274610000001</v>
      </c>
      <c r="J4" s="1">
        <v>5.2631726480000003</v>
      </c>
      <c r="K4" s="1">
        <v>4.1095527440000001</v>
      </c>
      <c r="L4" s="1">
        <v>0</v>
      </c>
      <c r="M4" s="1">
        <v>95.445066960000005</v>
      </c>
      <c r="N4" s="1">
        <v>2.4133118200000001</v>
      </c>
      <c r="O4" s="1">
        <v>2.1416212159999999</v>
      </c>
      <c r="P4" s="1">
        <v>0</v>
      </c>
      <c r="Q4" s="2">
        <f t="shared" si="0"/>
        <v>5</v>
      </c>
      <c r="R4" s="1">
        <f t="shared" si="1"/>
        <v>0.33474269800000228</v>
      </c>
      <c r="S4" s="1">
        <f t="shared" si="2"/>
        <v>0.69281669000000079</v>
      </c>
      <c r="T4" s="1">
        <f t="shared" si="3"/>
        <v>4.3748431999998158E-2</v>
      </c>
      <c r="U4" s="1">
        <f t="shared" si="4"/>
        <v>93</v>
      </c>
    </row>
    <row r="5" spans="1:23">
      <c r="A5" s="1" t="s">
        <v>14</v>
      </c>
      <c r="B5" s="1">
        <v>2020</v>
      </c>
      <c r="C5" s="1">
        <v>2877.8000489999999</v>
      </c>
      <c r="D5" s="1">
        <v>62.111999509999997</v>
      </c>
      <c r="E5" s="1">
        <v>95.068038830000006</v>
      </c>
      <c r="F5" s="1">
        <v>1.8846560919999999</v>
      </c>
      <c r="G5" s="1">
        <v>3.0473050810000002</v>
      </c>
      <c r="H5" s="1">
        <v>0</v>
      </c>
      <c r="I5" s="1">
        <v>94.091358060000005</v>
      </c>
      <c r="J5" s="1">
        <v>2.3052649550000002</v>
      </c>
      <c r="K5" s="1">
        <v>3.6033769859999998</v>
      </c>
      <c r="L5" s="1">
        <v>0</v>
      </c>
      <c r="M5" s="1">
        <v>95.663809119999996</v>
      </c>
      <c r="N5" s="1">
        <v>1.62808683</v>
      </c>
      <c r="O5" s="1">
        <v>2.7081040540000001</v>
      </c>
      <c r="P5" s="1">
        <v>0</v>
      </c>
      <c r="Q5" s="2" t="str">
        <f t="shared" si="0"/>
        <v/>
      </c>
      <c r="R5" s="1" t="str">
        <f t="shared" si="1"/>
        <v/>
      </c>
      <c r="S5" s="1" t="str">
        <f t="shared" si="2"/>
        <v/>
      </c>
      <c r="T5" s="1" t="str">
        <f t="shared" si="3"/>
        <v/>
      </c>
      <c r="U5" s="1">
        <f t="shared" si="4"/>
        <v>95</v>
      </c>
    </row>
    <row r="6" spans="1:23">
      <c r="A6" s="1" t="s">
        <v>17</v>
      </c>
      <c r="B6" s="1">
        <v>2015</v>
      </c>
      <c r="C6" s="1">
        <v>39728.019529999998</v>
      </c>
      <c r="D6" s="1">
        <v>70.847999569999999</v>
      </c>
      <c r="E6" s="1">
        <v>93.409561530000005</v>
      </c>
      <c r="F6" s="1">
        <v>5.157780893</v>
      </c>
      <c r="G6" s="1">
        <v>1.2754646839999999</v>
      </c>
      <c r="H6" s="1">
        <v>0.1571928913</v>
      </c>
      <c r="I6" s="1">
        <v>88.352706859999998</v>
      </c>
      <c r="J6" s="1">
        <v>8.6857531209999994</v>
      </c>
      <c r="K6" s="1">
        <v>2.580431801</v>
      </c>
      <c r="L6" s="1">
        <v>0.38110821550000001</v>
      </c>
      <c r="M6" s="1">
        <v>95.490314699999999</v>
      </c>
      <c r="N6" s="1">
        <v>3.7061173169999999</v>
      </c>
      <c r="O6" s="1">
        <v>0.73851008510000005</v>
      </c>
      <c r="P6" s="1">
        <v>6.5057897530000006E-2</v>
      </c>
      <c r="Q6" s="2">
        <f t="shared" si="0"/>
        <v>5</v>
      </c>
      <c r="R6" s="1">
        <f t="shared" si="1"/>
        <v>0.20555368599999896</v>
      </c>
      <c r="S6" s="1">
        <f t="shared" si="2"/>
        <v>0.33696620999999993</v>
      </c>
      <c r="T6" s="1">
        <f t="shared" si="3"/>
        <v>0.10288423199999955</v>
      </c>
      <c r="U6" s="1">
        <f t="shared" si="4"/>
        <v>93</v>
      </c>
    </row>
    <row r="7" spans="1:23">
      <c r="A7" s="1" t="s">
        <v>17</v>
      </c>
      <c r="B7" s="1">
        <v>2020</v>
      </c>
      <c r="C7" s="1">
        <v>43851.042970000002</v>
      </c>
      <c r="D7" s="1">
        <v>73.733001709999996</v>
      </c>
      <c r="E7" s="1">
        <v>94.43732996</v>
      </c>
      <c r="F7" s="1">
        <v>4.9858808420000003</v>
      </c>
      <c r="G7" s="1">
        <v>0.53183666380000005</v>
      </c>
      <c r="H7" s="1">
        <v>4.495253272E-2</v>
      </c>
      <c r="I7" s="1">
        <v>90.037537909999998</v>
      </c>
      <c r="J7" s="1">
        <v>8.79672214</v>
      </c>
      <c r="K7" s="1">
        <v>0.99460302810000001</v>
      </c>
      <c r="L7" s="1">
        <v>0.17113692580000001</v>
      </c>
      <c r="M7" s="1">
        <v>96.004735859999997</v>
      </c>
      <c r="N7" s="1">
        <v>3.628288591</v>
      </c>
      <c r="O7" s="1">
        <v>0.36697554780000002</v>
      </c>
      <c r="P7" s="1">
        <v>0</v>
      </c>
      <c r="Q7" s="2" t="str">
        <f t="shared" si="0"/>
        <v/>
      </c>
      <c r="R7" s="1" t="str">
        <f t="shared" si="1"/>
        <v/>
      </c>
      <c r="S7" s="1" t="str">
        <f t="shared" si="2"/>
        <v/>
      </c>
      <c r="T7" s="1" t="str">
        <f t="shared" si="3"/>
        <v/>
      </c>
      <c r="U7" s="1">
        <f t="shared" si="4"/>
        <v>94</v>
      </c>
    </row>
    <row r="8" spans="1:23">
      <c r="A8" s="1" t="s">
        <v>20</v>
      </c>
      <c r="B8" s="1">
        <v>2015</v>
      </c>
      <c r="C8" s="1">
        <v>55.805999759999999</v>
      </c>
      <c r="D8" s="1">
        <v>87.238006589999998</v>
      </c>
      <c r="E8" s="1">
        <v>99.619103150000001</v>
      </c>
      <c r="F8" s="1">
        <v>0</v>
      </c>
      <c r="G8" s="1">
        <v>0.38089684610000002</v>
      </c>
      <c r="H8" s="1">
        <v>0</v>
      </c>
      <c r="I8" s="1" t="s">
        <v>272</v>
      </c>
      <c r="J8" s="1" t="s">
        <v>272</v>
      </c>
      <c r="K8" s="1" t="s">
        <v>272</v>
      </c>
      <c r="L8" s="1" t="s">
        <v>272</v>
      </c>
      <c r="M8" s="1" t="s">
        <v>272</v>
      </c>
      <c r="N8" s="1" t="s">
        <v>272</v>
      </c>
      <c r="O8" s="1" t="s">
        <v>272</v>
      </c>
      <c r="P8" s="1" t="s">
        <v>272</v>
      </c>
      <c r="Q8" s="2">
        <f t="shared" si="0"/>
        <v>5</v>
      </c>
      <c r="R8" s="1">
        <f t="shared" si="1"/>
        <v>3.0933701999998675E-2</v>
      </c>
      <c r="S8" s="1" t="str">
        <f t="shared" si="2"/>
        <v>null</v>
      </c>
      <c r="T8" s="1" t="str">
        <f t="shared" si="3"/>
        <v>null</v>
      </c>
      <c r="U8" s="1">
        <f t="shared" si="4"/>
        <v>100</v>
      </c>
    </row>
    <row r="9" spans="1:23">
      <c r="A9" s="1" t="s">
        <v>20</v>
      </c>
      <c r="B9" s="1">
        <v>2020</v>
      </c>
      <c r="C9" s="1">
        <v>55.196998600000001</v>
      </c>
      <c r="D9" s="1">
        <v>87.152999879999996</v>
      </c>
      <c r="E9" s="1">
        <v>99.773771659999994</v>
      </c>
      <c r="F9" s="1">
        <v>0</v>
      </c>
      <c r="G9" s="1">
        <v>0.22622834150000001</v>
      </c>
      <c r="H9" s="1">
        <v>0</v>
      </c>
      <c r="I9" s="1" t="s">
        <v>272</v>
      </c>
      <c r="J9" s="1" t="s">
        <v>272</v>
      </c>
      <c r="K9" s="1" t="s">
        <v>272</v>
      </c>
      <c r="L9" s="1" t="s">
        <v>272</v>
      </c>
      <c r="M9" s="1" t="s">
        <v>272</v>
      </c>
      <c r="N9" s="1" t="s">
        <v>272</v>
      </c>
      <c r="O9" s="1" t="s">
        <v>272</v>
      </c>
      <c r="P9" s="1" t="s">
        <v>272</v>
      </c>
      <c r="Q9" s="2" t="str">
        <f t="shared" si="0"/>
        <v/>
      </c>
      <c r="R9" s="1" t="str">
        <f t="shared" si="1"/>
        <v/>
      </c>
      <c r="S9" s="1" t="str">
        <f t="shared" si="2"/>
        <v/>
      </c>
      <c r="T9" s="1" t="str">
        <f t="shared" si="3"/>
        <v/>
      </c>
      <c r="U9" s="1">
        <f t="shared" si="4"/>
        <v>100</v>
      </c>
    </row>
    <row r="10" spans="1:23">
      <c r="A10" s="1" t="s">
        <v>24</v>
      </c>
      <c r="B10" s="1">
        <v>2015</v>
      </c>
      <c r="C10" s="1">
        <v>77.992996219999995</v>
      </c>
      <c r="D10" s="1">
        <v>88.344993590000001</v>
      </c>
      <c r="E10" s="1">
        <v>99.999997550000003</v>
      </c>
      <c r="F10" s="1">
        <v>0</v>
      </c>
      <c r="G10" s="1">
        <v>2.4455383569999998E-6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100</v>
      </c>
      <c r="N10" s="1">
        <v>0</v>
      </c>
      <c r="O10" s="1">
        <v>0</v>
      </c>
      <c r="P10" s="1">
        <v>0</v>
      </c>
      <c r="Q10" s="2">
        <f t="shared" si="0"/>
        <v>5</v>
      </c>
      <c r="R10" s="1">
        <f t="shared" si="1"/>
        <v>1.229999998031417E-6</v>
      </c>
      <c r="S10" s="1">
        <f t="shared" si="2"/>
        <v>0</v>
      </c>
      <c r="T10" s="1">
        <f t="shared" si="3"/>
        <v>0</v>
      </c>
      <c r="U10" s="1">
        <f t="shared" si="4"/>
        <v>100</v>
      </c>
    </row>
    <row r="11" spans="1:23">
      <c r="A11" s="1" t="s">
        <v>24</v>
      </c>
      <c r="B11" s="1">
        <v>2020</v>
      </c>
      <c r="C11" s="1">
        <v>77.26499939</v>
      </c>
      <c r="D11" s="1">
        <v>87.916000370000006</v>
      </c>
      <c r="E11" s="1">
        <v>100.00000369999999</v>
      </c>
      <c r="F11" s="1">
        <v>0</v>
      </c>
      <c r="G11" s="1">
        <v>0</v>
      </c>
      <c r="H11" s="1">
        <v>0</v>
      </c>
      <c r="I11" s="1">
        <v>100</v>
      </c>
      <c r="J11" s="1">
        <v>0</v>
      </c>
      <c r="K11" s="1">
        <v>0</v>
      </c>
      <c r="L11" s="1">
        <v>0</v>
      </c>
      <c r="M11" s="1">
        <v>100</v>
      </c>
      <c r="N11" s="1">
        <v>0</v>
      </c>
      <c r="O11" s="1">
        <v>0</v>
      </c>
      <c r="P11" s="1">
        <v>0</v>
      </c>
      <c r="Q11" s="2" t="str">
        <f t="shared" si="0"/>
        <v/>
      </c>
      <c r="R11" s="1" t="str">
        <f t="shared" si="1"/>
        <v/>
      </c>
      <c r="S11" s="1" t="str">
        <f t="shared" si="2"/>
        <v/>
      </c>
      <c r="T11" s="1" t="str">
        <f t="shared" si="3"/>
        <v/>
      </c>
      <c r="U11" s="1">
        <f t="shared" si="4"/>
        <v>100</v>
      </c>
    </row>
    <row r="12" spans="1:23">
      <c r="A12" s="1" t="s">
        <v>26</v>
      </c>
      <c r="B12" s="1">
        <v>2015</v>
      </c>
      <c r="C12" s="1">
        <v>27884.380860000001</v>
      </c>
      <c r="D12" s="1">
        <v>63.445995330000002</v>
      </c>
      <c r="E12" s="1">
        <v>54.316928349999998</v>
      </c>
      <c r="F12" s="1">
        <v>11.368618659999999</v>
      </c>
      <c r="G12" s="1">
        <v>17.37235635</v>
      </c>
      <c r="H12" s="1">
        <v>16.942096639999999</v>
      </c>
      <c r="I12" s="1">
        <v>26.714369399999999</v>
      </c>
      <c r="J12" s="1">
        <v>9.9310692879999998</v>
      </c>
      <c r="K12" s="1">
        <v>21.725307619999999</v>
      </c>
      <c r="L12" s="1">
        <v>41.629253689999999</v>
      </c>
      <c r="M12" s="1">
        <v>70.219965119999998</v>
      </c>
      <c r="N12" s="1">
        <v>12.196853490000001</v>
      </c>
      <c r="O12" s="1">
        <v>14.86443147</v>
      </c>
      <c r="P12" s="1">
        <v>2.7187499210000001</v>
      </c>
      <c r="Q12" s="2">
        <f t="shared" si="0"/>
        <v>5</v>
      </c>
      <c r="R12" s="1">
        <f t="shared" si="1"/>
        <v>0.57016185399999986</v>
      </c>
      <c r="S12" s="1">
        <f t="shared" si="2"/>
        <v>0.2187714419999999</v>
      </c>
      <c r="T12" s="1">
        <f t="shared" si="3"/>
        <v>0.30463670000000037</v>
      </c>
      <c r="U12" s="1">
        <f t="shared" si="4"/>
        <v>54</v>
      </c>
    </row>
    <row r="13" spans="1:23">
      <c r="A13" s="1" t="s">
        <v>26</v>
      </c>
      <c r="B13" s="1">
        <v>2020</v>
      </c>
      <c r="C13" s="1">
        <v>32866.269529999998</v>
      </c>
      <c r="D13" s="1">
        <v>66.824996949999999</v>
      </c>
      <c r="E13" s="1">
        <v>57.167737619999997</v>
      </c>
      <c r="F13" s="1">
        <v>9.2873499190000004</v>
      </c>
      <c r="G13" s="1">
        <v>19.450825340000002</v>
      </c>
      <c r="H13" s="1">
        <v>14.094087119999999</v>
      </c>
      <c r="I13" s="1">
        <v>27.808226609999998</v>
      </c>
      <c r="J13" s="1">
        <v>8.7404883889999994</v>
      </c>
      <c r="K13" s="1">
        <v>22.933152580000002</v>
      </c>
      <c r="L13" s="1">
        <v>40.518132420000001</v>
      </c>
      <c r="M13" s="1">
        <v>71.743148619999999</v>
      </c>
      <c r="N13" s="1">
        <v>9.5588374890000001</v>
      </c>
      <c r="O13" s="1">
        <v>17.722034730000001</v>
      </c>
      <c r="P13" s="1">
        <v>0.97597916289999997</v>
      </c>
      <c r="Q13" s="2" t="str">
        <f t="shared" si="0"/>
        <v/>
      </c>
      <c r="R13" s="1" t="str">
        <f t="shared" si="1"/>
        <v/>
      </c>
      <c r="S13" s="1" t="str">
        <f t="shared" si="2"/>
        <v/>
      </c>
      <c r="T13" s="1" t="str">
        <f t="shared" si="3"/>
        <v/>
      </c>
      <c r="U13" s="1">
        <f t="shared" si="4"/>
        <v>57</v>
      </c>
    </row>
    <row r="14" spans="1:23">
      <c r="A14" s="1" t="s">
        <v>29</v>
      </c>
      <c r="B14" s="1">
        <v>2015</v>
      </c>
      <c r="C14" s="1">
        <v>14.27900028</v>
      </c>
      <c r="D14" s="1">
        <v>100</v>
      </c>
      <c r="E14" s="1">
        <v>97.482274250000003</v>
      </c>
      <c r="F14" s="1">
        <v>0</v>
      </c>
      <c r="G14" s="1">
        <v>2.5177257530000001</v>
      </c>
      <c r="H14" s="1">
        <v>0</v>
      </c>
      <c r="I14" s="1" t="s">
        <v>272</v>
      </c>
      <c r="J14" s="1" t="s">
        <v>272</v>
      </c>
      <c r="K14" s="1" t="s">
        <v>272</v>
      </c>
      <c r="L14" s="1" t="s">
        <v>272</v>
      </c>
      <c r="M14" s="1">
        <v>97.482274250000003</v>
      </c>
      <c r="N14" s="1">
        <v>0</v>
      </c>
      <c r="O14" s="1">
        <v>2.5177257530000001</v>
      </c>
      <c r="P14" s="1">
        <v>0</v>
      </c>
      <c r="Q14" s="2">
        <f t="shared" si="0"/>
        <v>2</v>
      </c>
      <c r="R14" s="1">
        <f t="shared" si="1"/>
        <v>0</v>
      </c>
      <c r="S14" s="1" t="str">
        <f t="shared" si="2"/>
        <v>null</v>
      </c>
      <c r="T14" s="1">
        <f t="shared" si="3"/>
        <v>0</v>
      </c>
      <c r="U14" s="1">
        <f t="shared" si="4"/>
        <v>97</v>
      </c>
    </row>
    <row r="15" spans="1:23">
      <c r="A15" s="1" t="s">
        <v>29</v>
      </c>
      <c r="B15" s="1">
        <v>2017</v>
      </c>
      <c r="C15" s="1">
        <v>14.588000299999999</v>
      </c>
      <c r="D15" s="1">
        <v>100</v>
      </c>
      <c r="E15" s="1">
        <v>97.482274250000003</v>
      </c>
      <c r="F15" s="1">
        <v>0</v>
      </c>
      <c r="G15" s="1">
        <v>2.5177257530000001</v>
      </c>
      <c r="H15" s="1">
        <v>0</v>
      </c>
      <c r="I15" s="1" t="s">
        <v>272</v>
      </c>
      <c r="J15" s="1" t="s">
        <v>272</v>
      </c>
      <c r="K15" s="1" t="s">
        <v>272</v>
      </c>
      <c r="L15" s="1" t="s">
        <v>272</v>
      </c>
      <c r="M15" s="1">
        <v>97.482274250000003</v>
      </c>
      <c r="N15" s="1">
        <v>0</v>
      </c>
      <c r="O15" s="1">
        <v>2.5177257530000001</v>
      </c>
      <c r="P15" s="1">
        <v>0</v>
      </c>
      <c r="Q15" s="2" t="str">
        <f t="shared" si="0"/>
        <v/>
      </c>
      <c r="R15" s="1" t="str">
        <f t="shared" si="1"/>
        <v/>
      </c>
      <c r="S15" s="1" t="str">
        <f t="shared" si="2"/>
        <v/>
      </c>
      <c r="T15" s="1" t="str">
        <f t="shared" si="3"/>
        <v/>
      </c>
      <c r="U15" s="1">
        <f t="shared" si="4"/>
        <v>97</v>
      </c>
    </row>
    <row r="16" spans="1:23">
      <c r="A16" s="1" t="s">
        <v>32</v>
      </c>
      <c r="B16" s="1">
        <v>2015</v>
      </c>
      <c r="C16" s="1">
        <v>93.570999150000006</v>
      </c>
      <c r="D16" s="1">
        <v>25</v>
      </c>
      <c r="E16" s="1">
        <v>96.739186279999998</v>
      </c>
      <c r="F16" s="1">
        <v>0</v>
      </c>
      <c r="G16" s="1">
        <v>3.1663476099999999</v>
      </c>
      <c r="H16" s="1">
        <v>9.4466114089999997E-2</v>
      </c>
      <c r="I16" s="1" t="s">
        <v>272</v>
      </c>
      <c r="J16" s="1" t="s">
        <v>272</v>
      </c>
      <c r="K16" s="1" t="s">
        <v>272</v>
      </c>
      <c r="L16" s="1" t="s">
        <v>272</v>
      </c>
      <c r="M16" s="1" t="s">
        <v>272</v>
      </c>
      <c r="N16" s="1" t="s">
        <v>272</v>
      </c>
      <c r="O16" s="1" t="s">
        <v>272</v>
      </c>
      <c r="P16" s="1" t="s">
        <v>272</v>
      </c>
      <c r="Q16" s="2">
        <f t="shared" si="0"/>
        <v>2</v>
      </c>
      <c r="R16" s="1">
        <f t="shared" si="1"/>
        <v>0</v>
      </c>
      <c r="S16" s="1" t="str">
        <f t="shared" si="2"/>
        <v>null</v>
      </c>
      <c r="T16" s="1" t="str">
        <f t="shared" si="3"/>
        <v>null</v>
      </c>
      <c r="U16" s="1">
        <f t="shared" si="4"/>
        <v>97</v>
      </c>
    </row>
    <row r="17" spans="1:21">
      <c r="A17" s="1" t="s">
        <v>32</v>
      </c>
      <c r="B17" s="1">
        <v>2017</v>
      </c>
      <c r="C17" s="1">
        <v>95.425003050000001</v>
      </c>
      <c r="D17" s="1">
        <v>24.713001250000001</v>
      </c>
      <c r="E17" s="1">
        <v>96.739186279999998</v>
      </c>
      <c r="F17" s="1">
        <v>0</v>
      </c>
      <c r="G17" s="1">
        <v>3.1663476099999999</v>
      </c>
      <c r="H17" s="1">
        <v>9.4466114089999997E-2</v>
      </c>
      <c r="I17" s="1" t="s">
        <v>272</v>
      </c>
      <c r="J17" s="1" t="s">
        <v>272</v>
      </c>
      <c r="K17" s="1" t="s">
        <v>272</v>
      </c>
      <c r="L17" s="1" t="s">
        <v>272</v>
      </c>
      <c r="M17" s="1" t="s">
        <v>272</v>
      </c>
      <c r="N17" s="1" t="s">
        <v>272</v>
      </c>
      <c r="O17" s="1" t="s">
        <v>272</v>
      </c>
      <c r="P17" s="1" t="s">
        <v>272</v>
      </c>
      <c r="Q17" s="2" t="str">
        <f t="shared" si="0"/>
        <v/>
      </c>
      <c r="R17" s="1" t="str">
        <f t="shared" si="1"/>
        <v/>
      </c>
      <c r="S17" s="1" t="str">
        <f t="shared" si="2"/>
        <v/>
      </c>
      <c r="T17" s="1" t="str">
        <f t="shared" si="3"/>
        <v/>
      </c>
      <c r="U17" s="1">
        <f t="shared" si="4"/>
        <v>97</v>
      </c>
    </row>
    <row r="18" spans="1:21">
      <c r="A18" s="1" t="s">
        <v>33</v>
      </c>
      <c r="B18" s="1">
        <v>2015</v>
      </c>
      <c r="C18" s="1">
        <v>43075.414060000003</v>
      </c>
      <c r="D18" s="1">
        <v>91.502998349999999</v>
      </c>
      <c r="E18" s="1">
        <v>98.966588150000007</v>
      </c>
      <c r="F18" s="1">
        <v>0</v>
      </c>
      <c r="G18" s="1">
        <v>0.66491437909999995</v>
      </c>
      <c r="H18" s="1">
        <v>0.36849747420000001</v>
      </c>
      <c r="I18" s="1">
        <v>92.983660049999997</v>
      </c>
      <c r="J18" s="1">
        <v>0</v>
      </c>
      <c r="K18" s="1">
        <v>2.6795448990000001</v>
      </c>
      <c r="L18" s="1">
        <v>4.3367950510000002</v>
      </c>
      <c r="M18" s="1">
        <v>99.522163050000003</v>
      </c>
      <c r="N18" s="1">
        <v>0</v>
      </c>
      <c r="O18" s="1">
        <v>0.47783694729999998</v>
      </c>
      <c r="P18" s="1">
        <v>0</v>
      </c>
      <c r="Q18" s="2">
        <f t="shared" si="0"/>
        <v>5</v>
      </c>
      <c r="R18" s="1" t="str">
        <f t="shared" si="1"/>
        <v>null</v>
      </c>
      <c r="S18" s="1" t="str">
        <f t="shared" si="2"/>
        <v>null</v>
      </c>
      <c r="T18" s="1">
        <f t="shared" si="3"/>
        <v>5.3651519999999661E-2</v>
      </c>
      <c r="U18" s="1">
        <f t="shared" si="4"/>
        <v>99</v>
      </c>
    </row>
    <row r="19" spans="1:21">
      <c r="A19" s="1" t="s">
        <v>33</v>
      </c>
      <c r="B19" s="1">
        <v>2020</v>
      </c>
      <c r="C19" s="1">
        <v>45195.777340000001</v>
      </c>
      <c r="D19" s="1">
        <v>92.111000059999995</v>
      </c>
      <c r="E19" s="1" t="s">
        <v>272</v>
      </c>
      <c r="F19" s="1" t="s">
        <v>272</v>
      </c>
      <c r="G19" s="1" t="s">
        <v>272</v>
      </c>
      <c r="H19" s="1" t="s">
        <v>272</v>
      </c>
      <c r="I19" s="1" t="s">
        <v>272</v>
      </c>
      <c r="J19" s="1" t="s">
        <v>272</v>
      </c>
      <c r="K19" s="1" t="s">
        <v>272</v>
      </c>
      <c r="L19" s="1" t="s">
        <v>272</v>
      </c>
      <c r="M19" s="1">
        <v>99.790420650000002</v>
      </c>
      <c r="N19" s="1">
        <v>0</v>
      </c>
      <c r="O19" s="1">
        <v>0.20957935010000001</v>
      </c>
      <c r="P19" s="1">
        <v>0</v>
      </c>
      <c r="Q19" s="2" t="str">
        <f t="shared" si="0"/>
        <v/>
      </c>
      <c r="R19" s="1" t="str">
        <f t="shared" si="1"/>
        <v/>
      </c>
      <c r="S19" s="1" t="str">
        <f t="shared" si="2"/>
        <v/>
      </c>
      <c r="T19" s="1" t="str">
        <f t="shared" si="3"/>
        <v/>
      </c>
      <c r="U19" s="1" t="str">
        <f t="shared" si="4"/>
        <v>null</v>
      </c>
    </row>
    <row r="20" spans="1:21">
      <c r="A20" s="1" t="s">
        <v>34</v>
      </c>
      <c r="B20" s="1">
        <v>2015</v>
      </c>
      <c r="C20" s="1">
        <v>2925.5590820000002</v>
      </c>
      <c r="D20" s="1">
        <v>63.085002899999999</v>
      </c>
      <c r="E20" s="1">
        <v>99.5525667</v>
      </c>
      <c r="F20" s="1">
        <v>0</v>
      </c>
      <c r="G20" s="1">
        <v>9.8505083660000006E-2</v>
      </c>
      <c r="H20" s="1">
        <v>0.3489282205</v>
      </c>
      <c r="I20" s="1">
        <v>99.054779269999997</v>
      </c>
      <c r="J20" s="1">
        <v>0</v>
      </c>
      <c r="K20" s="1">
        <v>0</v>
      </c>
      <c r="L20" s="1">
        <v>0.94522073470000001</v>
      </c>
      <c r="M20" s="1">
        <v>99.8438534</v>
      </c>
      <c r="N20" s="1">
        <v>0</v>
      </c>
      <c r="O20" s="1">
        <v>0.15614659810000001</v>
      </c>
      <c r="P20" s="1">
        <v>0</v>
      </c>
      <c r="Q20" s="2">
        <f t="shared" si="0"/>
        <v>5</v>
      </c>
      <c r="R20" s="1">
        <f t="shared" si="1"/>
        <v>8.3722797999999446E-2</v>
      </c>
      <c r="S20" s="1">
        <f t="shared" si="2"/>
        <v>0.18904414600000052</v>
      </c>
      <c r="T20" s="1">
        <f t="shared" si="3"/>
        <v>2.2125564000000965E-2</v>
      </c>
      <c r="U20" s="1">
        <f t="shared" si="4"/>
        <v>100</v>
      </c>
    </row>
    <row r="21" spans="1:21">
      <c r="A21" s="1" t="s">
        <v>34</v>
      </c>
      <c r="B21" s="1">
        <v>2020</v>
      </c>
      <c r="C21" s="1">
        <v>2963.2338869999999</v>
      </c>
      <c r="D21" s="1">
        <v>63.312999730000001</v>
      </c>
      <c r="E21" s="1">
        <v>99.971180689999997</v>
      </c>
      <c r="F21" s="1">
        <v>0</v>
      </c>
      <c r="G21" s="1">
        <v>2.8819308009999999E-2</v>
      </c>
      <c r="H21" s="1">
        <v>0</v>
      </c>
      <c r="I21" s="1">
        <v>100</v>
      </c>
      <c r="J21" s="1">
        <v>0</v>
      </c>
      <c r="K21" s="1">
        <v>0</v>
      </c>
      <c r="L21" s="1">
        <v>0</v>
      </c>
      <c r="M21" s="1">
        <v>99.954481220000005</v>
      </c>
      <c r="N21" s="1">
        <v>0</v>
      </c>
      <c r="O21" s="1">
        <v>4.5518783639999998E-2</v>
      </c>
      <c r="P21" s="1">
        <v>0</v>
      </c>
      <c r="Q21" s="2" t="str">
        <f t="shared" si="0"/>
        <v/>
      </c>
      <c r="R21" s="1" t="str">
        <f t="shared" si="1"/>
        <v/>
      </c>
      <c r="S21" s="1" t="str">
        <f t="shared" si="2"/>
        <v/>
      </c>
      <c r="T21" s="1" t="str">
        <f t="shared" si="3"/>
        <v/>
      </c>
      <c r="U21" s="1">
        <f t="shared" si="4"/>
        <v>100</v>
      </c>
    </row>
    <row r="22" spans="1:21">
      <c r="A22" s="1" t="s">
        <v>36</v>
      </c>
      <c r="B22" s="1">
        <v>2015</v>
      </c>
      <c r="C22" s="1">
        <v>104.3389969</v>
      </c>
      <c r="D22" s="1">
        <v>43.108001710000003</v>
      </c>
      <c r="E22" s="1">
        <v>97.869023380000002</v>
      </c>
      <c r="F22" s="1">
        <v>0</v>
      </c>
      <c r="G22" s="1">
        <v>1.95993621</v>
      </c>
      <c r="H22" s="1">
        <v>0.1710404089</v>
      </c>
      <c r="I22" s="1" t="s">
        <v>272</v>
      </c>
      <c r="J22" s="1" t="s">
        <v>272</v>
      </c>
      <c r="K22" s="1" t="s">
        <v>272</v>
      </c>
      <c r="L22" s="1" t="s">
        <v>272</v>
      </c>
      <c r="M22" s="1" t="s">
        <v>272</v>
      </c>
      <c r="N22" s="1" t="s">
        <v>272</v>
      </c>
      <c r="O22" s="1" t="s">
        <v>272</v>
      </c>
      <c r="P22" s="1" t="s">
        <v>272</v>
      </c>
      <c r="Q22" s="2">
        <f t="shared" si="0"/>
        <v>1</v>
      </c>
      <c r="R22" s="1">
        <f t="shared" si="1"/>
        <v>0</v>
      </c>
      <c r="S22" s="1" t="str">
        <f t="shared" si="2"/>
        <v>null</v>
      </c>
      <c r="T22" s="1" t="str">
        <f t="shared" si="3"/>
        <v>null</v>
      </c>
      <c r="U22" s="1">
        <f t="shared" si="4"/>
        <v>98</v>
      </c>
    </row>
    <row r="23" spans="1:21">
      <c r="A23" s="1" t="s">
        <v>36</v>
      </c>
      <c r="B23" s="1">
        <v>2016</v>
      </c>
      <c r="C23" s="1">
        <v>104.86499790000001</v>
      </c>
      <c r="D23" s="1">
        <v>43.191997530000002</v>
      </c>
      <c r="E23" s="1">
        <v>97.869023380000002</v>
      </c>
      <c r="F23" s="1">
        <v>0</v>
      </c>
      <c r="G23" s="1">
        <v>1.95993621</v>
      </c>
      <c r="H23" s="1">
        <v>0.1710404089</v>
      </c>
      <c r="I23" s="1" t="s">
        <v>272</v>
      </c>
      <c r="J23" s="1" t="s">
        <v>272</v>
      </c>
      <c r="K23" s="1" t="s">
        <v>272</v>
      </c>
      <c r="L23" s="1" t="s">
        <v>272</v>
      </c>
      <c r="M23" s="1" t="s">
        <v>272</v>
      </c>
      <c r="N23" s="1" t="s">
        <v>272</v>
      </c>
      <c r="O23" s="1" t="s">
        <v>272</v>
      </c>
      <c r="P23" s="1" t="s">
        <v>272</v>
      </c>
      <c r="Q23" s="2" t="str">
        <f t="shared" si="0"/>
        <v/>
      </c>
      <c r="R23" s="1" t="str">
        <f t="shared" si="1"/>
        <v/>
      </c>
      <c r="S23" s="1" t="str">
        <f t="shared" si="2"/>
        <v/>
      </c>
      <c r="T23" s="1" t="str">
        <f t="shared" si="3"/>
        <v/>
      </c>
      <c r="U23" s="1">
        <f t="shared" si="4"/>
        <v>98</v>
      </c>
    </row>
    <row r="24" spans="1:21">
      <c r="A24" s="1" t="s">
        <v>38</v>
      </c>
      <c r="B24" s="1">
        <v>2015</v>
      </c>
      <c r="C24" s="1">
        <v>23932.498049999998</v>
      </c>
      <c r="D24" s="1">
        <v>85.701004030000007</v>
      </c>
      <c r="E24" s="1">
        <v>99.970005670000006</v>
      </c>
      <c r="F24" s="1">
        <v>0</v>
      </c>
      <c r="G24" s="1">
        <v>2.9994330570000002E-2</v>
      </c>
      <c r="H24" s="1">
        <v>0</v>
      </c>
      <c r="I24" s="1">
        <v>100</v>
      </c>
      <c r="J24" s="1">
        <v>0</v>
      </c>
      <c r="K24" s="1">
        <v>0</v>
      </c>
      <c r="L24" s="1">
        <v>0</v>
      </c>
      <c r="M24" s="1">
        <v>99.965000000000003</v>
      </c>
      <c r="N24" s="1">
        <v>0</v>
      </c>
      <c r="O24" s="1">
        <v>3.5000000000000003E-2</v>
      </c>
      <c r="P24" s="1">
        <v>0</v>
      </c>
      <c r="Q24" s="2">
        <f t="shared" si="0"/>
        <v>5</v>
      </c>
      <c r="R24" s="1">
        <f t="shared" si="1"/>
        <v>-3.8770000000454277E-5</v>
      </c>
      <c r="S24" s="1">
        <f t="shared" si="2"/>
        <v>0</v>
      </c>
      <c r="T24" s="1">
        <f t="shared" si="3"/>
        <v>0</v>
      </c>
      <c r="U24" s="1">
        <f t="shared" si="4"/>
        <v>100</v>
      </c>
    </row>
    <row r="25" spans="1:21">
      <c r="A25" s="1" t="s">
        <v>38</v>
      </c>
      <c r="B25" s="1">
        <v>2020</v>
      </c>
      <c r="C25" s="1">
        <v>25499.880860000001</v>
      </c>
      <c r="D25" s="1">
        <v>86.240997309999997</v>
      </c>
      <c r="E25" s="1">
        <v>99.969811820000004</v>
      </c>
      <c r="F25" s="1">
        <v>0</v>
      </c>
      <c r="G25" s="1">
        <v>3.0188178730000001E-2</v>
      </c>
      <c r="H25" s="1">
        <v>0</v>
      </c>
      <c r="I25" s="1">
        <v>100</v>
      </c>
      <c r="J25" s="1">
        <v>0</v>
      </c>
      <c r="K25" s="1">
        <v>0</v>
      </c>
      <c r="L25" s="1">
        <v>0</v>
      </c>
      <c r="M25" s="1">
        <v>99.965000000000003</v>
      </c>
      <c r="N25" s="1">
        <v>0</v>
      </c>
      <c r="O25" s="1">
        <v>3.5000000000000003E-2</v>
      </c>
      <c r="P25" s="1">
        <v>0</v>
      </c>
      <c r="Q25" s="2" t="str">
        <f t="shared" si="0"/>
        <v/>
      </c>
      <c r="R25" s="1" t="str">
        <f t="shared" si="1"/>
        <v/>
      </c>
      <c r="S25" s="1" t="str">
        <f t="shared" si="2"/>
        <v/>
      </c>
      <c r="T25" s="1" t="str">
        <f t="shared" si="3"/>
        <v/>
      </c>
      <c r="U25" s="1">
        <f t="shared" si="4"/>
        <v>100</v>
      </c>
    </row>
    <row r="26" spans="1:21">
      <c r="A26" s="1" t="s">
        <v>40</v>
      </c>
      <c r="B26" s="1">
        <v>2015</v>
      </c>
      <c r="C26" s="1">
        <v>8678.6669920000004</v>
      </c>
      <c r="D26" s="1">
        <v>57.715000150000002</v>
      </c>
      <c r="E26" s="1">
        <v>100</v>
      </c>
      <c r="F26" s="1">
        <v>0</v>
      </c>
      <c r="G26" s="1">
        <v>0</v>
      </c>
      <c r="H26" s="1">
        <v>0</v>
      </c>
      <c r="I26" s="1">
        <v>100</v>
      </c>
      <c r="J26" s="1">
        <v>0</v>
      </c>
      <c r="K26" s="1">
        <v>0</v>
      </c>
      <c r="L26" s="1">
        <v>0</v>
      </c>
      <c r="M26" s="1">
        <v>100</v>
      </c>
      <c r="N26" s="1">
        <v>0</v>
      </c>
      <c r="O26" s="1">
        <v>0</v>
      </c>
      <c r="P26" s="1">
        <v>0</v>
      </c>
      <c r="Q26" s="2">
        <f t="shared" si="0"/>
        <v>5</v>
      </c>
      <c r="R26" s="1">
        <f t="shared" si="1"/>
        <v>0</v>
      </c>
      <c r="S26" s="1">
        <f t="shared" si="2"/>
        <v>0</v>
      </c>
      <c r="T26" s="1">
        <f t="shared" si="3"/>
        <v>0</v>
      </c>
      <c r="U26" s="1">
        <f t="shared" si="4"/>
        <v>100</v>
      </c>
    </row>
    <row r="27" spans="1:21">
      <c r="A27" s="1" t="s">
        <v>40</v>
      </c>
      <c r="B27" s="1">
        <v>2020</v>
      </c>
      <c r="C27" s="1">
        <v>9006.4003909999992</v>
      </c>
      <c r="D27" s="1">
        <v>58.748001100000003</v>
      </c>
      <c r="E27" s="1">
        <v>100</v>
      </c>
      <c r="F27" s="1">
        <v>0</v>
      </c>
      <c r="G27" s="1">
        <v>0</v>
      </c>
      <c r="H27" s="1">
        <v>0</v>
      </c>
      <c r="I27" s="1">
        <v>100</v>
      </c>
      <c r="J27" s="1">
        <v>0</v>
      </c>
      <c r="K27" s="1">
        <v>0</v>
      </c>
      <c r="L27" s="1">
        <v>0</v>
      </c>
      <c r="M27" s="1">
        <v>100</v>
      </c>
      <c r="N27" s="1">
        <v>0</v>
      </c>
      <c r="O27" s="1">
        <v>0</v>
      </c>
      <c r="P27" s="1">
        <v>0</v>
      </c>
      <c r="Q27" s="2" t="str">
        <f t="shared" si="0"/>
        <v/>
      </c>
      <c r="R27" s="1" t="str">
        <f t="shared" si="1"/>
        <v/>
      </c>
      <c r="S27" s="1" t="str">
        <f t="shared" si="2"/>
        <v/>
      </c>
      <c r="T27" s="1" t="str">
        <f t="shared" si="3"/>
        <v/>
      </c>
      <c r="U27" s="1">
        <f t="shared" si="4"/>
        <v>100</v>
      </c>
    </row>
    <row r="28" spans="1:21">
      <c r="A28" s="1" t="s">
        <v>42</v>
      </c>
      <c r="B28" s="1">
        <v>2015</v>
      </c>
      <c r="C28" s="1">
        <v>9622.7412110000005</v>
      </c>
      <c r="D28" s="1">
        <v>54.7140007</v>
      </c>
      <c r="E28" s="1">
        <v>92.420313980000003</v>
      </c>
      <c r="F28" s="1">
        <v>1.002242415</v>
      </c>
      <c r="G28" s="1">
        <v>4.3650895219999999</v>
      </c>
      <c r="H28" s="1">
        <v>2.2123540799999999</v>
      </c>
      <c r="I28" s="1">
        <v>84.143213270000004</v>
      </c>
      <c r="J28" s="1">
        <v>2.2131397310000001</v>
      </c>
      <c r="K28" s="1">
        <v>8.9882060060000004</v>
      </c>
      <c r="L28" s="1">
        <v>4.6554409919999999</v>
      </c>
      <c r="M28" s="1">
        <v>99.271152029999996</v>
      </c>
      <c r="N28" s="1">
        <v>0</v>
      </c>
      <c r="O28" s="1">
        <v>0.53860203449999999</v>
      </c>
      <c r="P28" s="1">
        <v>0.1902459339</v>
      </c>
      <c r="Q28" s="2">
        <f t="shared" si="0"/>
        <v>5</v>
      </c>
      <c r="R28" s="1">
        <f t="shared" si="1"/>
        <v>0.72461242999999909</v>
      </c>
      <c r="S28" s="1">
        <f t="shared" si="2"/>
        <v>1.3565169359999998</v>
      </c>
      <c r="T28" s="1">
        <f t="shared" si="3"/>
        <v>0.14576959400000078</v>
      </c>
      <c r="U28" s="1">
        <f t="shared" si="4"/>
        <v>92</v>
      </c>
    </row>
    <row r="29" spans="1:21">
      <c r="A29" s="1" t="s">
        <v>42</v>
      </c>
      <c r="B29" s="1">
        <v>2020</v>
      </c>
      <c r="C29" s="1">
        <v>10139.174800000001</v>
      </c>
      <c r="D29" s="1">
        <v>56.397003169999998</v>
      </c>
      <c r="E29" s="1">
        <v>96.043376129999999</v>
      </c>
      <c r="F29" s="1">
        <v>1.04278118</v>
      </c>
      <c r="G29" s="1">
        <v>2.9138426879999999</v>
      </c>
      <c r="H29" s="1">
        <v>0</v>
      </c>
      <c r="I29" s="1">
        <v>90.925797950000003</v>
      </c>
      <c r="J29" s="1">
        <v>2.3915356710000002</v>
      </c>
      <c r="K29" s="1">
        <v>6.6826663770000003</v>
      </c>
      <c r="L29" s="1">
        <v>0</v>
      </c>
      <c r="M29" s="1">
        <v>100</v>
      </c>
      <c r="N29" s="1">
        <v>0</v>
      </c>
      <c r="O29" s="1">
        <v>0</v>
      </c>
      <c r="P29" s="1">
        <v>0</v>
      </c>
      <c r="Q29" s="2" t="str">
        <f t="shared" si="0"/>
        <v/>
      </c>
      <c r="R29" s="1" t="str">
        <f t="shared" si="1"/>
        <v/>
      </c>
      <c r="S29" s="1" t="str">
        <f t="shared" si="2"/>
        <v/>
      </c>
      <c r="T29" s="1" t="str">
        <f t="shared" si="3"/>
        <v/>
      </c>
      <c r="U29" s="1">
        <f t="shared" si="4"/>
        <v>96</v>
      </c>
    </row>
    <row r="30" spans="1:21">
      <c r="A30" s="1" t="s">
        <v>44</v>
      </c>
      <c r="B30" s="1">
        <v>2015</v>
      </c>
      <c r="C30" s="1">
        <v>374.2000122</v>
      </c>
      <c r="D30" s="1">
        <v>82.745994569999993</v>
      </c>
      <c r="E30" s="1">
        <v>98.886960500000001</v>
      </c>
      <c r="F30" s="1">
        <v>0</v>
      </c>
      <c r="G30" s="1">
        <v>1.113039503</v>
      </c>
      <c r="H30" s="1">
        <v>0</v>
      </c>
      <c r="I30" s="1" t="s">
        <v>272</v>
      </c>
      <c r="J30" s="1" t="s">
        <v>272</v>
      </c>
      <c r="K30" s="1" t="s">
        <v>272</v>
      </c>
      <c r="L30" s="1" t="s">
        <v>272</v>
      </c>
      <c r="M30" s="1" t="s">
        <v>272</v>
      </c>
      <c r="N30" s="1" t="s">
        <v>272</v>
      </c>
      <c r="O30" s="1" t="s">
        <v>272</v>
      </c>
      <c r="P30" s="1" t="s">
        <v>272</v>
      </c>
      <c r="Q30" s="2">
        <f t="shared" si="0"/>
        <v>4</v>
      </c>
      <c r="R30" s="1">
        <f t="shared" si="1"/>
        <v>0</v>
      </c>
      <c r="S30" s="1" t="str">
        <f t="shared" si="2"/>
        <v>null</v>
      </c>
      <c r="T30" s="1" t="str">
        <f t="shared" si="3"/>
        <v>null</v>
      </c>
      <c r="U30" s="1">
        <f t="shared" si="4"/>
        <v>99</v>
      </c>
    </row>
    <row r="31" spans="1:21">
      <c r="A31" s="1" t="s">
        <v>44</v>
      </c>
      <c r="B31" s="1">
        <v>2019</v>
      </c>
      <c r="C31" s="1">
        <v>389.48599239999999</v>
      </c>
      <c r="D31" s="1">
        <v>83.131996150000006</v>
      </c>
      <c r="E31" s="1">
        <v>98.886960500000001</v>
      </c>
      <c r="F31" s="1">
        <v>0</v>
      </c>
      <c r="G31" s="1">
        <v>1.113039503</v>
      </c>
      <c r="H31" s="1">
        <v>0</v>
      </c>
      <c r="I31" s="1" t="s">
        <v>272</v>
      </c>
      <c r="J31" s="1" t="s">
        <v>272</v>
      </c>
      <c r="K31" s="1" t="s">
        <v>272</v>
      </c>
      <c r="L31" s="1" t="s">
        <v>272</v>
      </c>
      <c r="M31" s="1" t="s">
        <v>272</v>
      </c>
      <c r="N31" s="1" t="s">
        <v>272</v>
      </c>
      <c r="O31" s="1" t="s">
        <v>272</v>
      </c>
      <c r="P31" s="1" t="s">
        <v>272</v>
      </c>
      <c r="Q31" s="2" t="str">
        <f t="shared" si="0"/>
        <v/>
      </c>
      <c r="R31" s="1" t="str">
        <f t="shared" si="1"/>
        <v/>
      </c>
      <c r="S31" s="1" t="str">
        <f t="shared" si="2"/>
        <v/>
      </c>
      <c r="T31" s="1" t="str">
        <f t="shared" si="3"/>
        <v/>
      </c>
      <c r="U31" s="1">
        <f t="shared" si="4"/>
        <v>99</v>
      </c>
    </row>
    <row r="32" spans="1:21">
      <c r="A32" s="1" t="s">
        <v>46</v>
      </c>
      <c r="B32" s="1">
        <v>2015</v>
      </c>
      <c r="C32" s="1">
        <v>1371.8530270000001</v>
      </c>
      <c r="D32" s="1">
        <v>88.998992920000006</v>
      </c>
      <c r="E32" s="1">
        <v>100</v>
      </c>
      <c r="F32" s="1">
        <v>0</v>
      </c>
      <c r="G32" s="1">
        <v>0</v>
      </c>
      <c r="H32" s="1">
        <v>0</v>
      </c>
      <c r="I32" s="1" t="s">
        <v>272</v>
      </c>
      <c r="J32" s="1" t="s">
        <v>272</v>
      </c>
      <c r="K32" s="1" t="s">
        <v>272</v>
      </c>
      <c r="L32" s="1" t="s">
        <v>272</v>
      </c>
      <c r="M32" s="1" t="s">
        <v>272</v>
      </c>
      <c r="N32" s="1" t="s">
        <v>272</v>
      </c>
      <c r="O32" s="1" t="s">
        <v>272</v>
      </c>
      <c r="P32" s="1" t="s">
        <v>272</v>
      </c>
      <c r="Q32" s="2">
        <f t="shared" si="0"/>
        <v>5</v>
      </c>
      <c r="R32" s="1">
        <f t="shared" si="1"/>
        <v>0</v>
      </c>
      <c r="S32" s="1" t="str">
        <f t="shared" si="2"/>
        <v>null</v>
      </c>
      <c r="T32" s="1" t="str">
        <f t="shared" si="3"/>
        <v>null</v>
      </c>
      <c r="U32" s="1">
        <f t="shared" si="4"/>
        <v>100</v>
      </c>
    </row>
    <row r="33" spans="1:21">
      <c r="A33" s="1" t="s">
        <v>46</v>
      </c>
      <c r="B33" s="1">
        <v>2020</v>
      </c>
      <c r="C33" s="1">
        <v>1701.5830080000001</v>
      </c>
      <c r="D33" s="1">
        <v>89.506004329999996</v>
      </c>
      <c r="E33" s="1">
        <v>100</v>
      </c>
      <c r="F33" s="1">
        <v>0</v>
      </c>
      <c r="G33" s="1">
        <v>0</v>
      </c>
      <c r="H33" s="1">
        <v>0</v>
      </c>
      <c r="I33" s="1" t="s">
        <v>272</v>
      </c>
      <c r="J33" s="1" t="s">
        <v>272</v>
      </c>
      <c r="K33" s="1" t="s">
        <v>272</v>
      </c>
      <c r="L33" s="1" t="s">
        <v>272</v>
      </c>
      <c r="M33" s="1" t="s">
        <v>272</v>
      </c>
      <c r="N33" s="1" t="s">
        <v>272</v>
      </c>
      <c r="O33" s="1" t="s">
        <v>272</v>
      </c>
      <c r="P33" s="1" t="s">
        <v>272</v>
      </c>
      <c r="Q33" s="2" t="str">
        <f t="shared" si="0"/>
        <v/>
      </c>
      <c r="R33" s="1" t="str">
        <f t="shared" si="1"/>
        <v/>
      </c>
      <c r="S33" s="1" t="str">
        <f t="shared" si="2"/>
        <v/>
      </c>
      <c r="T33" s="1" t="str">
        <f t="shared" si="3"/>
        <v/>
      </c>
      <c r="U33" s="1">
        <f t="shared" si="4"/>
        <v>100</v>
      </c>
    </row>
    <row r="34" spans="1:21">
      <c r="A34" s="1" t="s">
        <v>48</v>
      </c>
      <c r="B34" s="1">
        <v>2015</v>
      </c>
      <c r="C34" s="1">
        <v>156256.2813</v>
      </c>
      <c r="D34" s="1">
        <v>34.308002469999998</v>
      </c>
      <c r="E34" s="1">
        <v>97.101602470000003</v>
      </c>
      <c r="F34" s="1">
        <v>1.087988961</v>
      </c>
      <c r="G34" s="1">
        <v>0.72156165819999996</v>
      </c>
      <c r="H34" s="1">
        <v>1.08884691</v>
      </c>
      <c r="I34" s="1">
        <v>96.773011280000006</v>
      </c>
      <c r="J34" s="1">
        <v>1.0462141620000001</v>
      </c>
      <c r="K34" s="1">
        <v>0.73174732170000001</v>
      </c>
      <c r="L34" s="1">
        <v>1.4490272369999999</v>
      </c>
      <c r="M34" s="1">
        <v>97.730779679999998</v>
      </c>
      <c r="N34" s="1">
        <v>1.167978177</v>
      </c>
      <c r="O34" s="1">
        <v>0.70205843499999998</v>
      </c>
      <c r="P34" s="1">
        <v>0.39918370739999998</v>
      </c>
      <c r="Q34" s="2">
        <f t="shared" si="0"/>
        <v>5</v>
      </c>
      <c r="R34" s="1">
        <f t="shared" si="1"/>
        <v>0.11927155599999821</v>
      </c>
      <c r="S34" s="1">
        <f t="shared" si="2"/>
        <v>0.22144529599999885</v>
      </c>
      <c r="T34" s="1">
        <f t="shared" si="3"/>
        <v>-6.5600341999999048E-2</v>
      </c>
      <c r="U34" s="1">
        <f t="shared" si="4"/>
        <v>97</v>
      </c>
    </row>
    <row r="35" spans="1:21">
      <c r="A35" s="1" t="s">
        <v>48</v>
      </c>
      <c r="B35" s="1">
        <v>2020</v>
      </c>
      <c r="C35" s="1">
        <v>164689.39060000001</v>
      </c>
      <c r="D35" s="1">
        <v>38.177001949999998</v>
      </c>
      <c r="E35" s="1">
        <v>97.697960249999994</v>
      </c>
      <c r="F35" s="1">
        <v>1.1564258780000001</v>
      </c>
      <c r="G35" s="1">
        <v>0.46265570020000002</v>
      </c>
      <c r="H35" s="1">
        <v>0.68295817349999999</v>
      </c>
      <c r="I35" s="1">
        <v>97.88023776</v>
      </c>
      <c r="J35" s="1">
        <v>0.85810498040000005</v>
      </c>
      <c r="K35" s="1">
        <v>0.31648024139999997</v>
      </c>
      <c r="L35" s="1">
        <v>0.94517701509999996</v>
      </c>
      <c r="M35" s="1">
        <v>97.402777970000002</v>
      </c>
      <c r="N35" s="1">
        <v>1.6395201210000001</v>
      </c>
      <c r="O35" s="1">
        <v>0.69937521469999997</v>
      </c>
      <c r="P35" s="1">
        <v>0.25832669339999997</v>
      </c>
      <c r="Q35" s="2" t="str">
        <f t="shared" si="0"/>
        <v/>
      </c>
      <c r="R35" s="1" t="str">
        <f t="shared" si="1"/>
        <v/>
      </c>
      <c r="S35" s="1" t="str">
        <f t="shared" si="2"/>
        <v/>
      </c>
      <c r="T35" s="1" t="str">
        <f t="shared" si="3"/>
        <v/>
      </c>
      <c r="U35" s="1">
        <f t="shared" si="4"/>
        <v>98</v>
      </c>
    </row>
    <row r="36" spans="1:21">
      <c r="A36" s="1" t="s">
        <v>50</v>
      </c>
      <c r="B36" s="1">
        <v>2015</v>
      </c>
      <c r="C36" s="1">
        <v>285.32699580000002</v>
      </c>
      <c r="D36" s="1">
        <v>31.24899864</v>
      </c>
      <c r="E36" s="1">
        <v>98.474444739999996</v>
      </c>
      <c r="F36" s="1">
        <v>0.26749190639999998</v>
      </c>
      <c r="G36" s="1">
        <v>1.2580633510000001</v>
      </c>
      <c r="H36" s="1">
        <v>0</v>
      </c>
      <c r="I36" s="1" t="s">
        <v>272</v>
      </c>
      <c r="J36" s="1" t="s">
        <v>272</v>
      </c>
      <c r="K36" s="1" t="s">
        <v>272</v>
      </c>
      <c r="L36" s="1" t="s">
        <v>272</v>
      </c>
      <c r="M36" s="1" t="s">
        <v>272</v>
      </c>
      <c r="N36" s="1" t="s">
        <v>272</v>
      </c>
      <c r="O36" s="1" t="s">
        <v>272</v>
      </c>
      <c r="P36" s="1" t="s">
        <v>272</v>
      </c>
      <c r="Q36" s="2">
        <f t="shared" si="0"/>
        <v>5</v>
      </c>
      <c r="R36" s="1">
        <f t="shared" si="1"/>
        <v>8.0011360000014527E-3</v>
      </c>
      <c r="S36" s="1" t="str">
        <f t="shared" si="2"/>
        <v>null</v>
      </c>
      <c r="T36" s="1" t="str">
        <f t="shared" si="3"/>
        <v>null</v>
      </c>
      <c r="U36" s="1">
        <f t="shared" si="4"/>
        <v>98</v>
      </c>
    </row>
    <row r="37" spans="1:21">
      <c r="A37" s="1" t="s">
        <v>50</v>
      </c>
      <c r="B37" s="1">
        <v>2020</v>
      </c>
      <c r="C37" s="1">
        <v>287.37100220000002</v>
      </c>
      <c r="D37" s="1">
        <v>31.190999980000001</v>
      </c>
      <c r="E37" s="1">
        <v>98.514450420000003</v>
      </c>
      <c r="F37" s="1">
        <v>0.26760057609999999</v>
      </c>
      <c r="G37" s="1">
        <v>1.2179490049999999</v>
      </c>
      <c r="H37" s="1">
        <v>0</v>
      </c>
      <c r="I37" s="1" t="s">
        <v>272</v>
      </c>
      <c r="J37" s="1" t="s">
        <v>272</v>
      </c>
      <c r="K37" s="1" t="s">
        <v>272</v>
      </c>
      <c r="L37" s="1" t="s">
        <v>272</v>
      </c>
      <c r="M37" s="1" t="s">
        <v>272</v>
      </c>
      <c r="N37" s="1" t="s">
        <v>272</v>
      </c>
      <c r="O37" s="1" t="s">
        <v>272</v>
      </c>
      <c r="P37" s="1" t="s">
        <v>272</v>
      </c>
      <c r="Q37" s="2" t="str">
        <f t="shared" si="0"/>
        <v/>
      </c>
      <c r="R37" s="1" t="str">
        <f t="shared" si="1"/>
        <v/>
      </c>
      <c r="S37" s="1" t="str">
        <f t="shared" si="2"/>
        <v/>
      </c>
      <c r="T37" s="1" t="str">
        <f t="shared" si="3"/>
        <v/>
      </c>
      <c r="U37" s="1">
        <f t="shared" si="4"/>
        <v>99</v>
      </c>
    </row>
    <row r="38" spans="1:21">
      <c r="A38" s="1" t="s">
        <v>52</v>
      </c>
      <c r="B38" s="1">
        <v>2015</v>
      </c>
      <c r="C38" s="1">
        <v>9439.4238280000009</v>
      </c>
      <c r="D38" s="1">
        <v>77.180999760000006</v>
      </c>
      <c r="E38" s="1">
        <v>96.477067090000006</v>
      </c>
      <c r="F38" s="1">
        <v>3.3001301079999998</v>
      </c>
      <c r="G38" s="1">
        <v>0.22280279950000001</v>
      </c>
      <c r="H38" s="1">
        <v>0</v>
      </c>
      <c r="I38" s="1">
        <v>98.330671600000002</v>
      </c>
      <c r="J38" s="1">
        <v>0.99323910709999996</v>
      </c>
      <c r="K38" s="1">
        <v>0.67608928950000002</v>
      </c>
      <c r="L38" s="1">
        <v>0</v>
      </c>
      <c r="M38" s="1">
        <v>95.92903518</v>
      </c>
      <c r="N38" s="1">
        <v>3.9821753929999999</v>
      </c>
      <c r="O38" s="1">
        <v>8.8789423830000005E-2</v>
      </c>
      <c r="P38" s="1">
        <v>0</v>
      </c>
      <c r="Q38" s="2">
        <f t="shared" si="0"/>
        <v>5</v>
      </c>
      <c r="R38" s="1">
        <f t="shared" si="1"/>
        <v>1.1531797999998617E-2</v>
      </c>
      <c r="S38" s="1">
        <f t="shared" si="2"/>
        <v>4.6690141999999921E-2</v>
      </c>
      <c r="T38" s="1">
        <f t="shared" si="3"/>
        <v>1.6367687999999703E-2</v>
      </c>
      <c r="U38" s="1">
        <f t="shared" si="4"/>
        <v>96</v>
      </c>
    </row>
    <row r="39" spans="1:21">
      <c r="A39" s="1" t="s">
        <v>52</v>
      </c>
      <c r="B39" s="1">
        <v>2020</v>
      </c>
      <c r="C39" s="1">
        <v>9449.3212889999995</v>
      </c>
      <c r="D39" s="1">
        <v>79.483001709999996</v>
      </c>
      <c r="E39" s="1">
        <v>96.534726079999999</v>
      </c>
      <c r="F39" s="1">
        <v>3.3721195499999999</v>
      </c>
      <c r="G39" s="1">
        <v>9.3154368370000004E-2</v>
      </c>
      <c r="H39" s="1">
        <v>0</v>
      </c>
      <c r="I39" s="1">
        <v>98.564122310000002</v>
      </c>
      <c r="J39" s="1">
        <v>0.9955971951</v>
      </c>
      <c r="K39" s="1">
        <v>0.4402804931</v>
      </c>
      <c r="L39" s="1">
        <v>0</v>
      </c>
      <c r="M39" s="1">
        <v>96.010873619999998</v>
      </c>
      <c r="N39" s="1">
        <v>3.9855726439999999</v>
      </c>
      <c r="O39" s="1">
        <v>3.5537319770000001E-3</v>
      </c>
      <c r="P39" s="1">
        <v>0</v>
      </c>
      <c r="Q39" s="2" t="str">
        <f t="shared" si="0"/>
        <v/>
      </c>
      <c r="R39" s="1" t="str">
        <f t="shared" si="1"/>
        <v/>
      </c>
      <c r="S39" s="1" t="str">
        <f t="shared" si="2"/>
        <v/>
      </c>
      <c r="T39" s="1" t="str">
        <f t="shared" si="3"/>
        <v/>
      </c>
      <c r="U39" s="1">
        <f t="shared" si="4"/>
        <v>97</v>
      </c>
    </row>
    <row r="40" spans="1:21">
      <c r="A40" s="1" t="s">
        <v>54</v>
      </c>
      <c r="B40" s="1">
        <v>2015</v>
      </c>
      <c r="C40" s="1">
        <v>11287.93066</v>
      </c>
      <c r="D40" s="1">
        <v>97.875999449999995</v>
      </c>
      <c r="E40" s="1">
        <v>99.999997699999994</v>
      </c>
      <c r="F40" s="1">
        <v>0</v>
      </c>
      <c r="G40" s="1">
        <v>2.2980245119999998E-6</v>
      </c>
      <c r="H40" s="1">
        <v>0</v>
      </c>
      <c r="I40" s="1">
        <v>100</v>
      </c>
      <c r="J40" s="1">
        <v>0</v>
      </c>
      <c r="K40" s="1">
        <v>0</v>
      </c>
      <c r="L40" s="1">
        <v>0</v>
      </c>
      <c r="M40" s="1">
        <v>100</v>
      </c>
      <c r="N40" s="1">
        <v>0</v>
      </c>
      <c r="O40" s="1">
        <v>0</v>
      </c>
      <c r="P40" s="1">
        <v>0</v>
      </c>
      <c r="Q40" s="2">
        <f t="shared" si="0"/>
        <v>5</v>
      </c>
      <c r="R40" s="1">
        <f t="shared" si="1"/>
        <v>-2.4999999936881068E-7</v>
      </c>
      <c r="S40" s="1">
        <f t="shared" si="2"/>
        <v>0</v>
      </c>
      <c r="T40" s="1">
        <f t="shared" si="3"/>
        <v>0</v>
      </c>
      <c r="U40" s="1">
        <f t="shared" si="4"/>
        <v>100</v>
      </c>
    </row>
    <row r="41" spans="1:21">
      <c r="A41" s="1" t="s">
        <v>54</v>
      </c>
      <c r="B41" s="1">
        <v>2020</v>
      </c>
      <c r="C41" s="1">
        <v>11589.61621</v>
      </c>
      <c r="D41" s="1">
        <v>98.078994750000007</v>
      </c>
      <c r="E41" s="1">
        <v>99.999996449999998</v>
      </c>
      <c r="F41" s="1">
        <v>0</v>
      </c>
      <c r="G41" s="1">
        <v>3.5547967910000002E-6</v>
      </c>
      <c r="H41" s="1">
        <v>0</v>
      </c>
      <c r="I41" s="1">
        <v>100</v>
      </c>
      <c r="J41" s="1">
        <v>0</v>
      </c>
      <c r="K41" s="1">
        <v>0</v>
      </c>
      <c r="L41" s="1">
        <v>0</v>
      </c>
      <c r="M41" s="1">
        <v>100</v>
      </c>
      <c r="N41" s="1">
        <v>0</v>
      </c>
      <c r="O41" s="1">
        <v>0</v>
      </c>
      <c r="P41" s="1">
        <v>0</v>
      </c>
      <c r="Q41" s="2" t="str">
        <f t="shared" si="0"/>
        <v/>
      </c>
      <c r="R41" s="1" t="str">
        <f t="shared" si="1"/>
        <v/>
      </c>
      <c r="S41" s="1" t="str">
        <f t="shared" si="2"/>
        <v/>
      </c>
      <c r="T41" s="1" t="str">
        <f t="shared" si="3"/>
        <v/>
      </c>
      <c r="U41" s="1">
        <f t="shared" si="4"/>
        <v>100</v>
      </c>
    </row>
    <row r="42" spans="1:21">
      <c r="A42" s="1" t="s">
        <v>55</v>
      </c>
      <c r="B42" s="1">
        <v>2015</v>
      </c>
      <c r="C42" s="1">
        <v>360.92599489999998</v>
      </c>
      <c r="D42" s="1">
        <v>45.405998230000002</v>
      </c>
      <c r="E42" s="1">
        <v>97.17559498</v>
      </c>
      <c r="F42" s="1">
        <v>1.227940493</v>
      </c>
      <c r="G42" s="1">
        <v>1.5682225350000001</v>
      </c>
      <c r="H42" s="1">
        <v>2.8241988169999999E-2</v>
      </c>
      <c r="I42" s="1">
        <v>95.653832059999999</v>
      </c>
      <c r="J42" s="1">
        <v>1.4219190049999999</v>
      </c>
      <c r="K42" s="1">
        <v>2.8725179939999999</v>
      </c>
      <c r="L42" s="1">
        <v>5.1730935759999999E-2</v>
      </c>
      <c r="M42" s="1">
        <v>99.005290000000002</v>
      </c>
      <c r="N42" s="1">
        <v>0.99470999999999998</v>
      </c>
      <c r="O42" s="1">
        <v>0</v>
      </c>
      <c r="P42" s="1">
        <v>0</v>
      </c>
      <c r="Q42" s="2">
        <f t="shared" si="0"/>
        <v>5</v>
      </c>
      <c r="R42" s="1">
        <f t="shared" si="1"/>
        <v>0.24527193000000125</v>
      </c>
      <c r="S42" s="1">
        <f t="shared" si="2"/>
        <v>0.46827510399999994</v>
      </c>
      <c r="T42" s="1">
        <f t="shared" si="3"/>
        <v>-2.5265999999999168E-2</v>
      </c>
      <c r="U42" s="1">
        <f t="shared" si="4"/>
        <v>97</v>
      </c>
    </row>
    <row r="43" spans="1:21">
      <c r="A43" s="1" t="s">
        <v>55</v>
      </c>
      <c r="B43" s="1">
        <v>2020</v>
      </c>
      <c r="C43" s="1">
        <v>397.62100220000002</v>
      </c>
      <c r="D43" s="1">
        <v>46.025001529999997</v>
      </c>
      <c r="E43" s="1">
        <v>98.401954630000006</v>
      </c>
      <c r="F43" s="1">
        <v>1.249110629</v>
      </c>
      <c r="G43" s="1">
        <v>0.3489347411</v>
      </c>
      <c r="H43" s="1">
        <v>0</v>
      </c>
      <c r="I43" s="1">
        <v>97.995207579999999</v>
      </c>
      <c r="J43" s="1">
        <v>1.358317682</v>
      </c>
      <c r="K43" s="1">
        <v>0.64647473929999999</v>
      </c>
      <c r="L43" s="1">
        <v>0</v>
      </c>
      <c r="M43" s="1">
        <v>98.878960000000006</v>
      </c>
      <c r="N43" s="1">
        <v>1.12104</v>
      </c>
      <c r="O43" s="1">
        <v>0</v>
      </c>
      <c r="P43" s="1">
        <v>0</v>
      </c>
      <c r="Q43" s="2" t="str">
        <f t="shared" si="0"/>
        <v/>
      </c>
      <c r="R43" s="1" t="str">
        <f t="shared" si="1"/>
        <v/>
      </c>
      <c r="S43" s="1" t="str">
        <f t="shared" si="2"/>
        <v/>
      </c>
      <c r="T43" s="1" t="str">
        <f t="shared" si="3"/>
        <v/>
      </c>
      <c r="U43" s="1">
        <f t="shared" si="4"/>
        <v>98</v>
      </c>
    </row>
    <row r="44" spans="1:21">
      <c r="A44" s="1" t="s">
        <v>56</v>
      </c>
      <c r="B44" s="1">
        <v>2015</v>
      </c>
      <c r="C44" s="1">
        <v>10575.96191</v>
      </c>
      <c r="D44" s="1">
        <v>45.695003509999999</v>
      </c>
      <c r="E44" s="1">
        <v>64.786822299999997</v>
      </c>
      <c r="F44" s="1">
        <v>8.7154706540000006</v>
      </c>
      <c r="G44" s="1">
        <v>21.298464339999999</v>
      </c>
      <c r="H44" s="1">
        <v>5.1992427130000003</v>
      </c>
      <c r="I44" s="1">
        <v>56.784352470000002</v>
      </c>
      <c r="J44" s="1">
        <v>11.70337067</v>
      </c>
      <c r="K44" s="1">
        <v>23.774978569999998</v>
      </c>
      <c r="L44" s="1">
        <v>7.7372982859999997</v>
      </c>
      <c r="M44" s="1">
        <v>74.297142559999998</v>
      </c>
      <c r="N44" s="1">
        <v>5.1645811540000004</v>
      </c>
      <c r="O44" s="1">
        <v>18.355317530000001</v>
      </c>
      <c r="P44" s="1">
        <v>2.1829587560000001</v>
      </c>
      <c r="Q44" s="2">
        <f t="shared" si="0"/>
        <v>5</v>
      </c>
      <c r="R44" s="1">
        <f t="shared" si="1"/>
        <v>0.12546013799999969</v>
      </c>
      <c r="S44" s="1">
        <f t="shared" si="2"/>
        <v>0.25358310399999906</v>
      </c>
      <c r="T44" s="1">
        <f t="shared" si="3"/>
        <v>-0.20782850399999972</v>
      </c>
      <c r="U44" s="1">
        <f t="shared" si="4"/>
        <v>65</v>
      </c>
    </row>
    <row r="45" spans="1:21">
      <c r="A45" s="1" t="s">
        <v>56</v>
      </c>
      <c r="B45" s="1">
        <v>2020</v>
      </c>
      <c r="C45" s="1">
        <v>12123.19824</v>
      </c>
      <c r="D45" s="1">
        <v>48.414997100000001</v>
      </c>
      <c r="E45" s="1">
        <v>65.414122989999996</v>
      </c>
      <c r="F45" s="1">
        <v>9.317535586</v>
      </c>
      <c r="G45" s="1">
        <v>21.97254088</v>
      </c>
      <c r="H45" s="1">
        <v>3.2958005469999998</v>
      </c>
      <c r="I45" s="1">
        <v>58.052267989999997</v>
      </c>
      <c r="J45" s="1">
        <v>12.705205039999999</v>
      </c>
      <c r="K45" s="1">
        <v>23.977968329999999</v>
      </c>
      <c r="L45" s="1">
        <v>5.2645586340000001</v>
      </c>
      <c r="M45" s="1">
        <v>73.258000039999999</v>
      </c>
      <c r="N45" s="1">
        <v>5.7080563529999999</v>
      </c>
      <c r="O45" s="1">
        <v>19.835806810000001</v>
      </c>
      <c r="P45" s="1">
        <v>1.1981367940000001</v>
      </c>
      <c r="Q45" s="2" t="str">
        <f t="shared" si="0"/>
        <v/>
      </c>
      <c r="R45" s="1" t="str">
        <f t="shared" si="1"/>
        <v/>
      </c>
      <c r="S45" s="1" t="str">
        <f t="shared" si="2"/>
        <v/>
      </c>
      <c r="T45" s="1" t="str">
        <f t="shared" si="3"/>
        <v/>
      </c>
      <c r="U45" s="1">
        <f t="shared" si="4"/>
        <v>65</v>
      </c>
    </row>
    <row r="46" spans="1:21">
      <c r="A46" s="1" t="s">
        <v>57</v>
      </c>
      <c r="B46" s="1">
        <v>2015</v>
      </c>
      <c r="C46" s="1">
        <v>63.694999690000003</v>
      </c>
      <c r="D46" s="1">
        <v>100</v>
      </c>
      <c r="E46" s="1">
        <v>99.903140019999995</v>
      </c>
      <c r="F46" s="1">
        <v>0</v>
      </c>
      <c r="G46" s="1">
        <v>9.6859982940000006E-2</v>
      </c>
      <c r="H46" s="1">
        <v>0</v>
      </c>
      <c r="I46" s="1" t="s">
        <v>272</v>
      </c>
      <c r="J46" s="1" t="s">
        <v>272</v>
      </c>
      <c r="K46" s="1" t="s">
        <v>272</v>
      </c>
      <c r="L46" s="1" t="s">
        <v>272</v>
      </c>
      <c r="M46" s="1">
        <v>99.903140019999995</v>
      </c>
      <c r="N46" s="1">
        <v>0</v>
      </c>
      <c r="O46" s="1">
        <v>9.6859982940000006E-2</v>
      </c>
      <c r="P46" s="1">
        <v>0</v>
      </c>
      <c r="Q46" s="2">
        <f t="shared" si="0"/>
        <v>5</v>
      </c>
      <c r="R46" s="1">
        <f t="shared" si="1"/>
        <v>0</v>
      </c>
      <c r="S46" s="1" t="str">
        <f t="shared" si="2"/>
        <v>null</v>
      </c>
      <c r="T46" s="1">
        <f t="shared" si="3"/>
        <v>0</v>
      </c>
      <c r="U46" s="1">
        <f t="shared" si="4"/>
        <v>100</v>
      </c>
    </row>
    <row r="47" spans="1:21">
      <c r="A47" s="1" t="s">
        <v>57</v>
      </c>
      <c r="B47" s="1">
        <v>2020</v>
      </c>
      <c r="C47" s="1">
        <v>62.272998809999997</v>
      </c>
      <c r="D47" s="1">
        <v>100</v>
      </c>
      <c r="E47" s="1">
        <v>99.903140019999995</v>
      </c>
      <c r="F47" s="1">
        <v>0</v>
      </c>
      <c r="G47" s="1">
        <v>9.6859982940000006E-2</v>
      </c>
      <c r="H47" s="1">
        <v>0</v>
      </c>
      <c r="I47" s="1" t="s">
        <v>272</v>
      </c>
      <c r="J47" s="1" t="s">
        <v>272</v>
      </c>
      <c r="K47" s="1" t="s">
        <v>272</v>
      </c>
      <c r="L47" s="1" t="s">
        <v>272</v>
      </c>
      <c r="M47" s="1">
        <v>99.903140019999995</v>
      </c>
      <c r="N47" s="1">
        <v>0</v>
      </c>
      <c r="O47" s="1">
        <v>9.6859982940000006E-2</v>
      </c>
      <c r="P47" s="1">
        <v>0</v>
      </c>
      <c r="Q47" s="2" t="str">
        <f t="shared" si="0"/>
        <v/>
      </c>
      <c r="R47" s="1" t="str">
        <f t="shared" si="1"/>
        <v/>
      </c>
      <c r="S47" s="1" t="str">
        <f t="shared" si="2"/>
        <v/>
      </c>
      <c r="T47" s="1" t="str">
        <f t="shared" si="3"/>
        <v/>
      </c>
      <c r="U47" s="1">
        <f t="shared" si="4"/>
        <v>100</v>
      </c>
    </row>
    <row r="48" spans="1:21">
      <c r="A48" s="1" t="s">
        <v>59</v>
      </c>
      <c r="B48" s="1">
        <v>2015</v>
      </c>
      <c r="C48" s="1">
        <v>727.88500980000003</v>
      </c>
      <c r="D48" s="1">
        <v>38.678001399999999</v>
      </c>
      <c r="E48" s="1">
        <v>96.221422590000003</v>
      </c>
      <c r="F48" s="1">
        <v>2.496596292</v>
      </c>
      <c r="G48" s="1">
        <v>0.29618737509999998</v>
      </c>
      <c r="H48" s="1">
        <v>0.98579373770000001</v>
      </c>
      <c r="I48" s="1">
        <v>95.164362949999997</v>
      </c>
      <c r="J48" s="1">
        <v>3.215858941</v>
      </c>
      <c r="K48" s="1">
        <v>0.1935987005</v>
      </c>
      <c r="L48" s="1">
        <v>1.4261794109999999</v>
      </c>
      <c r="M48" s="1">
        <v>97.897336780000003</v>
      </c>
      <c r="N48" s="1">
        <v>1.3562420319999999</v>
      </c>
      <c r="O48" s="1">
        <v>0.45883648849999997</v>
      </c>
      <c r="P48" s="1">
        <v>0.28758470349999998</v>
      </c>
      <c r="Q48" s="2">
        <f t="shared" si="0"/>
        <v>5</v>
      </c>
      <c r="R48" s="1">
        <f t="shared" si="1"/>
        <v>0.21836000799999908</v>
      </c>
      <c r="S48" s="1">
        <f t="shared" si="2"/>
        <v>0.3133661399999994</v>
      </c>
      <c r="T48" s="1">
        <f t="shared" si="3"/>
        <v>4.1858342000000451E-2</v>
      </c>
      <c r="U48" s="1">
        <f t="shared" si="4"/>
        <v>96</v>
      </c>
    </row>
    <row r="49" spans="1:21">
      <c r="A49" s="1" t="s">
        <v>59</v>
      </c>
      <c r="B49" s="1">
        <v>2020</v>
      </c>
      <c r="C49" s="1">
        <v>771.61199950000002</v>
      </c>
      <c r="D49" s="1">
        <v>42.31599808</v>
      </c>
      <c r="E49" s="1">
        <v>97.313222629999999</v>
      </c>
      <c r="F49" s="1">
        <v>2.4607126070000001</v>
      </c>
      <c r="G49" s="1">
        <v>0.17642421829999999</v>
      </c>
      <c r="H49" s="1">
        <v>4.9640541420000003E-2</v>
      </c>
      <c r="I49" s="1">
        <v>96.731193649999994</v>
      </c>
      <c r="J49" s="1">
        <v>3.2688063509999998</v>
      </c>
      <c r="K49" s="1">
        <v>0</v>
      </c>
      <c r="L49" s="1">
        <v>0</v>
      </c>
      <c r="M49" s="1">
        <v>98.106628490000006</v>
      </c>
      <c r="N49" s="1">
        <v>1.3591415</v>
      </c>
      <c r="O49" s="1">
        <v>0.41692084750000002</v>
      </c>
      <c r="P49" s="1">
        <v>0.1173091586</v>
      </c>
      <c r="Q49" s="2" t="str">
        <f t="shared" si="0"/>
        <v/>
      </c>
      <c r="R49" s="1" t="str">
        <f t="shared" si="1"/>
        <v/>
      </c>
      <c r="S49" s="1" t="str">
        <f t="shared" si="2"/>
        <v/>
      </c>
      <c r="T49" s="1" t="str">
        <f t="shared" si="3"/>
        <v/>
      </c>
      <c r="U49" s="1">
        <f t="shared" si="4"/>
        <v>97</v>
      </c>
    </row>
    <row r="50" spans="1:21">
      <c r="A50" s="1" t="s">
        <v>60</v>
      </c>
      <c r="B50" s="1">
        <v>2015</v>
      </c>
      <c r="C50" s="1">
        <v>10869.73242</v>
      </c>
      <c r="D50" s="1">
        <v>68.392997739999998</v>
      </c>
      <c r="E50" s="1">
        <v>90.462141009999996</v>
      </c>
      <c r="F50" s="1">
        <v>0.17289839809999999</v>
      </c>
      <c r="G50" s="1">
        <v>2.832457169</v>
      </c>
      <c r="H50" s="1">
        <v>6.5325034249999998</v>
      </c>
      <c r="I50" s="1">
        <v>73.740180199999998</v>
      </c>
      <c r="J50" s="1">
        <v>0.33996878380000001</v>
      </c>
      <c r="K50" s="1">
        <v>5.9118005360000003</v>
      </c>
      <c r="L50" s="1">
        <v>20.008050480000001</v>
      </c>
      <c r="M50" s="1">
        <v>98.189997079999998</v>
      </c>
      <c r="N50" s="1">
        <v>9.5688834099999995E-2</v>
      </c>
      <c r="O50" s="1">
        <v>1.4093724700000001</v>
      </c>
      <c r="P50" s="1">
        <v>0.304941615</v>
      </c>
      <c r="Q50" s="2">
        <f t="shared" si="0"/>
        <v>5</v>
      </c>
      <c r="R50" s="1">
        <f t="shared" si="1"/>
        <v>0.58558612399999954</v>
      </c>
      <c r="S50" s="1">
        <f t="shared" si="2"/>
        <v>1.2392925259999998</v>
      </c>
      <c r="T50" s="1">
        <f t="shared" si="3"/>
        <v>0.18642424800000015</v>
      </c>
      <c r="U50" s="1">
        <f t="shared" si="4"/>
        <v>90</v>
      </c>
    </row>
    <row r="51" spans="1:21">
      <c r="A51" s="1" t="s">
        <v>60</v>
      </c>
      <c r="B51" s="1">
        <v>2020</v>
      </c>
      <c r="C51" s="1">
        <v>11673.0293</v>
      </c>
      <c r="D51" s="1">
        <v>70.123001099999996</v>
      </c>
      <c r="E51" s="1">
        <v>93.390071629999994</v>
      </c>
      <c r="F51" s="1">
        <v>0.13659052960000001</v>
      </c>
      <c r="G51" s="1">
        <v>1.575010843</v>
      </c>
      <c r="H51" s="1">
        <v>4.8983269969999998</v>
      </c>
      <c r="I51" s="1">
        <v>79.936642829999997</v>
      </c>
      <c r="J51" s="1">
        <v>0.24473640820000001</v>
      </c>
      <c r="K51" s="1">
        <v>3.9541336930000002</v>
      </c>
      <c r="L51" s="1">
        <v>15.864487069999999</v>
      </c>
      <c r="M51" s="1">
        <v>99.122118319999998</v>
      </c>
      <c r="N51" s="1">
        <v>9.0513289469999994E-2</v>
      </c>
      <c r="O51" s="1">
        <v>0.56134538079999996</v>
      </c>
      <c r="P51" s="1">
        <v>0.22602301120000001</v>
      </c>
      <c r="Q51" s="2" t="str">
        <f t="shared" si="0"/>
        <v/>
      </c>
      <c r="R51" s="1" t="str">
        <f t="shared" si="1"/>
        <v/>
      </c>
      <c r="S51" s="1" t="str">
        <f t="shared" si="2"/>
        <v/>
      </c>
      <c r="T51" s="1" t="str">
        <f t="shared" si="3"/>
        <v/>
      </c>
      <c r="U51" s="1">
        <f t="shared" si="4"/>
        <v>93</v>
      </c>
    </row>
    <row r="52" spans="1:21">
      <c r="A52" s="1" t="s">
        <v>61</v>
      </c>
      <c r="B52" s="1">
        <v>2015</v>
      </c>
      <c r="C52" s="1">
        <v>3429.3620609999998</v>
      </c>
      <c r="D52" s="1">
        <v>47.172996519999998</v>
      </c>
      <c r="E52" s="1">
        <v>96.159844179999993</v>
      </c>
      <c r="F52" s="1">
        <v>3.780069975</v>
      </c>
      <c r="G52" s="1">
        <v>6.0085848570000003E-2</v>
      </c>
      <c r="H52" s="1">
        <v>0</v>
      </c>
      <c r="I52" s="1">
        <v>97.333333330000002</v>
      </c>
      <c r="J52" s="1">
        <v>2.6666666669999999</v>
      </c>
      <c r="K52" s="1">
        <v>0</v>
      </c>
      <c r="L52" s="1">
        <v>0</v>
      </c>
      <c r="M52" s="1">
        <v>94.845704400000002</v>
      </c>
      <c r="N52" s="1">
        <v>5.0269222060000001</v>
      </c>
      <c r="O52" s="1">
        <v>0.12737339280000001</v>
      </c>
      <c r="P52" s="1">
        <v>0</v>
      </c>
      <c r="Q52" s="2">
        <f t="shared" si="0"/>
        <v>5</v>
      </c>
      <c r="R52" s="1">
        <f t="shared" si="1"/>
        <v>-9.1893119999980396E-3</v>
      </c>
      <c r="S52" s="1">
        <f t="shared" si="2"/>
        <v>0</v>
      </c>
      <c r="T52" s="1">
        <f t="shared" si="3"/>
        <v>0</v>
      </c>
      <c r="U52" s="1">
        <f t="shared" si="4"/>
        <v>96</v>
      </c>
    </row>
    <row r="53" spans="1:21">
      <c r="A53" s="1" t="s">
        <v>61</v>
      </c>
      <c r="B53" s="1">
        <v>2020</v>
      </c>
      <c r="C53" s="1">
        <v>3280.8149410000001</v>
      </c>
      <c r="D53" s="1">
        <v>49.020000459999999</v>
      </c>
      <c r="E53" s="1">
        <v>96.113897620000003</v>
      </c>
      <c r="F53" s="1">
        <v>3.8236639380000002</v>
      </c>
      <c r="G53" s="1">
        <v>6.2438437520000001E-2</v>
      </c>
      <c r="H53" s="1">
        <v>0</v>
      </c>
      <c r="I53" s="1">
        <v>97.333333330000002</v>
      </c>
      <c r="J53" s="1">
        <v>2.6666666669999999</v>
      </c>
      <c r="K53" s="1">
        <v>0</v>
      </c>
      <c r="L53" s="1">
        <v>0</v>
      </c>
      <c r="M53" s="1">
        <v>94.845704400000002</v>
      </c>
      <c r="N53" s="1">
        <v>5.0269222060000001</v>
      </c>
      <c r="O53" s="1">
        <v>0.12737339280000001</v>
      </c>
      <c r="P53" s="1">
        <v>0</v>
      </c>
      <c r="Q53" s="2" t="str">
        <f t="shared" si="0"/>
        <v/>
      </c>
      <c r="R53" s="1" t="str">
        <f t="shared" si="1"/>
        <v/>
      </c>
      <c r="S53" s="1" t="str">
        <f t="shared" si="2"/>
        <v/>
      </c>
      <c r="T53" s="1" t="str">
        <f t="shared" si="3"/>
        <v/>
      </c>
      <c r="U53" s="1">
        <f t="shared" si="4"/>
        <v>96</v>
      </c>
    </row>
    <row r="54" spans="1:21">
      <c r="A54" s="1" t="s">
        <v>62</v>
      </c>
      <c r="B54" s="1">
        <v>2015</v>
      </c>
      <c r="C54" s="1">
        <v>2120.7160640000002</v>
      </c>
      <c r="D54" s="1">
        <v>67.15499878</v>
      </c>
      <c r="E54" s="1">
        <v>88.446289530000001</v>
      </c>
      <c r="F54" s="1">
        <v>8.4106141599999997</v>
      </c>
      <c r="G54" s="1">
        <v>1.578349601</v>
      </c>
      <c r="H54" s="1">
        <v>1.5647467079999999</v>
      </c>
      <c r="I54" s="1">
        <v>71.892533830000005</v>
      </c>
      <c r="J54" s="1">
        <v>21.789327549999999</v>
      </c>
      <c r="K54" s="1">
        <v>1.854197906</v>
      </c>
      <c r="L54" s="1">
        <v>4.4639407090000001</v>
      </c>
      <c r="M54" s="1">
        <v>96.542602579999993</v>
      </c>
      <c r="N54" s="1">
        <v>1.867186166</v>
      </c>
      <c r="O54" s="1">
        <v>1.443438497</v>
      </c>
      <c r="P54" s="1">
        <v>0.1467727616</v>
      </c>
      <c r="Q54" s="2">
        <f t="shared" si="0"/>
        <v>5</v>
      </c>
      <c r="R54" s="1">
        <f t="shared" si="1"/>
        <v>0.75345470800000103</v>
      </c>
      <c r="S54" s="1">
        <f t="shared" si="2"/>
        <v>1.4302380059999991</v>
      </c>
      <c r="T54" s="1">
        <f t="shared" si="3"/>
        <v>0.21647560000000113</v>
      </c>
      <c r="U54" s="1">
        <f t="shared" si="4"/>
        <v>88</v>
      </c>
    </row>
    <row r="55" spans="1:21">
      <c r="A55" s="1" t="s">
        <v>62</v>
      </c>
      <c r="B55" s="1">
        <v>2020</v>
      </c>
      <c r="C55" s="1">
        <v>2351.625</v>
      </c>
      <c r="D55" s="1">
        <v>70.876998900000004</v>
      </c>
      <c r="E55" s="1">
        <v>92.213563070000006</v>
      </c>
      <c r="F55" s="1">
        <v>4.7230389700000002</v>
      </c>
      <c r="G55" s="1">
        <v>1.7325264760000001</v>
      </c>
      <c r="H55" s="1">
        <v>1.330871481</v>
      </c>
      <c r="I55" s="1">
        <v>79.04372386</v>
      </c>
      <c r="J55" s="1">
        <v>15.154947180000001</v>
      </c>
      <c r="K55" s="1">
        <v>1.5961191560000001</v>
      </c>
      <c r="L55" s="1">
        <v>4.2052098100000004</v>
      </c>
      <c r="M55" s="1">
        <v>97.624980579999999</v>
      </c>
      <c r="N55" s="1">
        <v>0.43662003220000001</v>
      </c>
      <c r="O55" s="1">
        <v>1.788579159</v>
      </c>
      <c r="P55" s="1">
        <v>0.14982022810000001</v>
      </c>
      <c r="Q55" s="2" t="str">
        <f t="shared" si="0"/>
        <v/>
      </c>
      <c r="R55" s="1" t="str">
        <f t="shared" si="1"/>
        <v/>
      </c>
      <c r="S55" s="1" t="str">
        <f t="shared" si="2"/>
        <v/>
      </c>
      <c r="T55" s="1" t="str">
        <f t="shared" si="3"/>
        <v/>
      </c>
      <c r="U55" s="1">
        <f t="shared" si="4"/>
        <v>92</v>
      </c>
    </row>
    <row r="56" spans="1:21">
      <c r="A56" s="1" t="s">
        <v>63</v>
      </c>
      <c r="B56" s="1">
        <v>2015</v>
      </c>
      <c r="C56" s="1">
        <v>204471.76560000001</v>
      </c>
      <c r="D56" s="1">
        <v>85.770004270000001</v>
      </c>
      <c r="E56" s="1">
        <v>97.80356759</v>
      </c>
      <c r="F56" s="1">
        <v>0.57950002290000002</v>
      </c>
      <c r="G56" s="1">
        <v>0.47496570910000002</v>
      </c>
      <c r="H56" s="1">
        <v>1.141966676</v>
      </c>
      <c r="I56" s="1">
        <v>88.756028180000001</v>
      </c>
      <c r="J56" s="1">
        <v>2.8537735780000002</v>
      </c>
      <c r="K56" s="1">
        <v>0.36513423810000001</v>
      </c>
      <c r="L56" s="1">
        <v>8.0250640079999993</v>
      </c>
      <c r="M56" s="1">
        <v>99.304631020000002</v>
      </c>
      <c r="N56" s="1">
        <v>0.20217793440000001</v>
      </c>
      <c r="O56" s="1">
        <v>0.49319104540000003</v>
      </c>
      <c r="P56" s="1">
        <v>0</v>
      </c>
      <c r="Q56" s="2">
        <f t="shared" si="0"/>
        <v>5</v>
      </c>
      <c r="R56" s="1">
        <f t="shared" si="1"/>
        <v>0.30345708000000116</v>
      </c>
      <c r="S56" s="1">
        <f t="shared" si="2"/>
        <v>1.4378462700000001</v>
      </c>
      <c r="T56" s="1">
        <f t="shared" si="3"/>
        <v>0.10347405800000047</v>
      </c>
      <c r="U56" s="1">
        <f t="shared" si="4"/>
        <v>98</v>
      </c>
    </row>
    <row r="57" spans="1:21">
      <c r="A57" s="1" t="s">
        <v>63</v>
      </c>
      <c r="B57" s="1">
        <v>2020</v>
      </c>
      <c r="C57" s="1">
        <v>212559.4063</v>
      </c>
      <c r="D57" s="1">
        <v>87.072998049999995</v>
      </c>
      <c r="E57" s="1">
        <v>99.320852990000006</v>
      </c>
      <c r="F57" s="1">
        <v>0.12654900390000001</v>
      </c>
      <c r="G57" s="1">
        <v>0.55259800989999996</v>
      </c>
      <c r="H57" s="1" t="s">
        <v>272</v>
      </c>
      <c r="I57" s="1">
        <v>95.945259530000001</v>
      </c>
      <c r="J57" s="1">
        <v>0.97895091540000001</v>
      </c>
      <c r="K57" s="1">
        <v>3.0757895510000002</v>
      </c>
      <c r="L57" s="1" t="s">
        <v>272</v>
      </c>
      <c r="M57" s="1">
        <v>99.822001310000005</v>
      </c>
      <c r="N57" s="1">
        <v>0</v>
      </c>
      <c r="O57" s="1">
        <v>0.1779986949</v>
      </c>
      <c r="P57" s="1">
        <v>0</v>
      </c>
      <c r="Q57" s="2" t="str">
        <f t="shared" si="0"/>
        <v/>
      </c>
      <c r="R57" s="1" t="str">
        <f t="shared" si="1"/>
        <v/>
      </c>
      <c r="S57" s="1" t="str">
        <f t="shared" si="2"/>
        <v/>
      </c>
      <c r="T57" s="1" t="str">
        <f t="shared" si="3"/>
        <v/>
      </c>
      <c r="U57" s="1">
        <f t="shared" si="4"/>
        <v>99</v>
      </c>
    </row>
    <row r="58" spans="1:21">
      <c r="A58" s="1" t="s">
        <v>64</v>
      </c>
      <c r="B58" s="1">
        <v>2015</v>
      </c>
      <c r="C58" s="1">
        <v>29.148000719999999</v>
      </c>
      <c r="D58" s="1">
        <v>46.583000179999999</v>
      </c>
      <c r="E58" s="1">
        <v>99.864383559999993</v>
      </c>
      <c r="F58" s="1">
        <v>0</v>
      </c>
      <c r="G58" s="1">
        <v>0.13561643840000001</v>
      </c>
      <c r="H58" s="1">
        <v>0</v>
      </c>
      <c r="I58" s="1" t="s">
        <v>272</v>
      </c>
      <c r="J58" s="1" t="s">
        <v>272</v>
      </c>
      <c r="K58" s="1" t="s">
        <v>272</v>
      </c>
      <c r="L58" s="1" t="s">
        <v>272</v>
      </c>
      <c r="M58" s="1" t="s">
        <v>272</v>
      </c>
      <c r="N58" s="1" t="s">
        <v>272</v>
      </c>
      <c r="O58" s="1" t="s">
        <v>272</v>
      </c>
      <c r="P58" s="1" t="s">
        <v>272</v>
      </c>
      <c r="Q58" s="2">
        <f t="shared" si="0"/>
        <v>5</v>
      </c>
      <c r="R58" s="1">
        <f t="shared" si="1"/>
        <v>0</v>
      </c>
      <c r="S58" s="1" t="str">
        <f t="shared" si="2"/>
        <v>null</v>
      </c>
      <c r="T58" s="1" t="str">
        <f t="shared" si="3"/>
        <v>null</v>
      </c>
      <c r="U58" s="1">
        <f t="shared" si="4"/>
        <v>100</v>
      </c>
    </row>
    <row r="59" spans="1:21">
      <c r="A59" s="1" t="s">
        <v>64</v>
      </c>
      <c r="B59" s="1">
        <v>2020</v>
      </c>
      <c r="C59" s="1">
        <v>30.23699951</v>
      </c>
      <c r="D59" s="1">
        <v>48.51499939</v>
      </c>
      <c r="E59" s="1">
        <v>99.864383559999993</v>
      </c>
      <c r="F59" s="1">
        <v>0</v>
      </c>
      <c r="G59" s="1">
        <v>0.13561643840000001</v>
      </c>
      <c r="H59" s="1">
        <v>0</v>
      </c>
      <c r="I59" s="1" t="s">
        <v>272</v>
      </c>
      <c r="J59" s="1" t="s">
        <v>272</v>
      </c>
      <c r="K59" s="1" t="s">
        <v>272</v>
      </c>
      <c r="L59" s="1" t="s">
        <v>272</v>
      </c>
      <c r="M59" s="1" t="s">
        <v>272</v>
      </c>
      <c r="N59" s="1" t="s">
        <v>272</v>
      </c>
      <c r="O59" s="1" t="s">
        <v>272</v>
      </c>
      <c r="P59" s="1" t="s">
        <v>272</v>
      </c>
      <c r="Q59" s="2" t="str">
        <f t="shared" si="0"/>
        <v/>
      </c>
      <c r="R59" s="1" t="str">
        <f t="shared" si="1"/>
        <v/>
      </c>
      <c r="S59" s="1" t="str">
        <f t="shared" si="2"/>
        <v/>
      </c>
      <c r="T59" s="1" t="str">
        <f t="shared" si="3"/>
        <v/>
      </c>
      <c r="U59" s="1">
        <f t="shared" si="4"/>
        <v>100</v>
      </c>
    </row>
    <row r="60" spans="1:21">
      <c r="A60" s="1" t="s">
        <v>65</v>
      </c>
      <c r="B60" s="1">
        <v>2015</v>
      </c>
      <c r="C60" s="1">
        <v>414.91400149999998</v>
      </c>
      <c r="D60" s="1">
        <v>76.662994380000001</v>
      </c>
      <c r="E60" s="1">
        <v>99.509976159999994</v>
      </c>
      <c r="F60" s="1">
        <v>0</v>
      </c>
      <c r="G60" s="1">
        <v>0.39667583379999999</v>
      </c>
      <c r="H60" s="1">
        <v>9.3348002949999995E-2</v>
      </c>
      <c r="I60" s="1">
        <v>99.05</v>
      </c>
      <c r="J60" s="1">
        <v>0</v>
      </c>
      <c r="K60" s="1">
        <v>0.55000000000000004</v>
      </c>
      <c r="L60" s="1">
        <v>0.4</v>
      </c>
      <c r="M60" s="1">
        <v>99.65</v>
      </c>
      <c r="N60" s="1">
        <v>0</v>
      </c>
      <c r="O60" s="1">
        <v>0.35</v>
      </c>
      <c r="P60" s="1">
        <v>0</v>
      </c>
      <c r="Q60" s="2">
        <f t="shared" si="0"/>
        <v>5</v>
      </c>
      <c r="R60" s="1">
        <f t="shared" si="1"/>
        <v>7.8012128000000305E-2</v>
      </c>
      <c r="S60" s="1" t="str">
        <f t="shared" si="2"/>
        <v>null</v>
      </c>
      <c r="T60" s="1">
        <f t="shared" si="3"/>
        <v>0</v>
      </c>
      <c r="U60" s="1">
        <f t="shared" si="4"/>
        <v>100</v>
      </c>
    </row>
    <row r="61" spans="1:21">
      <c r="A61" s="1" t="s">
        <v>65</v>
      </c>
      <c r="B61" s="1">
        <v>2020</v>
      </c>
      <c r="C61" s="1">
        <v>437.48300169999999</v>
      </c>
      <c r="D61" s="1">
        <v>78.250007629999999</v>
      </c>
      <c r="E61" s="1">
        <v>99.900036799999995</v>
      </c>
      <c r="F61" s="1">
        <v>0</v>
      </c>
      <c r="G61" s="1">
        <v>9.9963200360000004E-2</v>
      </c>
      <c r="H61" s="1">
        <v>0</v>
      </c>
      <c r="I61" s="1" t="s">
        <v>272</v>
      </c>
      <c r="J61" s="1" t="s">
        <v>272</v>
      </c>
      <c r="K61" s="1" t="s">
        <v>272</v>
      </c>
      <c r="L61" s="1" t="s">
        <v>272</v>
      </c>
      <c r="M61" s="1">
        <v>99.65</v>
      </c>
      <c r="N61" s="1">
        <v>0</v>
      </c>
      <c r="O61" s="1">
        <v>0.35</v>
      </c>
      <c r="P61" s="1">
        <v>0</v>
      </c>
      <c r="Q61" s="2" t="str">
        <f t="shared" si="0"/>
        <v/>
      </c>
      <c r="R61" s="1" t="str">
        <f t="shared" si="1"/>
        <v/>
      </c>
      <c r="S61" s="1" t="str">
        <f t="shared" si="2"/>
        <v/>
      </c>
      <c r="T61" s="1" t="str">
        <f t="shared" si="3"/>
        <v/>
      </c>
      <c r="U61" s="1">
        <f t="shared" si="4"/>
        <v>100</v>
      </c>
    </row>
    <row r="62" spans="1:21">
      <c r="A62" s="1" t="s">
        <v>66</v>
      </c>
      <c r="B62" s="1">
        <v>2015</v>
      </c>
      <c r="C62" s="1">
        <v>7199.7387699999999</v>
      </c>
      <c r="D62" s="1">
        <v>73.989997860000003</v>
      </c>
      <c r="E62" s="1">
        <v>99.196327310000001</v>
      </c>
      <c r="F62" s="1">
        <v>0</v>
      </c>
      <c r="G62" s="1">
        <v>0.80367269050000001</v>
      </c>
      <c r="H62" s="1">
        <v>0</v>
      </c>
      <c r="I62" s="1">
        <v>98.016140340000007</v>
      </c>
      <c r="J62" s="1">
        <v>0</v>
      </c>
      <c r="K62" s="1">
        <v>1.98385966</v>
      </c>
      <c r="L62" s="1">
        <v>0</v>
      </c>
      <c r="M62" s="1">
        <v>99.611207719999996</v>
      </c>
      <c r="N62" s="1">
        <v>0</v>
      </c>
      <c r="O62" s="1">
        <v>0.3887922761</v>
      </c>
      <c r="P62" s="1">
        <v>0</v>
      </c>
      <c r="Q62" s="2">
        <f t="shared" si="0"/>
        <v>5</v>
      </c>
      <c r="R62" s="1">
        <f t="shared" si="1"/>
        <v>-3.6982073999999442E-2</v>
      </c>
      <c r="S62" s="1">
        <f t="shared" si="2"/>
        <v>-0.12297047400000168</v>
      </c>
      <c r="T62" s="1">
        <f t="shared" si="3"/>
        <v>-1.6507464000000027E-2</v>
      </c>
      <c r="U62" s="1">
        <f t="shared" si="4"/>
        <v>99</v>
      </c>
    </row>
    <row r="63" spans="1:21">
      <c r="A63" s="1" t="s">
        <v>66</v>
      </c>
      <c r="B63" s="1">
        <v>2020</v>
      </c>
      <c r="C63" s="1">
        <v>6948.4448240000002</v>
      </c>
      <c r="D63" s="1">
        <v>75.685997009999994</v>
      </c>
      <c r="E63" s="1">
        <v>99.011416940000004</v>
      </c>
      <c r="F63" s="1">
        <v>0</v>
      </c>
      <c r="G63" s="1">
        <v>0.98858306070000002</v>
      </c>
      <c r="H63" s="1">
        <v>0</v>
      </c>
      <c r="I63" s="1">
        <v>97.401287969999998</v>
      </c>
      <c r="J63" s="1">
        <v>0</v>
      </c>
      <c r="K63" s="1">
        <v>2.5987120309999998</v>
      </c>
      <c r="L63" s="1">
        <v>0</v>
      </c>
      <c r="M63" s="1">
        <v>99.528670399999996</v>
      </c>
      <c r="N63" s="1">
        <v>0</v>
      </c>
      <c r="O63" s="1">
        <v>0.47132960070000002</v>
      </c>
      <c r="P63" s="1">
        <v>0</v>
      </c>
      <c r="Q63" s="2" t="str">
        <f t="shared" si="0"/>
        <v/>
      </c>
      <c r="R63" s="1" t="str">
        <f t="shared" si="1"/>
        <v/>
      </c>
      <c r="S63" s="1" t="str">
        <f t="shared" si="2"/>
        <v/>
      </c>
      <c r="T63" s="1" t="str">
        <f t="shared" si="3"/>
        <v/>
      </c>
      <c r="U63" s="1">
        <f t="shared" si="4"/>
        <v>99</v>
      </c>
    </row>
    <row r="64" spans="1:21">
      <c r="A64" s="1" t="s">
        <v>67</v>
      </c>
      <c r="B64" s="1">
        <v>2015</v>
      </c>
      <c r="C64" s="1">
        <v>18110.615229999999</v>
      </c>
      <c r="D64" s="1">
        <v>27.530000690000001</v>
      </c>
      <c r="E64" s="1">
        <v>50.137131089999997</v>
      </c>
      <c r="F64" s="1">
        <v>25.67354095</v>
      </c>
      <c r="G64" s="1">
        <v>22.430178909999999</v>
      </c>
      <c r="H64" s="1">
        <v>1.7591490430000001</v>
      </c>
      <c r="I64" s="1">
        <v>38.855163699999999</v>
      </c>
      <c r="J64" s="1">
        <v>30.202184890000002</v>
      </c>
      <c r="K64" s="1">
        <v>28.648694299999999</v>
      </c>
      <c r="L64" s="1">
        <v>2.2939571060000001</v>
      </c>
      <c r="M64" s="1">
        <v>79.835792159999997</v>
      </c>
      <c r="N64" s="1">
        <v>13.75233459</v>
      </c>
      <c r="O64" s="1">
        <v>6.0605534319999999</v>
      </c>
      <c r="P64" s="1">
        <v>0.35131981779999999</v>
      </c>
      <c r="Q64" s="2">
        <f t="shared" si="0"/>
        <v>5</v>
      </c>
      <c r="R64" s="1">
        <f t="shared" si="1"/>
        <v>-0.58445532599999983</v>
      </c>
      <c r="S64" s="1">
        <f t="shared" si="2"/>
        <v>-1.2273809599999992</v>
      </c>
      <c r="T64" s="1">
        <f t="shared" si="3"/>
        <v>4.9225276000001372E-2</v>
      </c>
      <c r="U64" s="1">
        <f t="shared" si="4"/>
        <v>50</v>
      </c>
    </row>
    <row r="65" spans="1:21">
      <c r="A65" s="1" t="s">
        <v>67</v>
      </c>
      <c r="B65" s="1">
        <v>2020</v>
      </c>
      <c r="C65" s="1">
        <v>20903.277340000001</v>
      </c>
      <c r="D65" s="1">
        <v>30.60700035</v>
      </c>
      <c r="E65" s="1">
        <v>47.214854459999998</v>
      </c>
      <c r="F65" s="1">
        <v>31.2730034</v>
      </c>
      <c r="G65" s="1">
        <v>21.15863263</v>
      </c>
      <c r="H65" s="1">
        <v>0.35350950240000001</v>
      </c>
      <c r="I65" s="1">
        <v>32.718258900000002</v>
      </c>
      <c r="J65" s="1">
        <v>38.626902540000003</v>
      </c>
      <c r="K65" s="1">
        <v>28.3404457</v>
      </c>
      <c r="L65" s="1">
        <v>0.31439286259999999</v>
      </c>
      <c r="M65" s="1">
        <v>80.081918540000004</v>
      </c>
      <c r="N65" s="1">
        <v>14.60004919</v>
      </c>
      <c r="O65" s="1">
        <v>4.8758364869999999</v>
      </c>
      <c r="P65" s="1">
        <v>0.44219578050000002</v>
      </c>
      <c r="Q65" s="2" t="str">
        <f t="shared" si="0"/>
        <v/>
      </c>
      <c r="R65" s="1" t="str">
        <f t="shared" si="1"/>
        <v/>
      </c>
      <c r="S65" s="1" t="str">
        <f t="shared" si="2"/>
        <v/>
      </c>
      <c r="T65" s="1" t="str">
        <f t="shared" si="3"/>
        <v/>
      </c>
      <c r="U65" s="1">
        <f t="shared" si="4"/>
        <v>47</v>
      </c>
    </row>
    <row r="66" spans="1:21">
      <c r="A66" s="1" t="s">
        <v>68</v>
      </c>
      <c r="B66" s="1">
        <v>2015</v>
      </c>
      <c r="C66" s="1">
        <v>10160.034180000001</v>
      </c>
      <c r="D66" s="1">
        <v>12.07800007</v>
      </c>
      <c r="E66" s="1">
        <v>59.581469249999998</v>
      </c>
      <c r="F66" s="1">
        <v>19.538891840000002</v>
      </c>
      <c r="G66" s="1">
        <v>14.864992579999999</v>
      </c>
      <c r="H66" s="1">
        <v>6.0146463399999996</v>
      </c>
      <c r="I66" s="1">
        <v>55.55826691</v>
      </c>
      <c r="J66" s="1">
        <v>21.166795570000001</v>
      </c>
      <c r="K66" s="1">
        <v>16.594144570000001</v>
      </c>
      <c r="L66" s="1">
        <v>6.6807929509999999</v>
      </c>
      <c r="M66" s="1">
        <v>88.868437589999999</v>
      </c>
      <c r="N66" s="1">
        <v>7.6885395340000002</v>
      </c>
      <c r="O66" s="1">
        <v>2.2776018659999999</v>
      </c>
      <c r="P66" s="1">
        <v>1.1654210119999999</v>
      </c>
      <c r="Q66" s="2">
        <f t="shared" si="0"/>
        <v>5</v>
      </c>
      <c r="R66" s="1">
        <f t="shared" si="1"/>
        <v>0.5251306</v>
      </c>
      <c r="S66" s="1">
        <f t="shared" si="2"/>
        <v>0.42549967199999938</v>
      </c>
      <c r="T66" s="1">
        <f t="shared" si="3"/>
        <v>0.36013465400000089</v>
      </c>
      <c r="U66" s="1">
        <f t="shared" si="4"/>
        <v>60</v>
      </c>
    </row>
    <row r="67" spans="1:21">
      <c r="A67" s="1" t="s">
        <v>68</v>
      </c>
      <c r="B67" s="1">
        <v>2020</v>
      </c>
      <c r="C67" s="1">
        <v>11890.78125</v>
      </c>
      <c r="D67" s="1">
        <v>13.708000180000001</v>
      </c>
      <c r="E67" s="1">
        <v>62.207122249999998</v>
      </c>
      <c r="F67" s="1">
        <v>19.439693139999999</v>
      </c>
      <c r="G67" s="1">
        <v>14.758259689999999</v>
      </c>
      <c r="H67" s="1">
        <v>3.5949249129999998</v>
      </c>
      <c r="I67" s="1">
        <v>57.685765269999997</v>
      </c>
      <c r="J67" s="1">
        <v>21.251482129999999</v>
      </c>
      <c r="K67" s="1">
        <v>16.896752379999999</v>
      </c>
      <c r="L67" s="1">
        <v>4.1660002189999998</v>
      </c>
      <c r="M67" s="1">
        <v>90.669110860000004</v>
      </c>
      <c r="N67" s="1">
        <v>8.0344628690000004</v>
      </c>
      <c r="O67" s="1">
        <v>1.2964262689999999</v>
      </c>
      <c r="P67" s="1">
        <v>0</v>
      </c>
      <c r="Q67" s="2" t="str">
        <f t="shared" si="0"/>
        <v/>
      </c>
      <c r="R67" s="1" t="str">
        <f t="shared" si="1"/>
        <v/>
      </c>
      <c r="S67" s="1" t="str">
        <f t="shared" si="2"/>
        <v/>
      </c>
      <c r="T67" s="1" t="str">
        <f t="shared" si="3"/>
        <v/>
      </c>
      <c r="U67" s="1">
        <f t="shared" si="4"/>
        <v>62</v>
      </c>
    </row>
    <row r="68" spans="1:21">
      <c r="A68" s="1" t="s">
        <v>69</v>
      </c>
      <c r="B68" s="1">
        <v>2015</v>
      </c>
      <c r="C68" s="1">
        <v>524.73999019999997</v>
      </c>
      <c r="D68" s="1">
        <v>64.299995420000002</v>
      </c>
      <c r="E68" s="1">
        <v>85.443342369999996</v>
      </c>
      <c r="F68" s="1">
        <v>10.253077619999999</v>
      </c>
      <c r="G68" s="1">
        <v>4.1519483189999997</v>
      </c>
      <c r="H68" s="1">
        <v>0.15163169109999999</v>
      </c>
      <c r="I68" s="1">
        <v>72.832314109999999</v>
      </c>
      <c r="J68" s="1">
        <v>16.379794579999999</v>
      </c>
      <c r="K68" s="1">
        <v>10.436760769999999</v>
      </c>
      <c r="L68" s="1">
        <v>0.35113053970000002</v>
      </c>
      <c r="M68" s="1">
        <v>92.445114509999996</v>
      </c>
      <c r="N68" s="1">
        <v>6.8514639109999997</v>
      </c>
      <c r="O68" s="1">
        <v>0.66255362809999996</v>
      </c>
      <c r="P68" s="1">
        <v>4.0867953800000002E-2</v>
      </c>
      <c r="Q68" s="2">
        <f t="shared" si="0"/>
        <v>5</v>
      </c>
      <c r="R68" s="1">
        <f t="shared" si="1"/>
        <v>0.66525281000000125</v>
      </c>
      <c r="S68" s="1">
        <f t="shared" si="2"/>
        <v>1.4564422659999992</v>
      </c>
      <c r="T68" s="1">
        <f t="shared" si="3"/>
        <v>0.13097709799999963</v>
      </c>
      <c r="U68" s="1">
        <f t="shared" si="4"/>
        <v>85</v>
      </c>
    </row>
    <row r="69" spans="1:21">
      <c r="A69" s="1" t="s">
        <v>69</v>
      </c>
      <c r="B69" s="1">
        <v>2020</v>
      </c>
      <c r="C69" s="1">
        <v>555.98797609999997</v>
      </c>
      <c r="D69" s="1">
        <v>66.652000430000001</v>
      </c>
      <c r="E69" s="1">
        <v>88.769606420000002</v>
      </c>
      <c r="F69" s="1">
        <v>7.9041508460000003</v>
      </c>
      <c r="G69" s="1">
        <v>3.2091477159999999</v>
      </c>
      <c r="H69" s="1">
        <v>0.1170950144</v>
      </c>
      <c r="I69" s="1">
        <v>80.114525439999994</v>
      </c>
      <c r="J69" s="1">
        <v>9.9111270220000005</v>
      </c>
      <c r="K69" s="1">
        <v>9.6232170030000006</v>
      </c>
      <c r="L69" s="1">
        <v>0.35113053970000002</v>
      </c>
      <c r="M69" s="1">
        <v>93.1</v>
      </c>
      <c r="N69" s="1">
        <v>6.9</v>
      </c>
      <c r="O69" s="1">
        <v>0</v>
      </c>
      <c r="P69" s="1">
        <v>0</v>
      </c>
      <c r="Q69" s="2" t="str">
        <f t="shared" si="0"/>
        <v/>
      </c>
      <c r="R69" s="1" t="str">
        <f t="shared" si="1"/>
        <v/>
      </c>
      <c r="S69" s="1" t="str">
        <f t="shared" si="2"/>
        <v/>
      </c>
      <c r="T69" s="1" t="str">
        <f t="shared" si="3"/>
        <v/>
      </c>
      <c r="U69" s="1">
        <f t="shared" si="4"/>
        <v>89</v>
      </c>
    </row>
    <row r="70" spans="1:21">
      <c r="A70" s="1" t="s">
        <v>70</v>
      </c>
      <c r="B70" s="1">
        <v>2015</v>
      </c>
      <c r="C70" s="1">
        <v>15521.434569999999</v>
      </c>
      <c r="D70" s="1">
        <v>22.187999730000001</v>
      </c>
      <c r="E70" s="1">
        <v>68.443848959999997</v>
      </c>
      <c r="F70" s="1">
        <v>8.6032481930000007</v>
      </c>
      <c r="G70" s="1">
        <v>9.6029948170000008</v>
      </c>
      <c r="H70" s="1">
        <v>13.34990803</v>
      </c>
      <c r="I70" s="1">
        <v>62.711116680000003</v>
      </c>
      <c r="J70" s="1">
        <v>9.432045638</v>
      </c>
      <c r="K70" s="1">
        <v>11.750895959999999</v>
      </c>
      <c r="L70" s="1">
        <v>16.105941720000001</v>
      </c>
      <c r="M70" s="1">
        <v>88.548191439999997</v>
      </c>
      <c r="N70" s="1">
        <v>5.6967034720000003</v>
      </c>
      <c r="O70" s="1">
        <v>2.0704456869999999</v>
      </c>
      <c r="P70" s="1">
        <v>3.6846594000000001</v>
      </c>
      <c r="Q70" s="2">
        <f t="shared" si="0"/>
        <v>5</v>
      </c>
      <c r="R70" s="1">
        <f t="shared" si="1"/>
        <v>0.55520720199999973</v>
      </c>
      <c r="S70" s="1">
        <f t="shared" si="2"/>
        <v>0.47120783000000016</v>
      </c>
      <c r="T70" s="1">
        <f t="shared" si="3"/>
        <v>0.38197714599999982</v>
      </c>
      <c r="U70" s="1">
        <f t="shared" si="4"/>
        <v>68</v>
      </c>
    </row>
    <row r="71" spans="1:21">
      <c r="A71" s="1" t="s">
        <v>70</v>
      </c>
      <c r="B71" s="1">
        <v>2020</v>
      </c>
      <c r="C71" s="1">
        <v>16718.970700000002</v>
      </c>
      <c r="D71" s="1">
        <v>24.23200035</v>
      </c>
      <c r="E71" s="1">
        <v>71.219884969999995</v>
      </c>
      <c r="F71" s="1">
        <v>13.90222204</v>
      </c>
      <c r="G71" s="1">
        <v>5.6772185579999999</v>
      </c>
      <c r="H71" s="1">
        <v>9.2006744339999997</v>
      </c>
      <c r="I71" s="1">
        <v>65.067155830000004</v>
      </c>
      <c r="J71" s="1">
        <v>15.51772278</v>
      </c>
      <c r="K71" s="1">
        <v>7.4928993070000001</v>
      </c>
      <c r="L71" s="1">
        <v>11.92222209</v>
      </c>
      <c r="M71" s="1">
        <v>90.458077169999996</v>
      </c>
      <c r="N71" s="1">
        <v>8.8509147200000005</v>
      </c>
      <c r="O71" s="1">
        <v>0</v>
      </c>
      <c r="P71" s="1">
        <v>0.69100811439999998</v>
      </c>
      <c r="Q71" s="2" t="str">
        <f t="shared" si="0"/>
        <v/>
      </c>
      <c r="R71" s="1" t="str">
        <f t="shared" si="1"/>
        <v/>
      </c>
      <c r="S71" s="1" t="str">
        <f t="shared" si="2"/>
        <v/>
      </c>
      <c r="T71" s="1" t="str">
        <f t="shared" si="3"/>
        <v/>
      </c>
      <c r="U71" s="1">
        <f t="shared" si="4"/>
        <v>71</v>
      </c>
    </row>
    <row r="72" spans="1:21">
      <c r="A72" s="1" t="s">
        <v>71</v>
      </c>
      <c r="B72" s="1">
        <v>2015</v>
      </c>
      <c r="C72" s="1">
        <v>23298.376950000002</v>
      </c>
      <c r="D72" s="1">
        <v>54.57799911</v>
      </c>
      <c r="E72" s="1">
        <v>63.973990120000003</v>
      </c>
      <c r="F72" s="1">
        <v>11.23827056</v>
      </c>
      <c r="G72" s="1">
        <v>17.651358330000001</v>
      </c>
      <c r="H72" s="1">
        <v>7.1363809839999996</v>
      </c>
      <c r="I72" s="1">
        <v>42.005669210000001</v>
      </c>
      <c r="J72" s="1">
        <v>11.073386409999999</v>
      </c>
      <c r="K72" s="1">
        <v>32.39404459</v>
      </c>
      <c r="L72" s="1">
        <v>14.52689979</v>
      </c>
      <c r="M72" s="1">
        <v>82.256907909999995</v>
      </c>
      <c r="N72" s="1">
        <v>11.37549377</v>
      </c>
      <c r="O72" s="1">
        <v>5.3819035130000001</v>
      </c>
      <c r="P72" s="1">
        <v>0.98569480279999999</v>
      </c>
      <c r="Q72" s="2">
        <f t="shared" si="0"/>
        <v>5</v>
      </c>
      <c r="R72" s="1">
        <f t="shared" si="1"/>
        <v>0.34928561199999847</v>
      </c>
      <c r="S72" s="1">
        <f t="shared" si="2"/>
        <v>0.30438238200000001</v>
      </c>
      <c r="T72" s="1">
        <f t="shared" si="3"/>
        <v>-3.4664609999998673E-2</v>
      </c>
      <c r="U72" s="1">
        <f t="shared" si="4"/>
        <v>64</v>
      </c>
    </row>
    <row r="73" spans="1:21">
      <c r="A73" s="1" t="s">
        <v>71</v>
      </c>
      <c r="B73" s="1">
        <v>2020</v>
      </c>
      <c r="C73" s="1">
        <v>26545.863280000001</v>
      </c>
      <c r="D73" s="1">
        <v>57.560005189999998</v>
      </c>
      <c r="E73" s="1">
        <v>65.720418179999996</v>
      </c>
      <c r="F73" s="1">
        <v>12.874748629999999</v>
      </c>
      <c r="G73" s="1">
        <v>15.00100626</v>
      </c>
      <c r="H73" s="1">
        <v>6.4038269269999999</v>
      </c>
      <c r="I73" s="1">
        <v>43.527581120000001</v>
      </c>
      <c r="J73" s="1">
        <v>12.67259943</v>
      </c>
      <c r="K73" s="1">
        <v>30.12380645</v>
      </c>
      <c r="L73" s="1">
        <v>13.676012999999999</v>
      </c>
      <c r="M73" s="1">
        <v>82.083584860000002</v>
      </c>
      <c r="N73" s="1">
        <v>13.023796770000001</v>
      </c>
      <c r="O73" s="1">
        <v>3.8507013510000001</v>
      </c>
      <c r="P73" s="1">
        <v>1.041917019</v>
      </c>
      <c r="Q73" s="2" t="str">
        <f t="shared" si="0"/>
        <v/>
      </c>
      <c r="R73" s="1" t="str">
        <f t="shared" si="1"/>
        <v/>
      </c>
      <c r="S73" s="1" t="str">
        <f t="shared" si="2"/>
        <v/>
      </c>
      <c r="T73" s="1" t="str">
        <f t="shared" si="3"/>
        <v/>
      </c>
      <c r="U73" s="1">
        <f t="shared" si="4"/>
        <v>66</v>
      </c>
    </row>
    <row r="74" spans="1:21">
      <c r="A74" s="1" t="s">
        <v>72</v>
      </c>
      <c r="B74" s="1">
        <v>2015</v>
      </c>
      <c r="C74" s="1">
        <v>36026.667970000002</v>
      </c>
      <c r="D74" s="1">
        <v>81.259002690000003</v>
      </c>
      <c r="E74" s="1">
        <v>99.229221390000006</v>
      </c>
      <c r="F74" s="1">
        <v>0</v>
      </c>
      <c r="G74" s="1">
        <v>0.77077860909999996</v>
      </c>
      <c r="H74" s="1">
        <v>0</v>
      </c>
      <c r="I74" s="1">
        <v>98.81619508</v>
      </c>
      <c r="J74" s="1">
        <v>0</v>
      </c>
      <c r="K74" s="1">
        <v>1.183804922</v>
      </c>
      <c r="L74" s="1">
        <v>0</v>
      </c>
      <c r="M74" s="1">
        <v>99.324478850000006</v>
      </c>
      <c r="N74" s="1">
        <v>0</v>
      </c>
      <c r="O74" s="1">
        <v>0.67552114730000001</v>
      </c>
      <c r="P74" s="1">
        <v>0</v>
      </c>
      <c r="Q74" s="2">
        <f t="shared" si="0"/>
        <v>5</v>
      </c>
      <c r="R74" s="1">
        <f t="shared" si="1"/>
        <v>-1.4821460000007391E-3</v>
      </c>
      <c r="S74" s="1">
        <f t="shared" si="2"/>
        <v>4.8860164000001302E-2</v>
      </c>
      <c r="T74" s="1">
        <f t="shared" si="3"/>
        <v>-1.3240238000000204E-2</v>
      </c>
      <c r="U74" s="1">
        <f t="shared" si="4"/>
        <v>99</v>
      </c>
    </row>
    <row r="75" spans="1:21">
      <c r="A75" s="1" t="s">
        <v>72</v>
      </c>
      <c r="B75" s="1">
        <v>2020</v>
      </c>
      <c r="C75" s="1">
        <v>37742.15625</v>
      </c>
      <c r="D75" s="1">
        <v>81.562004090000002</v>
      </c>
      <c r="E75" s="1">
        <v>99.221810660000003</v>
      </c>
      <c r="F75" s="1">
        <v>0</v>
      </c>
      <c r="G75" s="1">
        <v>0.77818933690000003</v>
      </c>
      <c r="H75" s="1">
        <v>0</v>
      </c>
      <c r="I75" s="1">
        <v>99.060495900000006</v>
      </c>
      <c r="J75" s="1">
        <v>0</v>
      </c>
      <c r="K75" s="1">
        <v>0.9395041006</v>
      </c>
      <c r="L75" s="1">
        <v>0</v>
      </c>
      <c r="M75" s="1">
        <v>99.258277660000005</v>
      </c>
      <c r="N75" s="1">
        <v>0</v>
      </c>
      <c r="O75" s="1">
        <v>0.74172233710000002</v>
      </c>
      <c r="P75" s="1">
        <v>0</v>
      </c>
      <c r="Q75" s="2" t="str">
        <f t="shared" si="0"/>
        <v/>
      </c>
      <c r="R75" s="1" t="str">
        <f t="shared" si="1"/>
        <v/>
      </c>
      <c r="S75" s="1" t="str">
        <f t="shared" si="2"/>
        <v/>
      </c>
      <c r="T75" s="1" t="str">
        <f t="shared" si="3"/>
        <v/>
      </c>
      <c r="U75" s="1">
        <f t="shared" si="4"/>
        <v>99</v>
      </c>
    </row>
    <row r="76" spans="1:21">
      <c r="A76" s="1" t="s">
        <v>73</v>
      </c>
      <c r="B76" s="1">
        <v>2015</v>
      </c>
      <c r="C76" s="1">
        <v>61.721000670000002</v>
      </c>
      <c r="D76" s="1">
        <v>100</v>
      </c>
      <c r="E76" s="1">
        <v>96.125</v>
      </c>
      <c r="F76" s="1">
        <v>0</v>
      </c>
      <c r="G76" s="1">
        <v>3.875</v>
      </c>
      <c r="H76" s="1">
        <v>0</v>
      </c>
      <c r="I76" s="1" t="s">
        <v>272</v>
      </c>
      <c r="J76" s="1" t="s">
        <v>272</v>
      </c>
      <c r="K76" s="1" t="s">
        <v>272</v>
      </c>
      <c r="L76" s="1" t="s">
        <v>272</v>
      </c>
      <c r="M76" s="1">
        <v>96.125</v>
      </c>
      <c r="N76" s="1">
        <v>0</v>
      </c>
      <c r="O76" s="1">
        <v>3.875</v>
      </c>
      <c r="P76" s="1">
        <v>0</v>
      </c>
      <c r="Q76" s="2">
        <f t="shared" si="0"/>
        <v>1</v>
      </c>
      <c r="R76" s="1">
        <f t="shared" si="1"/>
        <v>0</v>
      </c>
      <c r="S76" s="1" t="str">
        <f t="shared" si="2"/>
        <v>null</v>
      </c>
      <c r="T76" s="1">
        <f t="shared" si="3"/>
        <v>0</v>
      </c>
      <c r="U76" s="1">
        <f t="shared" si="4"/>
        <v>96</v>
      </c>
    </row>
    <row r="77" spans="1:21">
      <c r="A77" s="1" t="s">
        <v>73</v>
      </c>
      <c r="B77" s="1">
        <v>2016</v>
      </c>
      <c r="C77" s="1">
        <v>62.563999180000003</v>
      </c>
      <c r="D77" s="1">
        <v>100</v>
      </c>
      <c r="E77" s="1">
        <v>96.125</v>
      </c>
      <c r="F77" s="1">
        <v>0</v>
      </c>
      <c r="G77" s="1">
        <v>3.875</v>
      </c>
      <c r="H77" s="1">
        <v>0</v>
      </c>
      <c r="I77" s="1" t="s">
        <v>272</v>
      </c>
      <c r="J77" s="1" t="s">
        <v>272</v>
      </c>
      <c r="K77" s="1" t="s">
        <v>272</v>
      </c>
      <c r="L77" s="1" t="s">
        <v>272</v>
      </c>
      <c r="M77" s="1">
        <v>96.125</v>
      </c>
      <c r="N77" s="1">
        <v>0</v>
      </c>
      <c r="O77" s="1">
        <v>3.875</v>
      </c>
      <c r="P77" s="1">
        <v>0</v>
      </c>
      <c r="Q77" s="2" t="str">
        <f t="shared" si="0"/>
        <v/>
      </c>
      <c r="R77" s="1" t="str">
        <f t="shared" si="1"/>
        <v/>
      </c>
      <c r="S77" s="1" t="str">
        <f t="shared" si="2"/>
        <v/>
      </c>
      <c r="T77" s="1" t="str">
        <f t="shared" si="3"/>
        <v/>
      </c>
      <c r="U77" s="1">
        <f t="shared" si="4"/>
        <v>96</v>
      </c>
    </row>
    <row r="78" spans="1:21">
      <c r="A78" s="1" t="s">
        <v>74</v>
      </c>
      <c r="B78" s="1">
        <v>2015</v>
      </c>
      <c r="C78" s="1">
        <v>4493.1708980000003</v>
      </c>
      <c r="D78" s="1">
        <v>40.277000430000001</v>
      </c>
      <c r="E78" s="1">
        <v>42.311345420000002</v>
      </c>
      <c r="F78" s="1">
        <v>21.343997179999999</v>
      </c>
      <c r="G78" s="1">
        <v>32.010174079999999</v>
      </c>
      <c r="H78" s="1">
        <v>4.3344833180000002</v>
      </c>
      <c r="I78" s="1">
        <v>31.891407789999999</v>
      </c>
      <c r="J78" s="1">
        <v>17.35785358</v>
      </c>
      <c r="K78" s="1">
        <v>43.702609250000002</v>
      </c>
      <c r="L78" s="1">
        <v>7.0481293919999999</v>
      </c>
      <c r="M78" s="1">
        <v>57.76209901</v>
      </c>
      <c r="N78" s="1">
        <v>27.25467806</v>
      </c>
      <c r="O78" s="1">
        <v>14.67255123</v>
      </c>
      <c r="P78" s="1">
        <v>0.31067170900000002</v>
      </c>
      <c r="Q78" s="2">
        <f t="shared" si="0"/>
        <v>5</v>
      </c>
      <c r="R78" s="1">
        <f t="shared" si="1"/>
        <v>-1.0217886739999997</v>
      </c>
      <c r="S78" s="1">
        <f t="shared" si="2"/>
        <v>-0.75696272799999986</v>
      </c>
      <c r="T78" s="1">
        <f t="shared" si="3"/>
        <v>-1.6200868119999996</v>
      </c>
      <c r="U78" s="1">
        <f t="shared" si="4"/>
        <v>42</v>
      </c>
    </row>
    <row r="79" spans="1:21">
      <c r="A79" s="1" t="s">
        <v>74</v>
      </c>
      <c r="B79" s="1">
        <v>2020</v>
      </c>
      <c r="C79" s="1">
        <v>4829.7641599999997</v>
      </c>
      <c r="D79" s="1">
        <v>42.197998050000002</v>
      </c>
      <c r="E79" s="1">
        <v>37.202402050000003</v>
      </c>
      <c r="F79" s="1">
        <v>25.682373479999999</v>
      </c>
      <c r="G79" s="1">
        <v>33.53911377</v>
      </c>
      <c r="H79" s="1">
        <v>3.5761107079999999</v>
      </c>
      <c r="I79" s="1">
        <v>28.106594149999999</v>
      </c>
      <c r="J79" s="1">
        <v>19.405889899999998</v>
      </c>
      <c r="K79" s="1">
        <v>46.373073009999999</v>
      </c>
      <c r="L79" s="1">
        <v>6.1144429440000003</v>
      </c>
      <c r="M79" s="1">
        <v>49.661664950000002</v>
      </c>
      <c r="N79" s="1">
        <v>34.279780090000003</v>
      </c>
      <c r="O79" s="1">
        <v>15.95940214</v>
      </c>
      <c r="P79" s="1">
        <v>9.915281712E-2</v>
      </c>
      <c r="Q79" s="2" t="str">
        <f t="shared" si="0"/>
        <v/>
      </c>
      <c r="R79" s="1" t="str">
        <f t="shared" si="1"/>
        <v/>
      </c>
      <c r="S79" s="1" t="str">
        <f t="shared" si="2"/>
        <v/>
      </c>
      <c r="T79" s="1" t="str">
        <f t="shared" si="3"/>
        <v/>
      </c>
      <c r="U79" s="1">
        <f t="shared" si="4"/>
        <v>37</v>
      </c>
    </row>
    <row r="80" spans="1:21">
      <c r="A80" s="1" t="s">
        <v>75</v>
      </c>
      <c r="B80" s="1">
        <v>2015</v>
      </c>
      <c r="C80" s="1">
        <v>14110.9707</v>
      </c>
      <c r="D80" s="1">
        <v>22.515001300000002</v>
      </c>
      <c r="E80" s="1">
        <v>44.399096970000002</v>
      </c>
      <c r="F80" s="1">
        <v>13.51638311</v>
      </c>
      <c r="G80" s="1">
        <v>34.702739940000001</v>
      </c>
      <c r="H80" s="1">
        <v>7.3817799820000003</v>
      </c>
      <c r="I80" s="1">
        <v>35.578900740000002</v>
      </c>
      <c r="J80" s="1">
        <v>13.876413980000001</v>
      </c>
      <c r="K80" s="1">
        <v>41.266156469999999</v>
      </c>
      <c r="L80" s="1">
        <v>9.2785288060000006</v>
      </c>
      <c r="M80" s="1">
        <v>74.753651779999998</v>
      </c>
      <c r="N80" s="1">
        <v>12.27734182</v>
      </c>
      <c r="O80" s="1">
        <v>12.11485643</v>
      </c>
      <c r="P80" s="1">
        <v>0.85414997150000005</v>
      </c>
      <c r="Q80" s="2">
        <f t="shared" si="0"/>
        <v>5</v>
      </c>
      <c r="R80" s="1">
        <f t="shared" si="1"/>
        <v>0.35768756399999974</v>
      </c>
      <c r="S80" s="1">
        <f t="shared" si="2"/>
        <v>0.39926290199999953</v>
      </c>
      <c r="T80" s="1">
        <f t="shared" si="3"/>
        <v>-0.11228573799999993</v>
      </c>
      <c r="U80" s="1">
        <f t="shared" si="4"/>
        <v>44</v>
      </c>
    </row>
    <row r="81" spans="1:21">
      <c r="A81" s="1" t="s">
        <v>75</v>
      </c>
      <c r="B81" s="1">
        <v>2020</v>
      </c>
      <c r="C81" s="1">
        <v>16425.859380000002</v>
      </c>
      <c r="D81" s="1">
        <v>23.520000459999999</v>
      </c>
      <c r="E81" s="1">
        <v>46.187534790000001</v>
      </c>
      <c r="F81" s="1">
        <v>14.74028929</v>
      </c>
      <c r="G81" s="1">
        <v>31.562457139999999</v>
      </c>
      <c r="H81" s="1">
        <v>7.5097187840000004</v>
      </c>
      <c r="I81" s="1">
        <v>37.575215249999999</v>
      </c>
      <c r="J81" s="1">
        <v>14.35396111</v>
      </c>
      <c r="K81" s="1">
        <v>38.524967609999997</v>
      </c>
      <c r="L81" s="1">
        <v>9.5458560269999992</v>
      </c>
      <c r="M81" s="1">
        <v>74.192223089999999</v>
      </c>
      <c r="N81" s="1">
        <v>15.99651381</v>
      </c>
      <c r="O81" s="1">
        <v>8.9224527210000009</v>
      </c>
      <c r="P81" s="1">
        <v>0.88881038430000003</v>
      </c>
      <c r="Q81" s="2" t="str">
        <f t="shared" si="0"/>
        <v/>
      </c>
      <c r="R81" s="1" t="str">
        <f t="shared" si="1"/>
        <v/>
      </c>
      <c r="S81" s="1" t="str">
        <f t="shared" si="2"/>
        <v/>
      </c>
      <c r="T81" s="1" t="str">
        <f t="shared" si="3"/>
        <v/>
      </c>
      <c r="U81" s="1">
        <f t="shared" si="4"/>
        <v>46</v>
      </c>
    </row>
    <row r="82" spans="1:21">
      <c r="A82" s="1" t="s">
        <v>76</v>
      </c>
      <c r="B82" s="1">
        <v>2015</v>
      </c>
      <c r="C82" s="1">
        <v>165.38699339999999</v>
      </c>
      <c r="D82" s="1">
        <v>30.96199799</v>
      </c>
      <c r="E82" s="1">
        <v>94.15</v>
      </c>
      <c r="F82" s="1">
        <v>0</v>
      </c>
      <c r="G82" s="1">
        <v>5.85</v>
      </c>
      <c r="H82" s="1">
        <v>0</v>
      </c>
      <c r="I82" s="1" t="s">
        <v>272</v>
      </c>
      <c r="J82" s="1" t="s">
        <v>272</v>
      </c>
      <c r="K82" s="1" t="s">
        <v>272</v>
      </c>
      <c r="L82" s="1" t="s">
        <v>272</v>
      </c>
      <c r="M82" s="1" t="s">
        <v>272</v>
      </c>
      <c r="N82" s="1" t="s">
        <v>272</v>
      </c>
      <c r="O82" s="1" t="s">
        <v>272</v>
      </c>
      <c r="P82" s="1" t="s">
        <v>272</v>
      </c>
      <c r="Q82" s="2">
        <f t="shared" si="0"/>
        <v>2</v>
      </c>
      <c r="R82" s="1">
        <f t="shared" si="1"/>
        <v>0</v>
      </c>
      <c r="S82" s="1" t="str">
        <f t="shared" si="2"/>
        <v>null</v>
      </c>
      <c r="T82" s="1" t="str">
        <f t="shared" si="3"/>
        <v>null</v>
      </c>
      <c r="U82" s="1">
        <f t="shared" si="4"/>
        <v>94</v>
      </c>
    </row>
    <row r="83" spans="1:21">
      <c r="A83" s="1" t="s">
        <v>76</v>
      </c>
      <c r="B83" s="1">
        <v>2017</v>
      </c>
      <c r="C83" s="1">
        <v>168.6660004</v>
      </c>
      <c r="D83" s="1">
        <v>30.913999560000001</v>
      </c>
      <c r="E83" s="1">
        <v>94.15</v>
      </c>
      <c r="F83" s="1">
        <v>0</v>
      </c>
      <c r="G83" s="1">
        <v>5.85</v>
      </c>
      <c r="H83" s="1">
        <v>0</v>
      </c>
      <c r="I83" s="1" t="s">
        <v>272</v>
      </c>
      <c r="J83" s="1" t="s">
        <v>272</v>
      </c>
      <c r="K83" s="1" t="s">
        <v>272</v>
      </c>
      <c r="L83" s="1" t="s">
        <v>272</v>
      </c>
      <c r="M83" s="1" t="s">
        <v>272</v>
      </c>
      <c r="N83" s="1" t="s">
        <v>272</v>
      </c>
      <c r="O83" s="1" t="s">
        <v>272</v>
      </c>
      <c r="P83" s="1" t="s">
        <v>272</v>
      </c>
      <c r="Q83" s="2" t="str">
        <f t="shared" si="0"/>
        <v/>
      </c>
      <c r="R83" s="1" t="str">
        <f t="shared" si="1"/>
        <v/>
      </c>
      <c r="S83" s="1" t="str">
        <f t="shared" si="2"/>
        <v/>
      </c>
      <c r="T83" s="1" t="str">
        <f t="shared" si="3"/>
        <v/>
      </c>
      <c r="U83" s="1">
        <f t="shared" si="4"/>
        <v>94</v>
      </c>
    </row>
    <row r="84" spans="1:21">
      <c r="A84" s="1" t="s">
        <v>77</v>
      </c>
      <c r="B84" s="1">
        <v>2015</v>
      </c>
      <c r="C84" s="1">
        <v>17969.355469999999</v>
      </c>
      <c r="D84" s="1">
        <v>87.36000061</v>
      </c>
      <c r="E84" s="1">
        <v>99.506492719999997</v>
      </c>
      <c r="F84" s="1">
        <v>0</v>
      </c>
      <c r="G84" s="1">
        <v>0.49350727579999998</v>
      </c>
      <c r="H84" s="1">
        <v>0</v>
      </c>
      <c r="I84" s="1">
        <v>97.067698500000006</v>
      </c>
      <c r="J84" s="1">
        <v>0</v>
      </c>
      <c r="K84" s="1">
        <v>2.9323014980000002</v>
      </c>
      <c r="L84" s="1">
        <v>0</v>
      </c>
      <c r="M84" s="1">
        <v>99.859356980000001</v>
      </c>
      <c r="N84" s="1">
        <v>0</v>
      </c>
      <c r="O84" s="1">
        <v>0.1406430186</v>
      </c>
      <c r="P84" s="1">
        <v>0</v>
      </c>
      <c r="Q84" s="2">
        <f t="shared" si="0"/>
        <v>5</v>
      </c>
      <c r="R84" s="1">
        <f t="shared" si="1"/>
        <v>9.8701199999999295E-2</v>
      </c>
      <c r="S84" s="1">
        <f t="shared" si="2"/>
        <v>0.58646029999999882</v>
      </c>
      <c r="T84" s="1">
        <f t="shared" si="3"/>
        <v>2.8128603999999769E-2</v>
      </c>
      <c r="U84" s="1">
        <f t="shared" si="4"/>
        <v>100</v>
      </c>
    </row>
    <row r="85" spans="1:21">
      <c r="A85" s="1" t="s">
        <v>77</v>
      </c>
      <c r="B85" s="1">
        <v>2020</v>
      </c>
      <c r="C85" s="1">
        <v>19116.208979999999</v>
      </c>
      <c r="D85" s="1">
        <v>87.72699738</v>
      </c>
      <c r="E85" s="1">
        <v>99.999998719999994</v>
      </c>
      <c r="F85" s="1">
        <v>0</v>
      </c>
      <c r="G85" s="1">
        <v>1.2771393330000001E-6</v>
      </c>
      <c r="H85" s="1">
        <v>0</v>
      </c>
      <c r="I85" s="1">
        <v>100</v>
      </c>
      <c r="J85" s="1">
        <v>0</v>
      </c>
      <c r="K85" s="1">
        <v>0</v>
      </c>
      <c r="L85" s="1">
        <v>0</v>
      </c>
      <c r="M85" s="1">
        <v>100</v>
      </c>
      <c r="N85" s="1">
        <v>0</v>
      </c>
      <c r="O85" s="1">
        <v>0</v>
      </c>
      <c r="P85" s="1">
        <v>0</v>
      </c>
      <c r="Q85" s="2" t="str">
        <f t="shared" si="0"/>
        <v/>
      </c>
      <c r="R85" s="1" t="str">
        <f t="shared" si="1"/>
        <v/>
      </c>
      <c r="S85" s="1" t="str">
        <f t="shared" si="2"/>
        <v/>
      </c>
      <c r="T85" s="1" t="str">
        <f t="shared" si="3"/>
        <v/>
      </c>
      <c r="U85" s="1">
        <f t="shared" si="4"/>
        <v>100</v>
      </c>
    </row>
    <row r="86" spans="1:21">
      <c r="A86" s="1" t="s">
        <v>78</v>
      </c>
      <c r="B86" s="1">
        <v>2015</v>
      </c>
      <c r="C86" s="1">
        <v>1430405.375</v>
      </c>
      <c r="D86" s="1">
        <v>55.852706910000002</v>
      </c>
      <c r="E86" s="1">
        <v>91.76264123</v>
      </c>
      <c r="F86" s="1">
        <v>0.81876266180000001</v>
      </c>
      <c r="G86" s="1">
        <v>6.7820774070000001</v>
      </c>
      <c r="H86" s="1">
        <v>0.63651870079999995</v>
      </c>
      <c r="I86" s="1">
        <v>84.479187920000001</v>
      </c>
      <c r="J86" s="1">
        <v>1.51186307</v>
      </c>
      <c r="K86" s="1">
        <v>12.952949009999999</v>
      </c>
      <c r="L86" s="1">
        <v>1.056</v>
      </c>
      <c r="M86" s="1">
        <v>97.519653969999993</v>
      </c>
      <c r="N86" s="1">
        <v>0.27091980389999998</v>
      </c>
      <c r="O86" s="1">
        <v>1.9044754100000001</v>
      </c>
      <c r="P86" s="1">
        <v>0.30495081969999999</v>
      </c>
      <c r="Q86" s="2">
        <f t="shared" si="0"/>
        <v>5</v>
      </c>
      <c r="R86" s="1">
        <f t="shared" si="1"/>
        <v>0.49969387200000026</v>
      </c>
      <c r="S86" s="1">
        <f t="shared" si="2"/>
        <v>1.0364091180000004</v>
      </c>
      <c r="T86" s="1">
        <f t="shared" si="3"/>
        <v>-8.0954259999998612E-2</v>
      </c>
      <c r="U86" s="1">
        <f t="shared" si="4"/>
        <v>92</v>
      </c>
    </row>
    <row r="87" spans="1:21">
      <c r="A87" s="1" t="s">
        <v>78</v>
      </c>
      <c r="B87" s="1">
        <v>2020</v>
      </c>
      <c r="C87" s="1">
        <v>1463140.5</v>
      </c>
      <c r="D87" s="1">
        <v>61.713088990000003</v>
      </c>
      <c r="E87" s="1">
        <v>94.261110590000001</v>
      </c>
      <c r="F87" s="1">
        <v>0.8147213297</v>
      </c>
      <c r="G87" s="1">
        <v>4.725451938</v>
      </c>
      <c r="H87" s="1">
        <v>0.19871614409999999</v>
      </c>
      <c r="I87" s="1">
        <v>89.661233510000002</v>
      </c>
      <c r="J87" s="1">
        <v>1.832679086</v>
      </c>
      <c r="K87" s="1">
        <v>8.5060874089999992</v>
      </c>
      <c r="L87" s="1">
        <v>0</v>
      </c>
      <c r="M87" s="1">
        <v>97.11488267</v>
      </c>
      <c r="N87" s="1">
        <v>0.1831784927</v>
      </c>
      <c r="O87" s="1">
        <v>2.3799388399999999</v>
      </c>
      <c r="P87" s="1">
        <v>0.32200000000000001</v>
      </c>
      <c r="Q87" s="2" t="str">
        <f t="shared" si="0"/>
        <v/>
      </c>
      <c r="R87" s="1" t="str">
        <f t="shared" si="1"/>
        <v/>
      </c>
      <c r="S87" s="1" t="str">
        <f t="shared" si="2"/>
        <v/>
      </c>
      <c r="T87" s="1" t="str">
        <f t="shared" si="3"/>
        <v/>
      </c>
      <c r="U87" s="1">
        <f t="shared" si="4"/>
        <v>94</v>
      </c>
    </row>
    <row r="88" spans="1:21">
      <c r="A88" s="1" t="s">
        <v>79</v>
      </c>
      <c r="B88" s="1">
        <v>2015</v>
      </c>
      <c r="C88" s="1">
        <v>7185.9921880000002</v>
      </c>
      <c r="D88" s="1">
        <v>100</v>
      </c>
      <c r="E88" s="1">
        <v>100</v>
      </c>
      <c r="F88" s="1">
        <v>0</v>
      </c>
      <c r="G88" s="1">
        <v>0</v>
      </c>
      <c r="H88" s="1">
        <v>0</v>
      </c>
      <c r="I88" s="1" t="s">
        <v>272</v>
      </c>
      <c r="J88" s="1" t="s">
        <v>272</v>
      </c>
      <c r="K88" s="1" t="s">
        <v>272</v>
      </c>
      <c r="L88" s="1" t="s">
        <v>272</v>
      </c>
      <c r="M88" s="1">
        <v>100</v>
      </c>
      <c r="N88" s="1">
        <v>0</v>
      </c>
      <c r="O88" s="1">
        <v>0</v>
      </c>
      <c r="P88" s="1">
        <v>0</v>
      </c>
      <c r="Q88" s="2">
        <f t="shared" si="0"/>
        <v>5</v>
      </c>
      <c r="R88" s="1">
        <f t="shared" si="1"/>
        <v>0</v>
      </c>
      <c r="S88" s="1" t="str">
        <f t="shared" si="2"/>
        <v>null</v>
      </c>
      <c r="T88" s="1">
        <f t="shared" si="3"/>
        <v>0</v>
      </c>
      <c r="U88" s="1">
        <f t="shared" si="4"/>
        <v>100</v>
      </c>
    </row>
    <row r="89" spans="1:21">
      <c r="A89" s="1" t="s">
        <v>79</v>
      </c>
      <c r="B89" s="1">
        <v>2020</v>
      </c>
      <c r="C89" s="1">
        <v>7496.9877930000002</v>
      </c>
      <c r="D89" s="1">
        <v>100</v>
      </c>
      <c r="E89" s="1">
        <v>100</v>
      </c>
      <c r="F89" s="1">
        <v>0</v>
      </c>
      <c r="G89" s="1">
        <v>0</v>
      </c>
      <c r="H89" s="1">
        <v>0</v>
      </c>
      <c r="I89" s="1" t="s">
        <v>272</v>
      </c>
      <c r="J89" s="1" t="s">
        <v>272</v>
      </c>
      <c r="K89" s="1" t="s">
        <v>272</v>
      </c>
      <c r="L89" s="1" t="s">
        <v>272</v>
      </c>
      <c r="M89" s="1">
        <v>100</v>
      </c>
      <c r="N89" s="1">
        <v>0</v>
      </c>
      <c r="O89" s="1">
        <v>0</v>
      </c>
      <c r="P89" s="1">
        <v>0</v>
      </c>
      <c r="Q89" s="2" t="str">
        <f t="shared" si="0"/>
        <v/>
      </c>
      <c r="R89" s="1" t="str">
        <f t="shared" si="1"/>
        <v/>
      </c>
      <c r="S89" s="1" t="str">
        <f t="shared" si="2"/>
        <v/>
      </c>
      <c r="T89" s="1" t="str">
        <f t="shared" si="3"/>
        <v/>
      </c>
      <c r="U89" s="1">
        <f t="shared" si="4"/>
        <v>100</v>
      </c>
    </row>
    <row r="90" spans="1:21">
      <c r="A90" s="1" t="s">
        <v>80</v>
      </c>
      <c r="B90" s="1">
        <v>2015</v>
      </c>
      <c r="C90" s="1">
        <v>602.09301760000005</v>
      </c>
      <c r="D90" s="1">
        <v>100</v>
      </c>
      <c r="E90" s="1">
        <v>100</v>
      </c>
      <c r="F90" s="1">
        <v>0</v>
      </c>
      <c r="G90" s="1">
        <v>0</v>
      </c>
      <c r="H90" s="1">
        <v>0</v>
      </c>
      <c r="I90" s="1" t="s">
        <v>272</v>
      </c>
      <c r="J90" s="1" t="s">
        <v>272</v>
      </c>
      <c r="K90" s="1" t="s">
        <v>272</v>
      </c>
      <c r="L90" s="1" t="s">
        <v>272</v>
      </c>
      <c r="M90" s="1">
        <v>100</v>
      </c>
      <c r="N90" s="1">
        <v>0</v>
      </c>
      <c r="O90" s="1">
        <v>0</v>
      </c>
      <c r="P90" s="1">
        <v>0</v>
      </c>
      <c r="Q90" s="2">
        <f t="shared" si="0"/>
        <v>5</v>
      </c>
      <c r="R90" s="1">
        <f t="shared" si="1"/>
        <v>0</v>
      </c>
      <c r="S90" s="1" t="str">
        <f t="shared" si="2"/>
        <v>null</v>
      </c>
      <c r="T90" s="1">
        <f t="shared" si="3"/>
        <v>0</v>
      </c>
      <c r="U90" s="1">
        <f t="shared" si="4"/>
        <v>100</v>
      </c>
    </row>
    <row r="91" spans="1:21">
      <c r="A91" s="1" t="s">
        <v>80</v>
      </c>
      <c r="B91" s="1">
        <v>2020</v>
      </c>
      <c r="C91" s="1">
        <v>649.34198000000004</v>
      </c>
      <c r="D91" s="1">
        <v>100</v>
      </c>
      <c r="E91" s="1">
        <v>100</v>
      </c>
      <c r="F91" s="1">
        <v>0</v>
      </c>
      <c r="G91" s="1">
        <v>0</v>
      </c>
      <c r="H91" s="1">
        <v>0</v>
      </c>
      <c r="I91" s="1" t="s">
        <v>272</v>
      </c>
      <c r="J91" s="1" t="s">
        <v>272</v>
      </c>
      <c r="K91" s="1" t="s">
        <v>272</v>
      </c>
      <c r="L91" s="1" t="s">
        <v>272</v>
      </c>
      <c r="M91" s="1">
        <v>100</v>
      </c>
      <c r="N91" s="1">
        <v>0</v>
      </c>
      <c r="O91" s="1">
        <v>0</v>
      </c>
      <c r="P91" s="1">
        <v>0</v>
      </c>
      <c r="Q91" s="2" t="str">
        <f t="shared" si="0"/>
        <v/>
      </c>
      <c r="R91" s="1" t="str">
        <f t="shared" si="1"/>
        <v/>
      </c>
      <c r="S91" s="1" t="str">
        <f t="shared" si="2"/>
        <v/>
      </c>
      <c r="T91" s="1" t="str">
        <f t="shared" si="3"/>
        <v/>
      </c>
      <c r="U91" s="1">
        <f t="shared" si="4"/>
        <v>100</v>
      </c>
    </row>
    <row r="92" spans="1:21">
      <c r="A92" s="1" t="s">
        <v>81</v>
      </c>
      <c r="B92" s="1">
        <v>2015</v>
      </c>
      <c r="C92" s="1">
        <v>47520.667970000002</v>
      </c>
      <c r="D92" s="1">
        <v>79.763999940000005</v>
      </c>
      <c r="E92" s="1">
        <v>96.335868120000001</v>
      </c>
      <c r="F92" s="1">
        <v>0.1840519904</v>
      </c>
      <c r="G92" s="1">
        <v>1.7034450619999999</v>
      </c>
      <c r="H92" s="1">
        <v>1.7766348270000001</v>
      </c>
      <c r="I92" s="1">
        <v>83.273725850000005</v>
      </c>
      <c r="J92" s="1">
        <v>0.68766562610000004</v>
      </c>
      <c r="K92" s="1">
        <v>7.2590323550000004</v>
      </c>
      <c r="L92" s="1">
        <v>8.7795761720000005</v>
      </c>
      <c r="M92" s="1">
        <v>99.649712370000003</v>
      </c>
      <c r="N92" s="1">
        <v>5.6286030219999998E-2</v>
      </c>
      <c r="O92" s="1">
        <v>0.29400160289999999</v>
      </c>
      <c r="P92" s="1">
        <v>0</v>
      </c>
      <c r="Q92" s="2">
        <f t="shared" si="0"/>
        <v>5</v>
      </c>
      <c r="R92" s="1">
        <f t="shared" si="1"/>
        <v>0.23115779800000097</v>
      </c>
      <c r="S92" s="1">
        <f t="shared" si="2"/>
        <v>0.69866939399999806</v>
      </c>
      <c r="T92" s="1">
        <f t="shared" si="3"/>
        <v>5.7696085999998557E-2</v>
      </c>
      <c r="U92" s="1">
        <f t="shared" si="4"/>
        <v>96</v>
      </c>
    </row>
    <row r="93" spans="1:21">
      <c r="A93" s="1" t="s">
        <v>81</v>
      </c>
      <c r="B93" s="1">
        <v>2020</v>
      </c>
      <c r="C93" s="1">
        <v>50882.882810000003</v>
      </c>
      <c r="D93" s="1">
        <v>81.424995420000002</v>
      </c>
      <c r="E93" s="1">
        <v>97.491657110000006</v>
      </c>
      <c r="F93" s="1">
        <v>0.18615215909999999</v>
      </c>
      <c r="G93" s="1">
        <v>0.95361622280000002</v>
      </c>
      <c r="H93" s="1">
        <v>1.3685745119999999</v>
      </c>
      <c r="I93" s="1">
        <v>86.767072819999996</v>
      </c>
      <c r="J93" s="1">
        <v>0.73122820160000002</v>
      </c>
      <c r="K93" s="1">
        <v>5.13386897</v>
      </c>
      <c r="L93" s="1">
        <v>7.3678300050000001</v>
      </c>
      <c r="M93" s="1">
        <v>99.938192799999996</v>
      </c>
      <c r="N93" s="1">
        <v>6.18072E-2</v>
      </c>
      <c r="O93" s="1">
        <v>0</v>
      </c>
      <c r="P93" s="1">
        <v>0</v>
      </c>
      <c r="Q93" s="2" t="str">
        <f t="shared" si="0"/>
        <v/>
      </c>
      <c r="R93" s="1" t="str">
        <f t="shared" si="1"/>
        <v/>
      </c>
      <c r="S93" s="1" t="str">
        <f t="shared" si="2"/>
        <v/>
      </c>
      <c r="T93" s="1" t="str">
        <f t="shared" si="3"/>
        <v/>
      </c>
      <c r="U93" s="1">
        <f t="shared" si="4"/>
        <v>97</v>
      </c>
    </row>
    <row r="94" spans="1:21">
      <c r="A94" s="1" t="s">
        <v>82</v>
      </c>
      <c r="B94" s="1">
        <v>2015</v>
      </c>
      <c r="C94" s="1">
        <v>777.43499759999997</v>
      </c>
      <c r="D94" s="1">
        <v>28.47000122</v>
      </c>
      <c r="E94" s="1">
        <v>80.132000079999997</v>
      </c>
      <c r="F94" s="1">
        <v>10.877265</v>
      </c>
      <c r="G94" s="1">
        <v>8.3951934319999992</v>
      </c>
      <c r="H94" s="1">
        <v>0.59554149119999999</v>
      </c>
      <c r="I94" s="1">
        <v>76.911723449999997</v>
      </c>
      <c r="J94" s="1">
        <v>11.568647240000001</v>
      </c>
      <c r="K94" s="1">
        <v>10.82245445</v>
      </c>
      <c r="L94" s="1">
        <v>0.69717485830000003</v>
      </c>
      <c r="M94" s="1">
        <v>88.222845579999998</v>
      </c>
      <c r="N94" s="1">
        <v>9.1401884950000003</v>
      </c>
      <c r="O94" s="1">
        <v>2.2967751299999999</v>
      </c>
      <c r="P94" s="1">
        <v>0.34019079699999999</v>
      </c>
      <c r="Q94" s="2">
        <f t="shared" si="0"/>
        <v>4</v>
      </c>
      <c r="R94" s="1">
        <f t="shared" si="1"/>
        <v>1.9624432500002342E-2</v>
      </c>
      <c r="S94" s="1">
        <f t="shared" si="2"/>
        <v>0</v>
      </c>
      <c r="T94" s="1">
        <f t="shared" si="3"/>
        <v>0</v>
      </c>
      <c r="U94" s="1">
        <f t="shared" si="4"/>
        <v>80</v>
      </c>
    </row>
    <row r="95" spans="1:21">
      <c r="A95" s="1" t="s">
        <v>82</v>
      </c>
      <c r="B95" s="1">
        <v>2019</v>
      </c>
      <c r="C95" s="1">
        <v>850.89099120000003</v>
      </c>
      <c r="D95" s="1">
        <v>29.164001460000001</v>
      </c>
      <c r="E95" s="1">
        <v>80.210497810000007</v>
      </c>
      <c r="F95" s="1">
        <v>10.86041131</v>
      </c>
      <c r="G95" s="1">
        <v>8.9290908879999993</v>
      </c>
      <c r="H95" s="1" t="s">
        <v>272</v>
      </c>
      <c r="I95" s="1">
        <v>76.911723449999997</v>
      </c>
      <c r="J95" s="1">
        <v>11.568647240000001</v>
      </c>
      <c r="K95" s="1">
        <v>11.519629309999999</v>
      </c>
      <c r="L95" s="1" t="s">
        <v>272</v>
      </c>
      <c r="M95" s="1">
        <v>88.222845579999998</v>
      </c>
      <c r="N95" s="1">
        <v>9.1401884950000003</v>
      </c>
      <c r="O95" s="1">
        <v>2.2967751299999999</v>
      </c>
      <c r="P95" s="1">
        <v>0.34019079699999999</v>
      </c>
      <c r="Q95" s="2" t="str">
        <f t="shared" si="0"/>
        <v/>
      </c>
      <c r="R95" s="1" t="str">
        <f t="shared" si="1"/>
        <v/>
      </c>
      <c r="S95" s="1" t="str">
        <f t="shared" si="2"/>
        <v/>
      </c>
      <c r="T95" s="1" t="str">
        <f t="shared" si="3"/>
        <v/>
      </c>
      <c r="U95" s="1">
        <f t="shared" si="4"/>
        <v>80</v>
      </c>
    </row>
    <row r="96" spans="1:21">
      <c r="A96" s="1" t="s">
        <v>83</v>
      </c>
      <c r="B96" s="1">
        <v>2015</v>
      </c>
      <c r="C96" s="1">
        <v>4856.0927730000003</v>
      </c>
      <c r="D96" s="1">
        <v>65.542999269999996</v>
      </c>
      <c r="E96" s="1">
        <v>71.149581769999998</v>
      </c>
      <c r="F96" s="1">
        <v>10.510526049999999</v>
      </c>
      <c r="G96" s="1">
        <v>11.662046309999999</v>
      </c>
      <c r="H96" s="1">
        <v>6.6778458760000001</v>
      </c>
      <c r="I96" s="1">
        <v>41.39183594</v>
      </c>
      <c r="J96" s="1">
        <v>10.739572649999999</v>
      </c>
      <c r="K96" s="1">
        <v>28.501848710000001</v>
      </c>
      <c r="L96" s="1">
        <v>19.366742689999999</v>
      </c>
      <c r="M96" s="1">
        <v>86.793705160000002</v>
      </c>
      <c r="N96" s="1">
        <v>10.390112999999999</v>
      </c>
      <c r="O96" s="1">
        <v>2.809090742</v>
      </c>
      <c r="P96" s="1">
        <v>7.0910958900000003E-3</v>
      </c>
      <c r="Q96" s="2">
        <f t="shared" si="0"/>
        <v>5</v>
      </c>
      <c r="R96" s="1">
        <f t="shared" si="1"/>
        <v>0.52698596200000059</v>
      </c>
      <c r="S96" s="1">
        <f t="shared" si="2"/>
        <v>0.8665154479999998</v>
      </c>
      <c r="T96" s="1">
        <f t="shared" si="3"/>
        <v>5.9918199999998478E-2</v>
      </c>
      <c r="U96" s="1">
        <f t="shared" si="4"/>
        <v>71</v>
      </c>
    </row>
    <row r="97" spans="1:21">
      <c r="A97" s="1" t="s">
        <v>83</v>
      </c>
      <c r="B97" s="1">
        <v>2020</v>
      </c>
      <c r="C97" s="1">
        <v>5518.091797</v>
      </c>
      <c r="D97" s="1">
        <v>67.829002380000006</v>
      </c>
      <c r="E97" s="1">
        <v>73.78451158</v>
      </c>
      <c r="F97" s="1">
        <v>10.46117203</v>
      </c>
      <c r="G97" s="1">
        <v>9.5591807220000007</v>
      </c>
      <c r="H97" s="1">
        <v>6.1951356640000004</v>
      </c>
      <c r="I97" s="1">
        <v>45.724413179999999</v>
      </c>
      <c r="J97" s="1">
        <v>10.6323901</v>
      </c>
      <c r="K97" s="1">
        <v>24.405169730000001</v>
      </c>
      <c r="L97" s="1">
        <v>19.238026990000002</v>
      </c>
      <c r="M97" s="1">
        <v>87.093296159999994</v>
      </c>
      <c r="N97" s="1">
        <v>10.37996439</v>
      </c>
      <c r="O97" s="1">
        <v>2.5177899969999999</v>
      </c>
      <c r="P97" s="1">
        <v>8.9494520549999994E-3</v>
      </c>
      <c r="Q97" s="2" t="str">
        <f t="shared" si="0"/>
        <v/>
      </c>
      <c r="R97" s="1" t="str">
        <f t="shared" si="1"/>
        <v/>
      </c>
      <c r="S97" s="1" t="str">
        <f t="shared" si="2"/>
        <v/>
      </c>
      <c r="T97" s="1" t="str">
        <f t="shared" si="3"/>
        <v/>
      </c>
      <c r="U97" s="1">
        <f t="shared" si="4"/>
        <v>74</v>
      </c>
    </row>
    <row r="98" spans="1:21">
      <c r="A98" s="1" t="s">
        <v>84</v>
      </c>
      <c r="B98" s="1">
        <v>2015</v>
      </c>
      <c r="C98" s="1">
        <v>17.580999370000001</v>
      </c>
      <c r="D98" s="1">
        <v>74.403999330000005</v>
      </c>
      <c r="E98" s="1">
        <v>99.953671020000002</v>
      </c>
      <c r="F98" s="1">
        <v>0</v>
      </c>
      <c r="G98" s="1">
        <v>4.6328976289999997E-2</v>
      </c>
      <c r="H98" s="1">
        <v>0</v>
      </c>
      <c r="I98" s="1" t="s">
        <v>272</v>
      </c>
      <c r="J98" s="1" t="s">
        <v>272</v>
      </c>
      <c r="K98" s="1" t="s">
        <v>272</v>
      </c>
      <c r="L98" s="1" t="s">
        <v>272</v>
      </c>
      <c r="M98" s="1" t="s">
        <v>272</v>
      </c>
      <c r="N98" s="1" t="s">
        <v>272</v>
      </c>
      <c r="O98" s="1" t="s">
        <v>272</v>
      </c>
      <c r="P98" s="1" t="s">
        <v>272</v>
      </c>
      <c r="Q98" s="2">
        <f t="shared" si="0"/>
        <v>5</v>
      </c>
      <c r="R98" s="1">
        <f t="shared" si="1"/>
        <v>3.5878400000001419E-3</v>
      </c>
      <c r="S98" s="1" t="str">
        <f t="shared" si="2"/>
        <v>null</v>
      </c>
      <c r="T98" s="1" t="str">
        <f t="shared" si="3"/>
        <v>null</v>
      </c>
      <c r="U98" s="1">
        <f t="shared" si="4"/>
        <v>100</v>
      </c>
    </row>
    <row r="99" spans="1:21">
      <c r="A99" s="1" t="s">
        <v>84</v>
      </c>
      <c r="B99" s="1">
        <v>2020</v>
      </c>
      <c r="C99" s="1">
        <v>17.56399918</v>
      </c>
      <c r="D99" s="1">
        <v>75.495002749999998</v>
      </c>
      <c r="E99" s="1">
        <v>99.971610220000002</v>
      </c>
      <c r="F99" s="1">
        <v>0</v>
      </c>
      <c r="G99" s="1">
        <v>2.8389782700000001E-2</v>
      </c>
      <c r="H99" s="1">
        <v>0</v>
      </c>
      <c r="I99" s="1" t="s">
        <v>272</v>
      </c>
      <c r="J99" s="1" t="s">
        <v>272</v>
      </c>
      <c r="K99" s="1" t="s">
        <v>272</v>
      </c>
      <c r="L99" s="1" t="s">
        <v>272</v>
      </c>
      <c r="M99" s="1" t="s">
        <v>272</v>
      </c>
      <c r="N99" s="1" t="s">
        <v>272</v>
      </c>
      <c r="O99" s="1" t="s">
        <v>272</v>
      </c>
      <c r="P99" s="1" t="s">
        <v>272</v>
      </c>
      <c r="Q99" s="2" t="str">
        <f t="shared" si="0"/>
        <v/>
      </c>
      <c r="R99" s="1" t="str">
        <f t="shared" si="1"/>
        <v/>
      </c>
      <c r="S99" s="1" t="str">
        <f t="shared" si="2"/>
        <v/>
      </c>
      <c r="T99" s="1" t="str">
        <f t="shared" si="3"/>
        <v/>
      </c>
      <c r="U99" s="1">
        <f t="shared" si="4"/>
        <v>100</v>
      </c>
    </row>
    <row r="100" spans="1:21">
      <c r="A100" s="1" t="s">
        <v>85</v>
      </c>
      <c r="B100" s="1">
        <v>2015</v>
      </c>
      <c r="C100" s="1">
        <v>4847.8051759999998</v>
      </c>
      <c r="D100" s="1">
        <v>76.861999510000004</v>
      </c>
      <c r="E100" s="1">
        <v>99.378686819999999</v>
      </c>
      <c r="F100" s="1">
        <v>0.25413037840000002</v>
      </c>
      <c r="G100" s="1">
        <v>0.21133501860000001</v>
      </c>
      <c r="H100" s="1">
        <v>0.15584778429999999</v>
      </c>
      <c r="I100" s="1">
        <v>98.186032490000002</v>
      </c>
      <c r="J100" s="1">
        <v>0.4100611535</v>
      </c>
      <c r="K100" s="1">
        <v>0.73034857679999998</v>
      </c>
      <c r="L100" s="1">
        <v>0.67355777780000003</v>
      </c>
      <c r="M100" s="1">
        <v>99.737715109999996</v>
      </c>
      <c r="N100" s="1">
        <v>0.20719007179999999</v>
      </c>
      <c r="O100" s="1">
        <v>5.5094818300000001E-2</v>
      </c>
      <c r="P100" s="1">
        <v>0</v>
      </c>
      <c r="Q100" s="2">
        <f t="shared" si="0"/>
        <v>5</v>
      </c>
      <c r="R100" s="1">
        <f t="shared" si="1"/>
        <v>8.6370021999999838E-2</v>
      </c>
      <c r="S100" s="1">
        <f t="shared" si="2"/>
        <v>0.29204350199999851</v>
      </c>
      <c r="T100" s="1">
        <f t="shared" si="3"/>
        <v>2.2387550000001966E-2</v>
      </c>
      <c r="U100" s="1">
        <f t="shared" si="4"/>
        <v>99</v>
      </c>
    </row>
    <row r="101" spans="1:21">
      <c r="A101" s="1" t="s">
        <v>85</v>
      </c>
      <c r="B101" s="1">
        <v>2020</v>
      </c>
      <c r="C101" s="1">
        <v>5094.1137699999999</v>
      </c>
      <c r="D101" s="1">
        <v>80.770996089999997</v>
      </c>
      <c r="E101" s="1">
        <v>99.810536929999998</v>
      </c>
      <c r="F101" s="1">
        <v>0.18945947460000001</v>
      </c>
      <c r="G101" s="1">
        <v>3.5944518969999999E-6</v>
      </c>
      <c r="H101" s="1">
        <v>0</v>
      </c>
      <c r="I101" s="1">
        <v>99.646249999999995</v>
      </c>
      <c r="J101" s="1">
        <v>0.35375000000000001</v>
      </c>
      <c r="K101" s="1">
        <v>0</v>
      </c>
      <c r="L101" s="1">
        <v>0</v>
      </c>
      <c r="M101" s="1">
        <v>99.849652860000006</v>
      </c>
      <c r="N101" s="1">
        <v>0.15034714290000001</v>
      </c>
      <c r="O101" s="1">
        <v>0</v>
      </c>
      <c r="P101" s="1">
        <v>0</v>
      </c>
      <c r="Q101" s="2" t="str">
        <f t="shared" si="0"/>
        <v/>
      </c>
      <c r="R101" s="1" t="str">
        <f t="shared" si="1"/>
        <v/>
      </c>
      <c r="S101" s="1" t="str">
        <f t="shared" si="2"/>
        <v/>
      </c>
      <c r="T101" s="1" t="str">
        <f t="shared" si="3"/>
        <v/>
      </c>
      <c r="U101" s="1">
        <f t="shared" si="4"/>
        <v>100</v>
      </c>
    </row>
    <row r="102" spans="1:21">
      <c r="A102" s="1" t="s">
        <v>86</v>
      </c>
      <c r="B102" s="1">
        <v>2015</v>
      </c>
      <c r="C102" s="1">
        <v>23226.148440000001</v>
      </c>
      <c r="D102" s="1">
        <v>49.444000240000001</v>
      </c>
      <c r="E102" s="1">
        <v>71.075766900000005</v>
      </c>
      <c r="F102" s="1">
        <v>8.7671364589999996</v>
      </c>
      <c r="G102" s="1">
        <v>14.417680539999999</v>
      </c>
      <c r="H102" s="1">
        <v>5.7394160950000002</v>
      </c>
      <c r="I102" s="1">
        <v>55.843171720000001</v>
      </c>
      <c r="J102" s="1">
        <v>13.188467299999999</v>
      </c>
      <c r="K102" s="1">
        <v>22.631284709999999</v>
      </c>
      <c r="L102" s="1">
        <v>8.3370762729999992</v>
      </c>
      <c r="M102" s="1">
        <v>86.650945350000001</v>
      </c>
      <c r="N102" s="1">
        <v>4.2463692540000002</v>
      </c>
      <c r="O102" s="1">
        <v>6.0193512360000003</v>
      </c>
      <c r="P102" s="1">
        <v>3.083334164</v>
      </c>
      <c r="Q102" s="2">
        <f t="shared" si="0"/>
        <v>5</v>
      </c>
      <c r="R102" s="1">
        <f t="shared" si="1"/>
        <v>-3.333930200000168E-2</v>
      </c>
      <c r="S102" s="1">
        <f t="shared" si="2"/>
        <v>-2.4144972000000563E-2</v>
      </c>
      <c r="T102" s="1">
        <f t="shared" si="3"/>
        <v>-0.31147841199999959</v>
      </c>
      <c r="U102" s="1">
        <f t="shared" si="4"/>
        <v>71</v>
      </c>
    </row>
    <row r="103" spans="1:21">
      <c r="A103" s="1" t="s">
        <v>86</v>
      </c>
      <c r="B103" s="1">
        <v>2020</v>
      </c>
      <c r="C103" s="1">
        <v>26378.275389999999</v>
      </c>
      <c r="D103" s="1">
        <v>51.70599747</v>
      </c>
      <c r="E103" s="1">
        <v>70.909070389999997</v>
      </c>
      <c r="F103" s="1">
        <v>8.9354217019999993</v>
      </c>
      <c r="G103" s="1">
        <v>14.192441609999999</v>
      </c>
      <c r="H103" s="1">
        <v>5.9630662929999998</v>
      </c>
      <c r="I103" s="1">
        <v>55.722446859999998</v>
      </c>
      <c r="J103" s="1">
        <v>13.343168289999999</v>
      </c>
      <c r="K103" s="1">
        <v>23.17527956</v>
      </c>
      <c r="L103" s="1">
        <v>7.7591052889999998</v>
      </c>
      <c r="M103" s="1">
        <v>85.093553290000003</v>
      </c>
      <c r="N103" s="1">
        <v>4.8185351560000003</v>
      </c>
      <c r="O103" s="1">
        <v>5.8023665600000003</v>
      </c>
      <c r="P103" s="1">
        <v>4.2855449940000003</v>
      </c>
      <c r="Q103" s="2" t="str">
        <f t="shared" si="0"/>
        <v/>
      </c>
      <c r="R103" s="1" t="str">
        <f t="shared" si="1"/>
        <v/>
      </c>
      <c r="S103" s="1" t="str">
        <f t="shared" si="2"/>
        <v/>
      </c>
      <c r="T103" s="1" t="str">
        <f t="shared" si="3"/>
        <v/>
      </c>
      <c r="U103" s="1">
        <f t="shared" si="4"/>
        <v>71</v>
      </c>
    </row>
    <row r="104" spans="1:21">
      <c r="A104" s="1" t="s">
        <v>87</v>
      </c>
      <c r="B104" s="1">
        <v>2015</v>
      </c>
      <c r="C104" s="1">
        <v>4232.8740230000003</v>
      </c>
      <c r="D104" s="1">
        <v>56.155002590000002</v>
      </c>
      <c r="E104" s="1" t="s">
        <v>272</v>
      </c>
      <c r="F104" s="1" t="s">
        <v>272</v>
      </c>
      <c r="G104" s="1" t="s">
        <v>272</v>
      </c>
      <c r="H104" s="1" t="s">
        <v>272</v>
      </c>
      <c r="I104" s="1" t="s">
        <v>272</v>
      </c>
      <c r="J104" s="1" t="s">
        <v>272</v>
      </c>
      <c r="K104" s="1" t="s">
        <v>272</v>
      </c>
      <c r="L104" s="1" t="s">
        <v>272</v>
      </c>
      <c r="M104" s="1">
        <v>100</v>
      </c>
      <c r="N104" s="1">
        <v>0</v>
      </c>
      <c r="O104" s="1">
        <v>0</v>
      </c>
      <c r="P104" s="1">
        <v>0</v>
      </c>
      <c r="Q104" s="2">
        <f t="shared" si="0"/>
        <v>5</v>
      </c>
      <c r="R104" s="1" t="str">
        <f t="shared" si="1"/>
        <v>null</v>
      </c>
      <c r="S104" s="1" t="str">
        <f t="shared" si="2"/>
        <v>null</v>
      </c>
      <c r="T104" s="1">
        <f t="shared" si="3"/>
        <v>0</v>
      </c>
      <c r="U104" s="1" t="str">
        <f t="shared" si="4"/>
        <v>null</v>
      </c>
    </row>
    <row r="105" spans="1:21">
      <c r="A105" s="1" t="s">
        <v>87</v>
      </c>
      <c r="B105" s="1">
        <v>2020</v>
      </c>
      <c r="C105" s="1">
        <v>4105.2680659999996</v>
      </c>
      <c r="D105" s="1">
        <v>57.552997589999997</v>
      </c>
      <c r="E105" s="1" t="s">
        <v>272</v>
      </c>
      <c r="F105" s="1" t="s">
        <v>272</v>
      </c>
      <c r="G105" s="1" t="s">
        <v>272</v>
      </c>
      <c r="H105" s="1" t="s">
        <v>272</v>
      </c>
      <c r="I105" s="1" t="s">
        <v>272</v>
      </c>
      <c r="J105" s="1" t="s">
        <v>272</v>
      </c>
      <c r="K105" s="1" t="s">
        <v>272</v>
      </c>
      <c r="L105" s="1" t="s">
        <v>272</v>
      </c>
      <c r="M105" s="1">
        <v>100</v>
      </c>
      <c r="N105" s="1">
        <v>0</v>
      </c>
      <c r="O105" s="1">
        <v>0</v>
      </c>
      <c r="P105" s="1">
        <v>0</v>
      </c>
      <c r="Q105" s="2" t="str">
        <f t="shared" si="0"/>
        <v/>
      </c>
      <c r="R105" s="1" t="str">
        <f t="shared" si="1"/>
        <v/>
      </c>
      <c r="S105" s="1" t="str">
        <f t="shared" si="2"/>
        <v/>
      </c>
      <c r="T105" s="1" t="str">
        <f t="shared" si="3"/>
        <v/>
      </c>
      <c r="U105" s="1" t="str">
        <f t="shared" si="4"/>
        <v>null</v>
      </c>
    </row>
    <row r="106" spans="1:21">
      <c r="A106" s="1" t="s">
        <v>88</v>
      </c>
      <c r="B106" s="1">
        <v>2015</v>
      </c>
      <c r="C106" s="1">
        <v>11324.777340000001</v>
      </c>
      <c r="D106" s="1">
        <v>76.896003719999996</v>
      </c>
      <c r="E106" s="1">
        <v>95.871796470000007</v>
      </c>
      <c r="F106" s="1">
        <v>1.7502537890000001</v>
      </c>
      <c r="G106" s="1">
        <v>1.99464</v>
      </c>
      <c r="H106" s="1">
        <v>0.38330973619999997</v>
      </c>
      <c r="I106" s="1">
        <v>90.445060659999996</v>
      </c>
      <c r="J106" s="1">
        <v>3.3621971309999998</v>
      </c>
      <c r="K106" s="1">
        <v>4.747322467</v>
      </c>
      <c r="L106" s="1">
        <v>1.445419738</v>
      </c>
      <c r="M106" s="1">
        <v>97.502301369999998</v>
      </c>
      <c r="N106" s="1">
        <v>1.2659328999999999</v>
      </c>
      <c r="O106" s="1">
        <v>1.167575187</v>
      </c>
      <c r="P106" s="1">
        <v>6.4190542059999994E-2</v>
      </c>
      <c r="Q106" s="2">
        <f t="shared" si="0"/>
        <v>5</v>
      </c>
      <c r="R106" s="1">
        <f t="shared" si="1"/>
        <v>0.22617993799999853</v>
      </c>
      <c r="S106" s="1">
        <f t="shared" si="2"/>
        <v>0.78831809600000047</v>
      </c>
      <c r="T106" s="1">
        <f t="shared" si="3"/>
        <v>5.4655053999999835E-2</v>
      </c>
      <c r="U106" s="1">
        <f t="shared" si="4"/>
        <v>96</v>
      </c>
    </row>
    <row r="107" spans="1:21">
      <c r="A107" s="1" t="s">
        <v>88</v>
      </c>
      <c r="B107" s="1">
        <v>2020</v>
      </c>
      <c r="C107" s="1">
        <v>11326.61621</v>
      </c>
      <c r="D107" s="1">
        <v>77.194000239999994</v>
      </c>
      <c r="E107" s="1">
        <v>97.002696159999999</v>
      </c>
      <c r="F107" s="1">
        <v>1.471384542</v>
      </c>
      <c r="G107" s="1">
        <v>1.252811506</v>
      </c>
      <c r="H107" s="1">
        <v>0.27310779629999998</v>
      </c>
      <c r="I107" s="1">
        <v>94.386651139999998</v>
      </c>
      <c r="J107" s="1">
        <v>2.591752445</v>
      </c>
      <c r="K107" s="1">
        <v>1.9059729350000001</v>
      </c>
      <c r="L107" s="1">
        <v>1.115623477</v>
      </c>
      <c r="M107" s="1">
        <v>97.775576639999997</v>
      </c>
      <c r="N107" s="1">
        <v>1.1403859000000001</v>
      </c>
      <c r="O107" s="1">
        <v>1.059840374</v>
      </c>
      <c r="P107" s="1">
        <v>2.4197084109999999E-2</v>
      </c>
      <c r="Q107" s="2" t="str">
        <f t="shared" si="0"/>
        <v/>
      </c>
      <c r="R107" s="1" t="str">
        <f t="shared" si="1"/>
        <v/>
      </c>
      <c r="S107" s="1" t="str">
        <f t="shared" si="2"/>
        <v/>
      </c>
      <c r="T107" s="1" t="str">
        <f t="shared" si="3"/>
        <v/>
      </c>
      <c r="U107" s="1">
        <f t="shared" si="4"/>
        <v>97</v>
      </c>
    </row>
    <row r="108" spans="1:21">
      <c r="A108" s="1" t="s">
        <v>89</v>
      </c>
      <c r="B108" s="1">
        <v>2015</v>
      </c>
      <c r="C108" s="1">
        <v>159.8500061</v>
      </c>
      <c r="D108" s="1">
        <v>89.35199738</v>
      </c>
      <c r="E108" s="1">
        <v>99.49775185</v>
      </c>
      <c r="F108" s="1">
        <v>0</v>
      </c>
      <c r="G108" s="1">
        <v>0.50224815249999999</v>
      </c>
      <c r="H108" s="1">
        <v>0</v>
      </c>
      <c r="I108" s="1" t="s">
        <v>272</v>
      </c>
      <c r="J108" s="1" t="s">
        <v>272</v>
      </c>
      <c r="K108" s="1" t="s">
        <v>272</v>
      </c>
      <c r="L108" s="1" t="s">
        <v>272</v>
      </c>
      <c r="M108" s="1" t="s">
        <v>272</v>
      </c>
      <c r="N108" s="1" t="s">
        <v>272</v>
      </c>
      <c r="O108" s="1" t="s">
        <v>272</v>
      </c>
      <c r="P108" s="1" t="s">
        <v>272</v>
      </c>
      <c r="Q108" s="2">
        <f t="shared" si="0"/>
        <v>2</v>
      </c>
      <c r="R108" s="1">
        <f t="shared" si="1"/>
        <v>0</v>
      </c>
      <c r="S108" s="1" t="str">
        <f t="shared" si="2"/>
        <v>null</v>
      </c>
      <c r="T108" s="1" t="str">
        <f t="shared" si="3"/>
        <v>null</v>
      </c>
      <c r="U108" s="1">
        <f t="shared" si="4"/>
        <v>99</v>
      </c>
    </row>
    <row r="109" spans="1:21">
      <c r="A109" s="1" t="s">
        <v>89</v>
      </c>
      <c r="B109" s="1">
        <v>2017</v>
      </c>
      <c r="C109" s="1">
        <v>161.98599239999999</v>
      </c>
      <c r="D109" s="1">
        <v>89.203002929999997</v>
      </c>
      <c r="E109" s="1">
        <v>99.49775185</v>
      </c>
      <c r="F109" s="1">
        <v>0</v>
      </c>
      <c r="G109" s="1">
        <v>0.50224815249999999</v>
      </c>
      <c r="H109" s="1">
        <v>0</v>
      </c>
      <c r="I109" s="1" t="s">
        <v>272</v>
      </c>
      <c r="J109" s="1" t="s">
        <v>272</v>
      </c>
      <c r="K109" s="1" t="s">
        <v>272</v>
      </c>
      <c r="L109" s="1" t="s">
        <v>272</v>
      </c>
      <c r="M109" s="1" t="s">
        <v>272</v>
      </c>
      <c r="N109" s="1" t="s">
        <v>272</v>
      </c>
      <c r="O109" s="1" t="s">
        <v>272</v>
      </c>
      <c r="P109" s="1" t="s">
        <v>272</v>
      </c>
      <c r="Q109" s="2" t="str">
        <f t="shared" si="0"/>
        <v/>
      </c>
      <c r="R109" s="1" t="str">
        <f t="shared" si="1"/>
        <v/>
      </c>
      <c r="S109" s="1" t="str">
        <f t="shared" si="2"/>
        <v/>
      </c>
      <c r="T109" s="1" t="str">
        <f t="shared" si="3"/>
        <v/>
      </c>
      <c r="U109" s="1">
        <f t="shared" si="4"/>
        <v>99</v>
      </c>
    </row>
    <row r="110" spans="1:21">
      <c r="A110" s="1" t="s">
        <v>90</v>
      </c>
      <c r="B110" s="1">
        <v>2015</v>
      </c>
      <c r="C110" s="1">
        <v>1160.987061</v>
      </c>
      <c r="D110" s="1">
        <v>66.945999150000006</v>
      </c>
      <c r="E110" s="1">
        <v>99.788517569999996</v>
      </c>
      <c r="F110" s="1">
        <v>0</v>
      </c>
      <c r="G110" s="1">
        <v>0.21148243489999999</v>
      </c>
      <c r="H110" s="1">
        <v>0</v>
      </c>
      <c r="I110" s="1">
        <v>99.861185539999994</v>
      </c>
      <c r="J110" s="1">
        <v>0</v>
      </c>
      <c r="K110" s="1">
        <v>0.1388144553</v>
      </c>
      <c r="L110" s="1">
        <v>0</v>
      </c>
      <c r="M110" s="1">
        <v>99.752642309999999</v>
      </c>
      <c r="N110" s="1">
        <v>0</v>
      </c>
      <c r="O110" s="1">
        <v>0.24735769429999999</v>
      </c>
      <c r="P110" s="1">
        <v>0</v>
      </c>
      <c r="Q110" s="2">
        <f t="shared" si="0"/>
        <v>5</v>
      </c>
      <c r="R110" s="1">
        <f t="shared" si="1"/>
        <v>-4.668877999998244E-3</v>
      </c>
      <c r="S110" s="1">
        <f t="shared" si="2"/>
        <v>-3.0847639999990405E-3</v>
      </c>
      <c r="T110" s="1">
        <f t="shared" si="3"/>
        <v>-5.4968379999991157E-3</v>
      </c>
      <c r="U110" s="1">
        <f t="shared" si="4"/>
        <v>100</v>
      </c>
    </row>
    <row r="111" spans="1:21">
      <c r="A111" s="1" t="s">
        <v>90</v>
      </c>
      <c r="B111" s="1">
        <v>2020</v>
      </c>
      <c r="C111" s="1">
        <v>1207.360962</v>
      </c>
      <c r="D111" s="1">
        <v>66.820999150000006</v>
      </c>
      <c r="E111" s="1">
        <v>99.765173180000005</v>
      </c>
      <c r="F111" s="1">
        <v>0</v>
      </c>
      <c r="G111" s="1">
        <v>0.2348268167</v>
      </c>
      <c r="H111" s="1">
        <v>0</v>
      </c>
      <c r="I111" s="1">
        <v>99.845761719999999</v>
      </c>
      <c r="J111" s="1">
        <v>0</v>
      </c>
      <c r="K111" s="1">
        <v>0.1542382836</v>
      </c>
      <c r="L111" s="1">
        <v>0</v>
      </c>
      <c r="M111" s="1">
        <v>99.725158120000003</v>
      </c>
      <c r="N111" s="1">
        <v>0</v>
      </c>
      <c r="O111" s="1">
        <v>0.27484188250000002</v>
      </c>
      <c r="P111" s="1">
        <v>0</v>
      </c>
      <c r="Q111" s="2" t="str">
        <f t="shared" si="0"/>
        <v/>
      </c>
      <c r="R111" s="1" t="str">
        <f t="shared" si="1"/>
        <v/>
      </c>
      <c r="S111" s="1" t="str">
        <f t="shared" si="2"/>
        <v/>
      </c>
      <c r="T111" s="1" t="str">
        <f t="shared" si="3"/>
        <v/>
      </c>
      <c r="U111" s="1">
        <f t="shared" si="4"/>
        <v>100</v>
      </c>
    </row>
    <row r="112" spans="1:21">
      <c r="A112" s="1" t="s">
        <v>91</v>
      </c>
      <c r="B112" s="1">
        <v>2015</v>
      </c>
      <c r="C112" s="1">
        <v>10601.389649999999</v>
      </c>
      <c r="D112" s="1">
        <v>73.47699738</v>
      </c>
      <c r="E112" s="1">
        <v>99.880092689999998</v>
      </c>
      <c r="F112" s="1">
        <v>0</v>
      </c>
      <c r="G112" s="1">
        <v>0.11990731189999999</v>
      </c>
      <c r="H112" s="1">
        <v>0</v>
      </c>
      <c r="I112" s="1">
        <v>99.817599299999998</v>
      </c>
      <c r="J112" s="1">
        <v>0</v>
      </c>
      <c r="K112" s="1">
        <v>0.18240069649999999</v>
      </c>
      <c r="L112" s="1">
        <v>0</v>
      </c>
      <c r="M112" s="1">
        <v>99.902650929999993</v>
      </c>
      <c r="N112" s="1">
        <v>0</v>
      </c>
      <c r="O112" s="1">
        <v>9.7349067900000003E-2</v>
      </c>
      <c r="P112" s="1">
        <v>0</v>
      </c>
      <c r="Q112" s="2">
        <f t="shared" si="0"/>
        <v>5</v>
      </c>
      <c r="R112" s="1">
        <f t="shared" si="1"/>
        <v>9.9796000000651475E-5</v>
      </c>
      <c r="S112" s="1">
        <f t="shared" si="2"/>
        <v>0</v>
      </c>
      <c r="T112" s="1">
        <f t="shared" si="3"/>
        <v>0</v>
      </c>
      <c r="U112" s="1">
        <f t="shared" si="4"/>
        <v>100</v>
      </c>
    </row>
    <row r="113" spans="1:21">
      <c r="A113" s="1" t="s">
        <v>91</v>
      </c>
      <c r="B113" s="1">
        <v>2020</v>
      </c>
      <c r="C113" s="1">
        <v>10708.98242</v>
      </c>
      <c r="D113" s="1">
        <v>74.061004639999993</v>
      </c>
      <c r="E113" s="1">
        <v>99.880591670000001</v>
      </c>
      <c r="F113" s="1">
        <v>0</v>
      </c>
      <c r="G113" s="1">
        <v>0.11940833250000001</v>
      </c>
      <c r="H113" s="1">
        <v>0</v>
      </c>
      <c r="I113" s="1">
        <v>99.817599299999998</v>
      </c>
      <c r="J113" s="1">
        <v>0</v>
      </c>
      <c r="K113" s="1">
        <v>0.18240069649999999</v>
      </c>
      <c r="L113" s="1">
        <v>0</v>
      </c>
      <c r="M113" s="1">
        <v>99.902650929999993</v>
      </c>
      <c r="N113" s="1">
        <v>0</v>
      </c>
      <c r="O113" s="1">
        <v>9.7349067900000003E-2</v>
      </c>
      <c r="P113" s="1">
        <v>0</v>
      </c>
      <c r="Q113" s="2" t="str">
        <f t="shared" si="0"/>
        <v/>
      </c>
      <c r="R113" s="1" t="str">
        <f t="shared" si="1"/>
        <v/>
      </c>
      <c r="S113" s="1" t="str">
        <f t="shared" si="2"/>
        <v/>
      </c>
      <c r="T113" s="1" t="str">
        <f t="shared" si="3"/>
        <v/>
      </c>
      <c r="U113" s="1">
        <f t="shared" si="4"/>
        <v>100</v>
      </c>
    </row>
    <row r="114" spans="1:21">
      <c r="A114" s="1" t="s">
        <v>92</v>
      </c>
      <c r="B114" s="1">
        <v>2015</v>
      </c>
      <c r="C114" s="1">
        <v>25183.832030000001</v>
      </c>
      <c r="D114" s="1">
        <v>61.277004239999997</v>
      </c>
      <c r="E114" s="1">
        <v>95.21488171</v>
      </c>
      <c r="F114" s="1">
        <v>0.68500239009999997</v>
      </c>
      <c r="G114" s="1">
        <v>3.8290549180000002</v>
      </c>
      <c r="H114" s="1">
        <v>0.27106098029999998</v>
      </c>
      <c r="I114" s="1">
        <v>91.616968420000006</v>
      </c>
      <c r="J114" s="1">
        <v>0.36793963219999998</v>
      </c>
      <c r="K114" s="1">
        <v>7.3150919439999997</v>
      </c>
      <c r="L114" s="1">
        <v>0.7</v>
      </c>
      <c r="M114" s="1">
        <v>97.48852402</v>
      </c>
      <c r="N114" s="1">
        <v>0.88536500119999995</v>
      </c>
      <c r="O114" s="1">
        <v>1.626110978</v>
      </c>
      <c r="P114" s="1">
        <v>0</v>
      </c>
      <c r="Q114" s="2">
        <f t="shared" si="0"/>
        <v>5</v>
      </c>
      <c r="R114" s="1">
        <f t="shared" si="1"/>
        <v>-0.27420773599999959</v>
      </c>
      <c r="S114" s="1">
        <f t="shared" si="2"/>
        <v>-0.57266870800000047</v>
      </c>
      <c r="T114" s="1">
        <f t="shared" si="3"/>
        <v>-0.11500271600000075</v>
      </c>
      <c r="U114" s="1">
        <f t="shared" si="4"/>
        <v>95</v>
      </c>
    </row>
    <row r="115" spans="1:21">
      <c r="A115" s="1" t="s">
        <v>92</v>
      </c>
      <c r="B115" s="1">
        <v>2020</v>
      </c>
      <c r="C115" s="1">
        <v>25778.814450000002</v>
      </c>
      <c r="D115" s="1">
        <v>62.381000520000001</v>
      </c>
      <c r="E115" s="1">
        <v>93.843843030000002</v>
      </c>
      <c r="F115" s="1">
        <v>0.68313118719999999</v>
      </c>
      <c r="G115" s="1">
        <v>5.2096927800000001</v>
      </c>
      <c r="H115" s="1">
        <v>0.26333300580000002</v>
      </c>
      <c r="I115" s="1">
        <v>88.753624880000004</v>
      </c>
      <c r="J115" s="1">
        <v>0.3564402606</v>
      </c>
      <c r="K115" s="1">
        <v>10.189934859999999</v>
      </c>
      <c r="L115" s="1">
        <v>0.7</v>
      </c>
      <c r="M115" s="1">
        <v>96.913510439999996</v>
      </c>
      <c r="N115" s="1">
        <v>0.88014287989999995</v>
      </c>
      <c r="O115" s="1">
        <v>2.206346677</v>
      </c>
      <c r="P115" s="1">
        <v>0</v>
      </c>
      <c r="Q115" s="2" t="str">
        <f t="shared" si="0"/>
        <v/>
      </c>
      <c r="R115" s="1" t="str">
        <f t="shared" si="1"/>
        <v/>
      </c>
      <c r="S115" s="1" t="str">
        <f t="shared" si="2"/>
        <v/>
      </c>
      <c r="T115" s="1" t="str">
        <f t="shared" si="3"/>
        <v/>
      </c>
      <c r="U115" s="1">
        <f t="shared" si="4"/>
        <v>94</v>
      </c>
    </row>
    <row r="116" spans="1:21">
      <c r="A116" s="1" t="s">
        <v>93</v>
      </c>
      <c r="B116" s="1">
        <v>2015</v>
      </c>
      <c r="C116" s="1">
        <v>76244.53125</v>
      </c>
      <c r="D116" s="1">
        <v>42.739997860000003</v>
      </c>
      <c r="E116" s="1">
        <v>42.718179970000001</v>
      </c>
      <c r="F116" s="1">
        <v>12.68729907</v>
      </c>
      <c r="G116" s="1">
        <v>34.284024770000002</v>
      </c>
      <c r="H116" s="1">
        <v>10.31049619</v>
      </c>
      <c r="I116" s="1">
        <v>20.6225138</v>
      </c>
      <c r="J116" s="1">
        <v>11.51689397</v>
      </c>
      <c r="K116" s="1">
        <v>51.009840029999999</v>
      </c>
      <c r="L116" s="1">
        <v>16.850752199999999</v>
      </c>
      <c r="M116" s="1">
        <v>72.320377789999995</v>
      </c>
      <c r="N116" s="1">
        <v>14.255324979999999</v>
      </c>
      <c r="O116" s="1">
        <v>11.87596826</v>
      </c>
      <c r="P116" s="1">
        <v>1.548328967</v>
      </c>
      <c r="Q116" s="2">
        <f t="shared" si="0"/>
        <v>5</v>
      </c>
      <c r="R116" s="1">
        <f t="shared" si="1"/>
        <v>0.6467893979999999</v>
      </c>
      <c r="S116" s="1">
        <f t="shared" si="2"/>
        <v>0.2720557079999999</v>
      </c>
      <c r="T116" s="1">
        <f t="shared" si="3"/>
        <v>0.43659539800000002</v>
      </c>
      <c r="U116" s="1">
        <f t="shared" si="4"/>
        <v>43</v>
      </c>
    </row>
    <row r="117" spans="1:21">
      <c r="A117" s="1" t="s">
        <v>93</v>
      </c>
      <c r="B117" s="1">
        <v>2020</v>
      </c>
      <c r="C117" s="1">
        <v>89561.40625</v>
      </c>
      <c r="D117" s="1">
        <v>45.638000490000003</v>
      </c>
      <c r="E117" s="1">
        <v>45.952126960000001</v>
      </c>
      <c r="F117" s="1">
        <v>13.44122447</v>
      </c>
      <c r="G117" s="1">
        <v>32.542316069999998</v>
      </c>
      <c r="H117" s="1">
        <v>8.0643324950000004</v>
      </c>
      <c r="I117" s="1">
        <v>21.98279234</v>
      </c>
      <c r="J117" s="1">
        <v>12.68294146</v>
      </c>
      <c r="K117" s="1">
        <v>51.215981669999998</v>
      </c>
      <c r="L117" s="1">
        <v>14.11828453</v>
      </c>
      <c r="M117" s="1">
        <v>74.503354779999995</v>
      </c>
      <c r="N117" s="1">
        <v>14.34445818</v>
      </c>
      <c r="O117" s="1">
        <v>10.29905862</v>
      </c>
      <c r="P117" s="1">
        <v>0.85312841309999998</v>
      </c>
      <c r="Q117" s="2" t="str">
        <f t="shared" si="0"/>
        <v/>
      </c>
      <c r="R117" s="1" t="str">
        <f t="shared" si="1"/>
        <v/>
      </c>
      <c r="S117" s="1" t="str">
        <f t="shared" si="2"/>
        <v/>
      </c>
      <c r="T117" s="1" t="str">
        <f t="shared" si="3"/>
        <v/>
      </c>
      <c r="U117" s="1">
        <f t="shared" si="4"/>
        <v>46</v>
      </c>
    </row>
    <row r="118" spans="1:21">
      <c r="A118" s="1" t="s">
        <v>94</v>
      </c>
      <c r="B118" s="1">
        <v>2015</v>
      </c>
      <c r="C118" s="1">
        <v>5688.6948240000002</v>
      </c>
      <c r="D118" s="1">
        <v>87.526000980000006</v>
      </c>
      <c r="E118" s="1">
        <v>99.99999785</v>
      </c>
      <c r="F118" s="1">
        <v>0</v>
      </c>
      <c r="G118" s="1">
        <v>2.1458404119999999E-6</v>
      </c>
      <c r="H118" s="1">
        <v>0</v>
      </c>
      <c r="I118" s="1">
        <v>100</v>
      </c>
      <c r="J118" s="1">
        <v>0</v>
      </c>
      <c r="K118" s="1">
        <v>0</v>
      </c>
      <c r="L118" s="1">
        <v>0</v>
      </c>
      <c r="M118" s="1">
        <v>100</v>
      </c>
      <c r="N118" s="1">
        <v>0</v>
      </c>
      <c r="O118" s="1">
        <v>0</v>
      </c>
      <c r="P118" s="1">
        <v>0</v>
      </c>
      <c r="Q118" s="2">
        <f t="shared" si="0"/>
        <v>5</v>
      </c>
      <c r="R118" s="1">
        <f t="shared" si="1"/>
        <v>6.5000000120107866E-7</v>
      </c>
      <c r="S118" s="1">
        <f t="shared" si="2"/>
        <v>0</v>
      </c>
      <c r="T118" s="1">
        <f t="shared" si="3"/>
        <v>0</v>
      </c>
      <c r="U118" s="1">
        <f t="shared" si="4"/>
        <v>100</v>
      </c>
    </row>
    <row r="119" spans="1:21">
      <c r="A119" s="1" t="s">
        <v>94</v>
      </c>
      <c r="B119" s="1">
        <v>2020</v>
      </c>
      <c r="C119" s="1">
        <v>5792.203125</v>
      </c>
      <c r="D119" s="1">
        <v>88.116004939999996</v>
      </c>
      <c r="E119" s="1">
        <v>100.00000110000001</v>
      </c>
      <c r="F119" s="1">
        <v>0</v>
      </c>
      <c r="G119" s="1">
        <v>0</v>
      </c>
      <c r="H119" s="1">
        <v>0</v>
      </c>
      <c r="I119" s="1">
        <v>100</v>
      </c>
      <c r="J119" s="1">
        <v>0</v>
      </c>
      <c r="K119" s="1">
        <v>0</v>
      </c>
      <c r="L119" s="1">
        <v>0</v>
      </c>
      <c r="M119" s="1">
        <v>100</v>
      </c>
      <c r="N119" s="1">
        <v>0</v>
      </c>
      <c r="O119" s="1">
        <v>0</v>
      </c>
      <c r="P119" s="1">
        <v>0</v>
      </c>
      <c r="Q119" s="2" t="str">
        <f t="shared" si="0"/>
        <v/>
      </c>
      <c r="R119" s="1" t="str">
        <f t="shared" si="1"/>
        <v/>
      </c>
      <c r="S119" s="1" t="str">
        <f t="shared" si="2"/>
        <v/>
      </c>
      <c r="T119" s="1" t="str">
        <f t="shared" si="3"/>
        <v/>
      </c>
      <c r="U119" s="1">
        <f t="shared" si="4"/>
        <v>100</v>
      </c>
    </row>
    <row r="120" spans="1:21">
      <c r="A120" s="1" t="s">
        <v>95</v>
      </c>
      <c r="B120" s="1">
        <v>2015</v>
      </c>
      <c r="C120" s="1">
        <v>913.99798580000004</v>
      </c>
      <c r="D120" s="1">
        <v>77.416992190000002</v>
      </c>
      <c r="E120" s="1">
        <v>75.787045030000002</v>
      </c>
      <c r="F120" s="1">
        <v>14.754171189999999</v>
      </c>
      <c r="G120" s="1">
        <v>7.3949239499999999</v>
      </c>
      <c r="H120" s="1">
        <v>2.0638598250000002</v>
      </c>
      <c r="I120" s="1">
        <v>48.759205090000002</v>
      </c>
      <c r="J120" s="1">
        <v>12.43877762</v>
      </c>
      <c r="K120" s="1">
        <v>30.377002539999999</v>
      </c>
      <c r="L120" s="1">
        <v>8.4250147539999993</v>
      </c>
      <c r="M120" s="1">
        <v>83.671229850000003</v>
      </c>
      <c r="N120" s="1">
        <v>15.42958572</v>
      </c>
      <c r="O120" s="1">
        <v>0.69091164790000004</v>
      </c>
      <c r="P120" s="1">
        <v>0.20827278539999999</v>
      </c>
      <c r="Q120" s="2">
        <f t="shared" si="0"/>
        <v>5</v>
      </c>
      <c r="R120" s="1">
        <f t="shared" si="1"/>
        <v>5.257503599999893E-2</v>
      </c>
      <c r="S120" s="1">
        <f t="shared" si="2"/>
        <v>-0.29569443200000051</v>
      </c>
      <c r="T120" s="1">
        <f t="shared" si="3"/>
        <v>9.2757015999998776E-2</v>
      </c>
      <c r="U120" s="1">
        <f t="shared" si="4"/>
        <v>76</v>
      </c>
    </row>
    <row r="121" spans="1:21">
      <c r="A121" s="1" t="s">
        <v>95</v>
      </c>
      <c r="B121" s="1">
        <v>2020</v>
      </c>
      <c r="C121" s="1">
        <v>988.00201419999996</v>
      </c>
      <c r="D121" s="1">
        <v>78.061996460000003</v>
      </c>
      <c r="E121" s="1">
        <v>76.049920209999996</v>
      </c>
      <c r="F121" s="1">
        <v>14.7574817</v>
      </c>
      <c r="G121" s="1">
        <v>7.0158760510000002</v>
      </c>
      <c r="H121" s="1">
        <v>2.1767220379999999</v>
      </c>
      <c r="I121" s="1">
        <v>47.280732929999999</v>
      </c>
      <c r="J121" s="1">
        <v>12.061610140000001</v>
      </c>
      <c r="K121" s="1">
        <v>30.735504679999998</v>
      </c>
      <c r="L121" s="1">
        <v>9.9221522489999998</v>
      </c>
      <c r="M121" s="1">
        <v>84.135014929999997</v>
      </c>
      <c r="N121" s="1">
        <v>15.51511107</v>
      </c>
      <c r="O121" s="1">
        <v>0.34987400289999998</v>
      </c>
      <c r="P121" s="1">
        <v>0</v>
      </c>
      <c r="Q121" s="2" t="str">
        <f t="shared" si="0"/>
        <v/>
      </c>
      <c r="R121" s="1" t="str">
        <f t="shared" si="1"/>
        <v/>
      </c>
      <c r="S121" s="1" t="str">
        <f t="shared" si="2"/>
        <v/>
      </c>
      <c r="T121" s="1" t="str">
        <f t="shared" si="3"/>
        <v/>
      </c>
      <c r="U121" s="1">
        <f t="shared" si="4"/>
        <v>76</v>
      </c>
    </row>
    <row r="122" spans="1:21">
      <c r="A122" s="1" t="s">
        <v>96</v>
      </c>
      <c r="B122" s="1">
        <v>2015</v>
      </c>
      <c r="C122" s="1">
        <v>71.175003050000001</v>
      </c>
      <c r="D122" s="1">
        <v>69.578994750000007</v>
      </c>
      <c r="E122" s="1">
        <v>95.420656059999999</v>
      </c>
      <c r="F122" s="1">
        <v>0</v>
      </c>
      <c r="G122" s="1">
        <v>4.579343937</v>
      </c>
      <c r="H122" s="1">
        <v>0</v>
      </c>
      <c r="I122" s="1" t="s">
        <v>272</v>
      </c>
      <c r="J122" s="1" t="s">
        <v>272</v>
      </c>
      <c r="K122" s="1" t="s">
        <v>272</v>
      </c>
      <c r="L122" s="1" t="s">
        <v>272</v>
      </c>
      <c r="M122" s="1" t="s">
        <v>272</v>
      </c>
      <c r="N122" s="1" t="s">
        <v>272</v>
      </c>
      <c r="O122" s="1" t="s">
        <v>272</v>
      </c>
      <c r="P122" s="1" t="s">
        <v>272</v>
      </c>
      <c r="Q122" s="2">
        <f t="shared" si="0"/>
        <v>2</v>
      </c>
      <c r="R122" s="1">
        <f t="shared" si="1"/>
        <v>0</v>
      </c>
      <c r="S122" s="1" t="str">
        <f t="shared" si="2"/>
        <v>null</v>
      </c>
      <c r="T122" s="1" t="str">
        <f t="shared" si="3"/>
        <v>null</v>
      </c>
      <c r="U122" s="1">
        <f t="shared" si="4"/>
        <v>95</v>
      </c>
    </row>
    <row r="123" spans="1:21">
      <c r="A123" s="1" t="s">
        <v>96</v>
      </c>
      <c r="B123" s="1">
        <v>2017</v>
      </c>
      <c r="C123" s="1">
        <v>71.459999080000003</v>
      </c>
      <c r="D123" s="1">
        <v>70.180999760000006</v>
      </c>
      <c r="E123" s="1">
        <v>95.420656059999999</v>
      </c>
      <c r="F123" s="1">
        <v>0</v>
      </c>
      <c r="G123" s="1">
        <v>4.579343937</v>
      </c>
      <c r="H123" s="1">
        <v>0</v>
      </c>
      <c r="I123" s="1" t="s">
        <v>272</v>
      </c>
      <c r="J123" s="1" t="s">
        <v>272</v>
      </c>
      <c r="K123" s="1" t="s">
        <v>272</v>
      </c>
      <c r="L123" s="1" t="s">
        <v>272</v>
      </c>
      <c r="M123" s="1" t="s">
        <v>272</v>
      </c>
      <c r="N123" s="1" t="s">
        <v>272</v>
      </c>
      <c r="O123" s="1" t="s">
        <v>272</v>
      </c>
      <c r="P123" s="1" t="s">
        <v>272</v>
      </c>
      <c r="Q123" s="2" t="str">
        <f t="shared" si="0"/>
        <v/>
      </c>
      <c r="R123" s="1" t="str">
        <f t="shared" si="1"/>
        <v/>
      </c>
      <c r="S123" s="1" t="str">
        <f t="shared" si="2"/>
        <v/>
      </c>
      <c r="T123" s="1" t="str">
        <f t="shared" si="3"/>
        <v/>
      </c>
      <c r="U123" s="1">
        <f t="shared" si="4"/>
        <v>95</v>
      </c>
    </row>
    <row r="124" spans="1:21">
      <c r="A124" s="1" t="s">
        <v>97</v>
      </c>
      <c r="B124" s="1">
        <v>2015</v>
      </c>
      <c r="C124" s="1">
        <v>10281.674800000001</v>
      </c>
      <c r="D124" s="1">
        <v>78.566001889999995</v>
      </c>
      <c r="E124" s="1">
        <v>96.099338500000002</v>
      </c>
      <c r="F124" s="1">
        <v>0.69521221550000001</v>
      </c>
      <c r="G124" s="1">
        <v>1.5505944979999999</v>
      </c>
      <c r="H124" s="1">
        <v>1.654854791</v>
      </c>
      <c r="I124" s="1">
        <v>89.211043779999997</v>
      </c>
      <c r="J124" s="1">
        <v>1.8228771610000001</v>
      </c>
      <c r="K124" s="1">
        <v>2.4418886230000001</v>
      </c>
      <c r="L124" s="1">
        <v>6.5241904399999999</v>
      </c>
      <c r="M124" s="1">
        <v>97.978569809999996</v>
      </c>
      <c r="N124" s="1">
        <v>0.3875681084</v>
      </c>
      <c r="O124" s="1">
        <v>1.3074359369999999</v>
      </c>
      <c r="P124" s="1">
        <v>0.32642614349999999</v>
      </c>
      <c r="Q124" s="2">
        <f t="shared" si="0"/>
        <v>5</v>
      </c>
      <c r="R124" s="1">
        <f t="shared" si="1"/>
        <v>0.11749468399999899</v>
      </c>
      <c r="S124" s="1">
        <f t="shared" si="2"/>
        <v>0.21868411800000159</v>
      </c>
      <c r="T124" s="1">
        <f t="shared" si="3"/>
        <v>1.1664354000001254E-2</v>
      </c>
      <c r="U124" s="1">
        <f t="shared" si="4"/>
        <v>96</v>
      </c>
    </row>
    <row r="125" spans="1:21">
      <c r="A125" s="1" t="s">
        <v>97</v>
      </c>
      <c r="B125" s="1">
        <v>2020</v>
      </c>
      <c r="C125" s="1">
        <v>10847.9043</v>
      </c>
      <c r="D125" s="1">
        <v>82.540000919999997</v>
      </c>
      <c r="E125" s="1">
        <v>96.686811919999997</v>
      </c>
      <c r="F125" s="1">
        <v>0.46703865039999998</v>
      </c>
      <c r="G125" s="1">
        <v>1.2694287829999999</v>
      </c>
      <c r="H125" s="1">
        <v>1.5767206439999999</v>
      </c>
      <c r="I125" s="1">
        <v>90.304464370000005</v>
      </c>
      <c r="J125" s="1">
        <v>1.3853155079999999</v>
      </c>
      <c r="K125" s="1">
        <v>1.1151181269999999</v>
      </c>
      <c r="L125" s="1">
        <v>7.1951019909999996</v>
      </c>
      <c r="M125" s="1">
        <v>98.036891580000002</v>
      </c>
      <c r="N125" s="1">
        <v>0.27279203590000001</v>
      </c>
      <c r="O125" s="1">
        <v>1.3020733959999999</v>
      </c>
      <c r="P125" s="1">
        <v>0.38824299220000003</v>
      </c>
      <c r="Q125" s="2" t="str">
        <f t="shared" si="0"/>
        <v/>
      </c>
      <c r="R125" s="1" t="str">
        <f t="shared" si="1"/>
        <v/>
      </c>
      <c r="S125" s="1" t="str">
        <f t="shared" si="2"/>
        <v/>
      </c>
      <c r="T125" s="1" t="str">
        <f t="shared" si="3"/>
        <v/>
      </c>
      <c r="U125" s="1">
        <f t="shared" si="4"/>
        <v>97</v>
      </c>
    </row>
    <row r="126" spans="1:21">
      <c r="A126" s="1" t="s">
        <v>98</v>
      </c>
      <c r="B126" s="1">
        <v>2015</v>
      </c>
      <c r="C126" s="1">
        <v>16212.02246</v>
      </c>
      <c r="D126" s="1">
        <v>63.397998809999997</v>
      </c>
      <c r="E126" s="1">
        <v>93.063779499999995</v>
      </c>
      <c r="F126" s="1">
        <v>0.19976017630000001</v>
      </c>
      <c r="G126" s="1">
        <v>3.1195651139999998</v>
      </c>
      <c r="H126" s="1">
        <v>3.6168952120000002</v>
      </c>
      <c r="I126" s="1">
        <v>82.552481950000001</v>
      </c>
      <c r="J126" s="1">
        <v>0.445629255</v>
      </c>
      <c r="K126" s="1">
        <v>7.379055031</v>
      </c>
      <c r="L126" s="1">
        <v>9.6228337600000007</v>
      </c>
      <c r="M126" s="1">
        <v>99.132339200000004</v>
      </c>
      <c r="N126" s="1">
        <v>5.7810890199999999E-2</v>
      </c>
      <c r="O126" s="1">
        <v>0.66040450689999997</v>
      </c>
      <c r="P126" s="1">
        <v>0.14944540680000001</v>
      </c>
      <c r="Q126" s="2">
        <f t="shared" si="0"/>
        <v>5</v>
      </c>
      <c r="R126" s="1">
        <f t="shared" si="1"/>
        <v>0.45919681200000184</v>
      </c>
      <c r="S126" s="1">
        <f t="shared" si="2"/>
        <v>0.89965259999999891</v>
      </c>
      <c r="T126" s="1">
        <f t="shared" si="3"/>
        <v>0.17353215999999919</v>
      </c>
      <c r="U126" s="1">
        <f t="shared" si="4"/>
        <v>93</v>
      </c>
    </row>
    <row r="127" spans="1:21">
      <c r="A127" s="1" t="s">
        <v>98</v>
      </c>
      <c r="B127" s="1">
        <v>2020</v>
      </c>
      <c r="C127" s="1">
        <v>17643.060549999998</v>
      </c>
      <c r="D127" s="1">
        <v>64.166000370000006</v>
      </c>
      <c r="E127" s="1">
        <v>95.359763560000005</v>
      </c>
      <c r="F127" s="1">
        <v>3.451463449E-3</v>
      </c>
      <c r="G127" s="1">
        <v>2.6044853890000002</v>
      </c>
      <c r="H127" s="1">
        <v>2.032299589</v>
      </c>
      <c r="I127" s="1">
        <v>87.050744949999995</v>
      </c>
      <c r="J127" s="1">
        <v>9.6318110219999996E-3</v>
      </c>
      <c r="K127" s="1">
        <v>7.2681954900000001</v>
      </c>
      <c r="L127" s="1">
        <v>5.6714277470000001</v>
      </c>
      <c r="M127" s="1">
        <v>100</v>
      </c>
      <c r="N127" s="1">
        <v>0</v>
      </c>
      <c r="O127" s="1">
        <v>0</v>
      </c>
      <c r="P127" s="1">
        <v>0</v>
      </c>
      <c r="Q127" s="2" t="str">
        <f t="shared" si="0"/>
        <v/>
      </c>
      <c r="R127" s="1" t="str">
        <f t="shared" si="1"/>
        <v/>
      </c>
      <c r="S127" s="1" t="str">
        <f t="shared" si="2"/>
        <v/>
      </c>
      <c r="T127" s="1" t="str">
        <f t="shared" si="3"/>
        <v/>
      </c>
      <c r="U127" s="1">
        <f t="shared" si="4"/>
        <v>95</v>
      </c>
    </row>
    <row r="128" spans="1:21">
      <c r="A128" s="1" t="s">
        <v>99</v>
      </c>
      <c r="B128" s="1">
        <v>2015</v>
      </c>
      <c r="C128" s="1">
        <v>92442.546879999994</v>
      </c>
      <c r="D128" s="1">
        <v>42.784999849999998</v>
      </c>
      <c r="E128" s="1">
        <v>99.106717540000005</v>
      </c>
      <c r="F128" s="1">
        <v>0.28637254010000002</v>
      </c>
      <c r="G128" s="1">
        <v>0.59343982930000005</v>
      </c>
      <c r="H128" s="1">
        <v>1.347009398E-2</v>
      </c>
      <c r="I128" s="1">
        <v>98.801877919999995</v>
      </c>
      <c r="J128" s="1">
        <v>0.41034629639999998</v>
      </c>
      <c r="K128" s="1">
        <v>0.76423283809999998</v>
      </c>
      <c r="L128" s="1">
        <v>2.3542941179999999E-2</v>
      </c>
      <c r="M128" s="1">
        <v>99.514369729999999</v>
      </c>
      <c r="N128" s="1">
        <v>0.12058643080000001</v>
      </c>
      <c r="O128" s="1">
        <v>0.36504384220000002</v>
      </c>
      <c r="P128" s="1">
        <v>0</v>
      </c>
      <c r="Q128" s="2">
        <f t="shared" si="0"/>
        <v>5</v>
      </c>
      <c r="R128" s="1">
        <f t="shared" si="1"/>
        <v>6.669168399999989E-2</v>
      </c>
      <c r="S128" s="1">
        <f t="shared" si="2"/>
        <v>0.1061914459999997</v>
      </c>
      <c r="T128" s="1">
        <f t="shared" si="3"/>
        <v>1.3872273999999152E-2</v>
      </c>
      <c r="U128" s="1">
        <f t="shared" si="4"/>
        <v>99</v>
      </c>
    </row>
    <row r="129" spans="1:21">
      <c r="A129" s="1" t="s">
        <v>99</v>
      </c>
      <c r="B129" s="1">
        <v>2020</v>
      </c>
      <c r="C129" s="1">
        <v>102334.4063</v>
      </c>
      <c r="D129" s="1">
        <v>42.783000950000002</v>
      </c>
      <c r="E129" s="1">
        <v>99.440175960000005</v>
      </c>
      <c r="F129" s="1">
        <v>0.23760910860000001</v>
      </c>
      <c r="G129" s="1">
        <v>0.3222149265</v>
      </c>
      <c r="H129" s="1">
        <v>0</v>
      </c>
      <c r="I129" s="1">
        <v>99.332835149999994</v>
      </c>
      <c r="J129" s="1">
        <v>0.33594182239999998</v>
      </c>
      <c r="K129" s="1">
        <v>0.33122303190000002</v>
      </c>
      <c r="L129" s="1">
        <v>0</v>
      </c>
      <c r="M129" s="1">
        <v>99.583731099999994</v>
      </c>
      <c r="N129" s="1">
        <v>0.10610120670000001</v>
      </c>
      <c r="O129" s="1">
        <v>0.31016769430000002</v>
      </c>
      <c r="P129" s="1">
        <v>0</v>
      </c>
      <c r="Q129" s="2" t="str">
        <f t="shared" si="0"/>
        <v/>
      </c>
      <c r="R129" s="1" t="str">
        <f t="shared" si="1"/>
        <v/>
      </c>
      <c r="S129" s="1" t="str">
        <f t="shared" si="2"/>
        <v/>
      </c>
      <c r="T129" s="1" t="str">
        <f t="shared" si="3"/>
        <v/>
      </c>
      <c r="U129" s="1">
        <f t="shared" si="4"/>
        <v>99</v>
      </c>
    </row>
    <row r="130" spans="1:21">
      <c r="A130" s="1" t="s">
        <v>100</v>
      </c>
      <c r="B130" s="1">
        <v>2015</v>
      </c>
      <c r="C130" s="1">
        <v>6325.1210940000001</v>
      </c>
      <c r="D130" s="1">
        <v>69.699996949999999</v>
      </c>
      <c r="E130" s="1">
        <v>95.562137739999997</v>
      </c>
      <c r="F130" s="1">
        <v>0.58047977699999997</v>
      </c>
      <c r="G130" s="1">
        <v>1.1619505450000001</v>
      </c>
      <c r="H130" s="1">
        <v>2.6954319419999999</v>
      </c>
      <c r="I130" s="1">
        <v>87.961214319999996</v>
      </c>
      <c r="J130" s="1">
        <v>1.734743718</v>
      </c>
      <c r="K130" s="1">
        <v>2.4810339560000001</v>
      </c>
      <c r="L130" s="1">
        <v>7.8230080050000002</v>
      </c>
      <c r="M130" s="1">
        <v>98.866417850000005</v>
      </c>
      <c r="N130" s="1">
        <v>7.8697977569999994E-2</v>
      </c>
      <c r="O130" s="1">
        <v>0.58851288960000003</v>
      </c>
      <c r="P130" s="1">
        <v>0.4663712861</v>
      </c>
      <c r="Q130" s="2">
        <f t="shared" si="0"/>
        <v>5</v>
      </c>
      <c r="R130" s="1">
        <f t="shared" si="1"/>
        <v>0.47688753399999939</v>
      </c>
      <c r="S130" s="1">
        <f t="shared" si="2"/>
        <v>1.0986361520000003</v>
      </c>
      <c r="T130" s="1">
        <f t="shared" si="3"/>
        <v>0.14089043199999765</v>
      </c>
      <c r="U130" s="1">
        <f t="shared" si="4"/>
        <v>96</v>
      </c>
    </row>
    <row r="131" spans="1:21">
      <c r="A131" s="1" t="s">
        <v>100</v>
      </c>
      <c r="B131" s="1">
        <v>2020</v>
      </c>
      <c r="C131" s="1">
        <v>6486.201172</v>
      </c>
      <c r="D131" s="1">
        <v>73.444000239999994</v>
      </c>
      <c r="E131" s="1">
        <v>97.946575409999994</v>
      </c>
      <c r="F131" s="1">
        <v>0.20726323190000001</v>
      </c>
      <c r="G131" s="1">
        <v>0.31517399689999998</v>
      </c>
      <c r="H131" s="1">
        <v>1.530987366</v>
      </c>
      <c r="I131" s="1">
        <v>93.454395079999998</v>
      </c>
      <c r="J131" s="1">
        <v>0.78047620490000003</v>
      </c>
      <c r="K131" s="1">
        <v>0</v>
      </c>
      <c r="L131" s="1">
        <v>5.7651287120000001</v>
      </c>
      <c r="M131" s="1">
        <v>99.570870009999993</v>
      </c>
      <c r="N131" s="1">
        <v>0</v>
      </c>
      <c r="O131" s="1">
        <v>0.42912999439999999</v>
      </c>
      <c r="P131" s="1">
        <v>0</v>
      </c>
      <c r="Q131" s="2" t="str">
        <f t="shared" si="0"/>
        <v/>
      </c>
      <c r="R131" s="1" t="str">
        <f t="shared" si="1"/>
        <v/>
      </c>
      <c r="S131" s="1" t="str">
        <f t="shared" si="2"/>
        <v/>
      </c>
      <c r="T131" s="1" t="str">
        <f t="shared" si="3"/>
        <v/>
      </c>
      <c r="U131" s="1">
        <f t="shared" si="4"/>
        <v>98</v>
      </c>
    </row>
    <row r="132" spans="1:21">
      <c r="A132" s="1" t="s">
        <v>101</v>
      </c>
      <c r="B132" s="1">
        <v>2015</v>
      </c>
      <c r="C132" s="1">
        <v>1168.5749510000001</v>
      </c>
      <c r="D132" s="1">
        <v>70.616004939999996</v>
      </c>
      <c r="E132" s="1">
        <v>64.178601650000004</v>
      </c>
      <c r="F132" s="1">
        <v>2.9349338359999999</v>
      </c>
      <c r="G132" s="1">
        <v>26.328798880000001</v>
      </c>
      <c r="H132" s="1">
        <v>6.5576656309999999</v>
      </c>
      <c r="I132" s="1">
        <v>30.775369319999999</v>
      </c>
      <c r="J132" s="1">
        <v>1.353579774</v>
      </c>
      <c r="K132" s="1">
        <v>46.286056360000003</v>
      </c>
      <c r="L132" s="1">
        <v>21.584994550000001</v>
      </c>
      <c r="M132" s="1">
        <v>78.07800598</v>
      </c>
      <c r="N132" s="1">
        <v>3.5929503829999998</v>
      </c>
      <c r="O132" s="1">
        <v>18.02439455</v>
      </c>
      <c r="P132" s="1">
        <v>0.30464909089999997</v>
      </c>
      <c r="Q132" s="2">
        <f t="shared" si="0"/>
        <v>2</v>
      </c>
      <c r="R132" s="1">
        <f t="shared" si="1"/>
        <v>0.24360720499999644</v>
      </c>
      <c r="S132" s="1">
        <f t="shared" si="2"/>
        <v>0</v>
      </c>
      <c r="T132" s="1">
        <f t="shared" si="3"/>
        <v>0</v>
      </c>
      <c r="U132" s="1">
        <f t="shared" si="4"/>
        <v>64</v>
      </c>
    </row>
    <row r="133" spans="1:21">
      <c r="A133" s="1" t="s">
        <v>101</v>
      </c>
      <c r="B133" s="1">
        <v>2017</v>
      </c>
      <c r="C133" s="1">
        <v>1262.008057</v>
      </c>
      <c r="D133" s="1">
        <v>71.645996089999997</v>
      </c>
      <c r="E133" s="1">
        <v>64.665816059999997</v>
      </c>
      <c r="F133" s="1">
        <v>2.957999225</v>
      </c>
      <c r="G133" s="1">
        <v>26.037706329999999</v>
      </c>
      <c r="H133" s="1">
        <v>6.3384783860000002</v>
      </c>
      <c r="I133" s="1">
        <v>30.775369319999999</v>
      </c>
      <c r="J133" s="1">
        <v>1.353579774</v>
      </c>
      <c r="K133" s="1">
        <v>46.286056360000003</v>
      </c>
      <c r="L133" s="1">
        <v>21.584994550000001</v>
      </c>
      <c r="M133" s="1">
        <v>78.07800598</v>
      </c>
      <c r="N133" s="1">
        <v>3.5929503829999998</v>
      </c>
      <c r="O133" s="1">
        <v>18.02439455</v>
      </c>
      <c r="P133" s="1">
        <v>0.30464909089999997</v>
      </c>
      <c r="Q133" s="2" t="str">
        <f t="shared" si="0"/>
        <v/>
      </c>
      <c r="R133" s="1" t="str">
        <f t="shared" si="1"/>
        <v/>
      </c>
      <c r="S133" s="1" t="str">
        <f t="shared" si="2"/>
        <v/>
      </c>
      <c r="T133" s="1" t="str">
        <f t="shared" si="3"/>
        <v/>
      </c>
      <c r="U133" s="1">
        <f t="shared" si="4"/>
        <v>65</v>
      </c>
    </row>
    <row r="134" spans="1:21">
      <c r="A134" s="1" t="s">
        <v>102</v>
      </c>
      <c r="B134" s="1">
        <v>2015</v>
      </c>
      <c r="C134" s="1">
        <v>3342.818115</v>
      </c>
      <c r="D134" s="1">
        <v>38.206001280000002</v>
      </c>
      <c r="E134" s="1">
        <v>51.465093529999997</v>
      </c>
      <c r="F134" s="1">
        <v>17.707633340000001</v>
      </c>
      <c r="G134" s="1">
        <v>13.55609825</v>
      </c>
      <c r="H134" s="1">
        <v>17.27117488</v>
      </c>
      <c r="I134" s="1">
        <v>27.801576470000001</v>
      </c>
      <c r="J134" s="1">
        <v>24.49842353</v>
      </c>
      <c r="K134" s="1">
        <v>20.074999999999999</v>
      </c>
      <c r="L134" s="1">
        <v>27.625</v>
      </c>
      <c r="M134" s="1">
        <v>89.738224529999997</v>
      </c>
      <c r="N134" s="1">
        <v>6.7242754739999997</v>
      </c>
      <c r="O134" s="1">
        <v>3.0125000000000002</v>
      </c>
      <c r="P134" s="1">
        <v>0.52500000000000002</v>
      </c>
      <c r="Q134" s="2">
        <f t="shared" si="0"/>
        <v>1</v>
      </c>
      <c r="R134" s="1">
        <f t="shared" si="1"/>
        <v>0.38462665000000129</v>
      </c>
      <c r="S134" s="1">
        <f t="shared" si="2"/>
        <v>0</v>
      </c>
      <c r="T134" s="1">
        <f t="shared" si="3"/>
        <v>0</v>
      </c>
      <c r="U134" s="1">
        <f t="shared" si="4"/>
        <v>51</v>
      </c>
    </row>
    <row r="135" spans="1:21">
      <c r="A135" s="1" t="s">
        <v>102</v>
      </c>
      <c r="B135" s="1">
        <v>2016</v>
      </c>
      <c r="C135" s="1">
        <v>3376.5581050000001</v>
      </c>
      <c r="D135" s="1">
        <v>38.826999659999998</v>
      </c>
      <c r="E135" s="1">
        <v>51.849720179999998</v>
      </c>
      <c r="F135" s="1">
        <v>17.59725585</v>
      </c>
      <c r="G135" s="1">
        <v>13.45014014</v>
      </c>
      <c r="H135" s="1">
        <v>17.102883840000001</v>
      </c>
      <c r="I135" s="1">
        <v>27.801576470000001</v>
      </c>
      <c r="J135" s="1">
        <v>24.49842353</v>
      </c>
      <c r="K135" s="1">
        <v>20.074999999999999</v>
      </c>
      <c r="L135" s="1">
        <v>27.625</v>
      </c>
      <c r="M135" s="1">
        <v>89.738224529999997</v>
      </c>
      <c r="N135" s="1">
        <v>6.7242754739999997</v>
      </c>
      <c r="O135" s="1">
        <v>3.0125000000000002</v>
      </c>
      <c r="P135" s="1">
        <v>0.52500000000000002</v>
      </c>
      <c r="Q135" s="2" t="str">
        <f t="shared" si="0"/>
        <v/>
      </c>
      <c r="R135" s="1" t="str">
        <f t="shared" si="1"/>
        <v/>
      </c>
      <c r="S135" s="1" t="str">
        <f t="shared" si="2"/>
        <v/>
      </c>
      <c r="T135" s="1" t="str">
        <f t="shared" si="3"/>
        <v/>
      </c>
      <c r="U135" s="1">
        <f t="shared" si="4"/>
        <v>52</v>
      </c>
    </row>
    <row r="136" spans="1:21">
      <c r="A136" s="1" t="s">
        <v>103</v>
      </c>
      <c r="B136" s="1">
        <v>2015</v>
      </c>
      <c r="C136" s="1">
        <v>1315.329956</v>
      </c>
      <c r="D136" s="1">
        <v>68.416000370000006</v>
      </c>
      <c r="E136" s="1">
        <v>99.751307569999994</v>
      </c>
      <c r="F136" s="1">
        <v>0</v>
      </c>
      <c r="G136" s="1">
        <v>0.24869242890000001</v>
      </c>
      <c r="H136" s="1">
        <v>0</v>
      </c>
      <c r="I136" s="1">
        <v>99.244115809999997</v>
      </c>
      <c r="J136" s="1">
        <v>0</v>
      </c>
      <c r="K136" s="1">
        <v>0.75588419029999998</v>
      </c>
      <c r="L136" s="1">
        <v>0</v>
      </c>
      <c r="M136" s="1">
        <v>99.98545421</v>
      </c>
      <c r="N136" s="1">
        <v>0</v>
      </c>
      <c r="O136" s="1">
        <v>1.454579307E-2</v>
      </c>
      <c r="P136" s="1">
        <v>0</v>
      </c>
      <c r="Q136" s="2">
        <f t="shared" si="0"/>
        <v>5</v>
      </c>
      <c r="R136" s="1">
        <f t="shared" si="1"/>
        <v>-3.2105157999998822E-2</v>
      </c>
      <c r="S136" s="1" t="str">
        <f t="shared" si="2"/>
        <v>null</v>
      </c>
      <c r="T136" s="1">
        <f t="shared" si="3"/>
        <v>0</v>
      </c>
      <c r="U136" s="1">
        <f t="shared" si="4"/>
        <v>100</v>
      </c>
    </row>
    <row r="137" spans="1:21">
      <c r="A137" s="1" t="s">
        <v>103</v>
      </c>
      <c r="B137" s="1">
        <v>2020</v>
      </c>
      <c r="C137" s="1">
        <v>1326.5389399999999</v>
      </c>
      <c r="D137" s="1">
        <v>69.229003910000003</v>
      </c>
      <c r="E137" s="1">
        <v>99.59078178</v>
      </c>
      <c r="F137" s="1">
        <v>0</v>
      </c>
      <c r="G137" s="1">
        <v>0.40921822320000001</v>
      </c>
      <c r="H137" s="1">
        <v>0</v>
      </c>
      <c r="I137" s="1" t="s">
        <v>272</v>
      </c>
      <c r="J137" s="1" t="s">
        <v>272</v>
      </c>
      <c r="K137" s="1" t="s">
        <v>272</v>
      </c>
      <c r="L137" s="1" t="s">
        <v>272</v>
      </c>
      <c r="M137" s="1">
        <v>99.98545421</v>
      </c>
      <c r="N137" s="1">
        <v>0</v>
      </c>
      <c r="O137" s="1">
        <v>1.454579307E-2</v>
      </c>
      <c r="P137" s="1">
        <v>0</v>
      </c>
      <c r="Q137" s="2" t="str">
        <f t="shared" si="0"/>
        <v/>
      </c>
      <c r="R137" s="1" t="str">
        <f t="shared" si="1"/>
        <v/>
      </c>
      <c r="S137" s="1" t="str">
        <f t="shared" si="2"/>
        <v/>
      </c>
      <c r="T137" s="1" t="str">
        <f t="shared" si="3"/>
        <v/>
      </c>
      <c r="U137" s="1">
        <f t="shared" si="4"/>
        <v>100</v>
      </c>
    </row>
    <row r="138" spans="1:21">
      <c r="A138" s="1" t="s">
        <v>104</v>
      </c>
      <c r="B138" s="1">
        <v>2015</v>
      </c>
      <c r="C138" s="1">
        <v>1104.0379640000001</v>
      </c>
      <c r="D138" s="1">
        <v>23.299999239999998</v>
      </c>
      <c r="E138" s="1">
        <v>66.703955219999997</v>
      </c>
      <c r="F138" s="1">
        <v>8.7676173330000005</v>
      </c>
      <c r="G138" s="1">
        <v>10.89011026</v>
      </c>
      <c r="H138" s="1">
        <v>13.63831719</v>
      </c>
      <c r="I138" s="1">
        <v>58.124984900000001</v>
      </c>
      <c r="J138" s="1">
        <v>11.182049299999999</v>
      </c>
      <c r="K138" s="1">
        <v>13.43987898</v>
      </c>
      <c r="L138" s="1">
        <v>17.253086830000001</v>
      </c>
      <c r="M138" s="1">
        <v>94.944600129999998</v>
      </c>
      <c r="N138" s="1">
        <v>0.81968032219999998</v>
      </c>
      <c r="O138" s="1">
        <v>2.4966655609999999</v>
      </c>
      <c r="P138" s="1">
        <v>1.7390539899999999</v>
      </c>
      <c r="Q138" s="2">
        <f t="shared" si="0"/>
        <v>5</v>
      </c>
      <c r="R138" s="1">
        <f t="shared" si="1"/>
        <v>0.80982314599999938</v>
      </c>
      <c r="S138" s="1">
        <f t="shared" si="2"/>
        <v>0.86829276799999922</v>
      </c>
      <c r="T138" s="1">
        <f t="shared" si="3"/>
        <v>0.36103258400000016</v>
      </c>
      <c r="U138" s="1">
        <f t="shared" si="4"/>
        <v>67</v>
      </c>
    </row>
    <row r="139" spans="1:21">
      <c r="A139" s="1" t="s">
        <v>104</v>
      </c>
      <c r="B139" s="1">
        <v>2020</v>
      </c>
      <c r="C139" s="1">
        <v>1160.1639399999999</v>
      </c>
      <c r="D139" s="1">
        <v>24.17100143</v>
      </c>
      <c r="E139" s="1">
        <v>70.753070949999994</v>
      </c>
      <c r="F139" s="1">
        <v>9.5070671630000003</v>
      </c>
      <c r="G139" s="1">
        <v>9.8355679309999999</v>
      </c>
      <c r="H139" s="1">
        <v>9.9042939590000003</v>
      </c>
      <c r="I139" s="1">
        <v>62.466448739999997</v>
      </c>
      <c r="J139" s="1">
        <v>12.29969513</v>
      </c>
      <c r="K139" s="1">
        <v>12.45046093</v>
      </c>
      <c r="L139" s="1">
        <v>12.78339519</v>
      </c>
      <c r="M139" s="1">
        <v>96.749763049999999</v>
      </c>
      <c r="N139" s="1">
        <v>0.74606447310000001</v>
      </c>
      <c r="O139" s="1">
        <v>1.6321642439999999</v>
      </c>
      <c r="P139" s="1">
        <v>0.8720082294</v>
      </c>
      <c r="Q139" s="2" t="str">
        <f t="shared" si="0"/>
        <v/>
      </c>
      <c r="R139" s="1" t="str">
        <f t="shared" si="1"/>
        <v/>
      </c>
      <c r="S139" s="1" t="str">
        <f t="shared" si="2"/>
        <v/>
      </c>
      <c r="T139" s="1" t="str">
        <f t="shared" si="3"/>
        <v/>
      </c>
      <c r="U139" s="1">
        <f t="shared" si="4"/>
        <v>71</v>
      </c>
    </row>
    <row r="140" spans="1:21">
      <c r="A140" s="1" t="s">
        <v>105</v>
      </c>
      <c r="B140" s="1">
        <v>2015</v>
      </c>
      <c r="C140" s="1">
        <v>100835.4531</v>
      </c>
      <c r="D140" s="1">
        <v>19.428001399999999</v>
      </c>
      <c r="E140" s="1">
        <v>42.070067199999997</v>
      </c>
      <c r="F140" s="1">
        <v>21.738790269999999</v>
      </c>
      <c r="G140" s="1">
        <v>24.477856150000001</v>
      </c>
      <c r="H140" s="1">
        <v>11.71328639</v>
      </c>
      <c r="I140" s="1">
        <v>32.451767429999997</v>
      </c>
      <c r="J140" s="1">
        <v>23.598552099999999</v>
      </c>
      <c r="K140" s="1">
        <v>29.78155581</v>
      </c>
      <c r="L140" s="1">
        <v>14.168124669999999</v>
      </c>
      <c r="M140" s="1">
        <v>81.959176540000001</v>
      </c>
      <c r="N140" s="1">
        <v>14.02596733</v>
      </c>
      <c r="O140" s="1">
        <v>2.4822996910000001</v>
      </c>
      <c r="P140" s="1">
        <v>1.5325564389999999</v>
      </c>
      <c r="Q140" s="2">
        <f t="shared" si="0"/>
        <v>5</v>
      </c>
      <c r="R140" s="1">
        <f t="shared" si="1"/>
        <v>1.5091011080000001</v>
      </c>
      <c r="S140" s="1">
        <f t="shared" si="2"/>
        <v>1.5156743520000007</v>
      </c>
      <c r="T140" s="1">
        <f t="shared" si="3"/>
        <v>0.4507303239999999</v>
      </c>
      <c r="U140" s="1">
        <f t="shared" si="4"/>
        <v>42</v>
      </c>
    </row>
    <row r="141" spans="1:21">
      <c r="A141" s="1" t="s">
        <v>105</v>
      </c>
      <c r="B141" s="1">
        <v>2020</v>
      </c>
      <c r="C141" s="1">
        <v>114963.58590000001</v>
      </c>
      <c r="D141" s="1">
        <v>21.69499969</v>
      </c>
      <c r="E141" s="1">
        <v>49.615572739999998</v>
      </c>
      <c r="F141" s="1">
        <v>26.740719639999998</v>
      </c>
      <c r="G141" s="1">
        <v>18.635060129999999</v>
      </c>
      <c r="H141" s="1">
        <v>5.0086474860000001</v>
      </c>
      <c r="I141" s="1">
        <v>40.03013919</v>
      </c>
      <c r="J141" s="1">
        <v>30.186683339999998</v>
      </c>
      <c r="K141" s="1">
        <v>23.49561327</v>
      </c>
      <c r="L141" s="1">
        <v>6.2875642029999996</v>
      </c>
      <c r="M141" s="1">
        <v>84.212828160000001</v>
      </c>
      <c r="N141" s="1">
        <v>14.30300858</v>
      </c>
      <c r="O141" s="1">
        <v>1.0915823549999999</v>
      </c>
      <c r="P141" s="1">
        <v>0.39258089600000001</v>
      </c>
      <c r="Q141" s="2" t="str">
        <f t="shared" si="0"/>
        <v/>
      </c>
      <c r="R141" s="1" t="str">
        <f t="shared" si="1"/>
        <v/>
      </c>
      <c r="S141" s="1" t="str">
        <f t="shared" si="2"/>
        <v/>
      </c>
      <c r="T141" s="1" t="str">
        <f t="shared" si="3"/>
        <v/>
      </c>
      <c r="U141" s="1">
        <f t="shared" si="4"/>
        <v>50</v>
      </c>
    </row>
    <row r="142" spans="1:21">
      <c r="A142" s="1" t="s">
        <v>106</v>
      </c>
      <c r="B142" s="1">
        <v>2015</v>
      </c>
      <c r="C142" s="1">
        <v>48.055000309999997</v>
      </c>
      <c r="D142" s="1">
        <v>41.63799667</v>
      </c>
      <c r="E142" s="1">
        <v>100</v>
      </c>
      <c r="F142" s="1">
        <v>0</v>
      </c>
      <c r="G142" s="1">
        <v>0</v>
      </c>
      <c r="H142" s="1">
        <v>0</v>
      </c>
      <c r="I142" s="1" t="s">
        <v>272</v>
      </c>
      <c r="J142" s="1" t="s">
        <v>272</v>
      </c>
      <c r="K142" s="1" t="s">
        <v>272</v>
      </c>
      <c r="L142" s="1" t="s">
        <v>272</v>
      </c>
      <c r="M142" s="1" t="s">
        <v>272</v>
      </c>
      <c r="N142" s="1" t="s">
        <v>272</v>
      </c>
      <c r="O142" s="1" t="s">
        <v>272</v>
      </c>
      <c r="P142" s="1" t="s">
        <v>272</v>
      </c>
      <c r="Q142" s="2">
        <f t="shared" si="0"/>
        <v>5</v>
      </c>
      <c r="R142" s="1">
        <f t="shared" si="1"/>
        <v>0</v>
      </c>
      <c r="S142" s="1" t="str">
        <f t="shared" si="2"/>
        <v>null</v>
      </c>
      <c r="T142" s="1" t="str">
        <f t="shared" si="3"/>
        <v>null</v>
      </c>
      <c r="U142" s="1">
        <f t="shared" si="4"/>
        <v>100</v>
      </c>
    </row>
    <row r="143" spans="1:21">
      <c r="A143" s="1" t="s">
        <v>106</v>
      </c>
      <c r="B143" s="1">
        <v>2020</v>
      </c>
      <c r="C143" s="1">
        <v>48.865001679999999</v>
      </c>
      <c r="D143" s="1">
        <v>42.397998809999997</v>
      </c>
      <c r="E143" s="1">
        <v>100</v>
      </c>
      <c r="F143" s="1">
        <v>0</v>
      </c>
      <c r="G143" s="1">
        <v>0</v>
      </c>
      <c r="H143" s="1">
        <v>0</v>
      </c>
      <c r="I143" s="1" t="s">
        <v>272</v>
      </c>
      <c r="J143" s="1" t="s">
        <v>272</v>
      </c>
      <c r="K143" s="1" t="s">
        <v>272</v>
      </c>
      <c r="L143" s="1" t="s">
        <v>272</v>
      </c>
      <c r="M143" s="1" t="s">
        <v>272</v>
      </c>
      <c r="N143" s="1" t="s">
        <v>272</v>
      </c>
      <c r="O143" s="1" t="s">
        <v>272</v>
      </c>
      <c r="P143" s="1" t="s">
        <v>272</v>
      </c>
      <c r="Q143" s="2" t="str">
        <f t="shared" si="0"/>
        <v/>
      </c>
      <c r="R143" s="1" t="str">
        <f t="shared" si="1"/>
        <v/>
      </c>
      <c r="S143" s="1" t="str">
        <f t="shared" si="2"/>
        <v/>
      </c>
      <c r="T143" s="1" t="str">
        <f t="shared" si="3"/>
        <v/>
      </c>
      <c r="U143" s="1">
        <f t="shared" si="4"/>
        <v>100</v>
      </c>
    </row>
    <row r="144" spans="1:21">
      <c r="A144" s="1" t="s">
        <v>107</v>
      </c>
      <c r="B144" s="1">
        <v>2015</v>
      </c>
      <c r="C144" s="1">
        <v>2.8359999660000001</v>
      </c>
      <c r="D144" s="1">
        <v>76.268005369999997</v>
      </c>
      <c r="E144" s="1">
        <v>94.820006660000004</v>
      </c>
      <c r="F144" s="1">
        <v>0</v>
      </c>
      <c r="G144" s="1">
        <v>5.1799933429999996</v>
      </c>
      <c r="H144" s="1">
        <v>0</v>
      </c>
      <c r="I144" s="1">
        <v>78.172942820000003</v>
      </c>
      <c r="J144" s="1">
        <v>0</v>
      </c>
      <c r="K144" s="1">
        <v>21.827057180000001</v>
      </c>
      <c r="L144" s="1">
        <v>0</v>
      </c>
      <c r="M144" s="1">
        <v>100</v>
      </c>
      <c r="N144" s="1">
        <v>0</v>
      </c>
      <c r="O144" s="1">
        <v>0</v>
      </c>
      <c r="P144" s="1">
        <v>0</v>
      </c>
      <c r="Q144" s="2">
        <f t="shared" si="0"/>
        <v>5</v>
      </c>
      <c r="R144" s="1">
        <f t="shared" si="1"/>
        <v>9.7784147999999502E-2</v>
      </c>
      <c r="S144" s="1">
        <f t="shared" si="2"/>
        <v>0</v>
      </c>
      <c r="T144" s="1">
        <f t="shared" si="3"/>
        <v>0</v>
      </c>
      <c r="U144" s="1">
        <f t="shared" si="4"/>
        <v>95</v>
      </c>
    </row>
    <row r="145" spans="1:21">
      <c r="A145" s="1" t="s">
        <v>107</v>
      </c>
      <c r="B145" s="1">
        <v>2020</v>
      </c>
      <c r="C145" s="1">
        <v>3.4830000399999999</v>
      </c>
      <c r="D145" s="1">
        <v>78.507995609999995</v>
      </c>
      <c r="E145" s="1">
        <v>95.308927400000002</v>
      </c>
      <c r="F145" s="1">
        <v>0</v>
      </c>
      <c r="G145" s="1">
        <v>4.6910725959999997</v>
      </c>
      <c r="H145" s="1">
        <v>0</v>
      </c>
      <c r="I145" s="1">
        <v>78.172942820000003</v>
      </c>
      <c r="J145" s="1">
        <v>0</v>
      </c>
      <c r="K145" s="1">
        <v>21.827057180000001</v>
      </c>
      <c r="L145" s="1">
        <v>0</v>
      </c>
      <c r="M145" s="1">
        <v>100</v>
      </c>
      <c r="N145" s="1">
        <v>0</v>
      </c>
      <c r="O145" s="1">
        <v>0</v>
      </c>
      <c r="P145" s="1">
        <v>0</v>
      </c>
      <c r="Q145" s="2" t="str">
        <f t="shared" si="0"/>
        <v/>
      </c>
      <c r="R145" s="1" t="str">
        <f t="shared" si="1"/>
        <v/>
      </c>
      <c r="S145" s="1" t="str">
        <f t="shared" si="2"/>
        <v/>
      </c>
      <c r="T145" s="1" t="str">
        <f t="shared" si="3"/>
        <v/>
      </c>
      <c r="U145" s="1">
        <f t="shared" si="4"/>
        <v>95</v>
      </c>
    </row>
    <row r="146" spans="1:21">
      <c r="A146" s="1" t="s">
        <v>108</v>
      </c>
      <c r="B146" s="1">
        <v>2015</v>
      </c>
      <c r="C146" s="1">
        <v>868.63201900000001</v>
      </c>
      <c r="D146" s="1">
        <v>54.725997919999998</v>
      </c>
      <c r="E146" s="1">
        <v>94.262558670000004</v>
      </c>
      <c r="F146" s="1">
        <v>0</v>
      </c>
      <c r="G146" s="1">
        <v>3.4193659360000002</v>
      </c>
      <c r="H146" s="1">
        <v>2.3180753950000001</v>
      </c>
      <c r="I146" s="1">
        <v>89.378527390000002</v>
      </c>
      <c r="J146" s="1">
        <v>0</v>
      </c>
      <c r="K146" s="1">
        <v>5.8294678109999998</v>
      </c>
      <c r="L146" s="1">
        <v>4.7920047950000004</v>
      </c>
      <c r="M146" s="1">
        <v>98.303044670000006</v>
      </c>
      <c r="N146" s="1">
        <v>0</v>
      </c>
      <c r="O146" s="1">
        <v>1.4255247120000001</v>
      </c>
      <c r="P146" s="1">
        <v>0.27143061419999998</v>
      </c>
      <c r="Q146" s="2">
        <f t="shared" si="0"/>
        <v>5</v>
      </c>
      <c r="R146" s="1">
        <f t="shared" si="1"/>
        <v>7.7013139999991152E-3</v>
      </c>
      <c r="S146" s="1">
        <f t="shared" si="2"/>
        <v>-5.8100668000000154E-2</v>
      </c>
      <c r="T146" s="1">
        <f t="shared" si="3"/>
        <v>-2.1760122000000593E-2</v>
      </c>
      <c r="U146" s="1">
        <f t="shared" si="4"/>
        <v>94</v>
      </c>
    </row>
    <row r="147" spans="1:21">
      <c r="A147" s="1" t="s">
        <v>108</v>
      </c>
      <c r="B147" s="1">
        <v>2020</v>
      </c>
      <c r="C147" s="1">
        <v>896.44396970000003</v>
      </c>
      <c r="D147" s="1">
        <v>57.247005459999997</v>
      </c>
      <c r="E147" s="1">
        <v>94.30106524</v>
      </c>
      <c r="F147" s="1">
        <v>0</v>
      </c>
      <c r="G147" s="1">
        <v>3.3186027660000001</v>
      </c>
      <c r="H147" s="1">
        <v>2.380331999</v>
      </c>
      <c r="I147" s="1">
        <v>89.088024050000001</v>
      </c>
      <c r="J147" s="1">
        <v>0</v>
      </c>
      <c r="K147" s="1">
        <v>5.7598979379999999</v>
      </c>
      <c r="L147" s="1">
        <v>5.1520780119999996</v>
      </c>
      <c r="M147" s="1">
        <v>98.194244060000003</v>
      </c>
      <c r="N147" s="1">
        <v>0</v>
      </c>
      <c r="O147" s="1">
        <v>1.495409344</v>
      </c>
      <c r="P147" s="1">
        <v>0.31034659219999999</v>
      </c>
      <c r="Q147" s="2" t="str">
        <f t="shared" si="0"/>
        <v/>
      </c>
      <c r="R147" s="1" t="str">
        <f t="shared" si="1"/>
        <v/>
      </c>
      <c r="S147" s="1" t="str">
        <f t="shared" si="2"/>
        <v/>
      </c>
      <c r="T147" s="1" t="str">
        <f t="shared" si="3"/>
        <v/>
      </c>
      <c r="U147" s="1">
        <f t="shared" si="4"/>
        <v>94</v>
      </c>
    </row>
    <row r="148" spans="1:21">
      <c r="A148" s="1" t="s">
        <v>109</v>
      </c>
      <c r="B148" s="1">
        <v>2015</v>
      </c>
      <c r="C148" s="1">
        <v>5481.1279299999997</v>
      </c>
      <c r="D148" s="1">
        <v>85.224998470000003</v>
      </c>
      <c r="E148" s="1">
        <v>99.999996659999994</v>
      </c>
      <c r="F148" s="1">
        <v>0</v>
      </c>
      <c r="G148" s="1">
        <v>3.3406530800000001E-6</v>
      </c>
      <c r="H148" s="1">
        <v>0</v>
      </c>
      <c r="I148" s="1">
        <v>100</v>
      </c>
      <c r="J148" s="1">
        <v>0</v>
      </c>
      <c r="K148" s="1">
        <v>0</v>
      </c>
      <c r="L148" s="1">
        <v>0</v>
      </c>
      <c r="M148" s="1">
        <v>100</v>
      </c>
      <c r="N148" s="1">
        <v>0</v>
      </c>
      <c r="O148" s="1">
        <v>0</v>
      </c>
      <c r="P148" s="1">
        <v>0</v>
      </c>
      <c r="Q148" s="2">
        <f t="shared" si="0"/>
        <v>5</v>
      </c>
      <c r="R148" s="1">
        <f t="shared" si="1"/>
        <v>1.3280000018767169E-6</v>
      </c>
      <c r="S148" s="1">
        <f t="shared" si="2"/>
        <v>0</v>
      </c>
      <c r="T148" s="1">
        <f t="shared" si="3"/>
        <v>0</v>
      </c>
      <c r="U148" s="1">
        <f t="shared" si="4"/>
        <v>100</v>
      </c>
    </row>
    <row r="149" spans="1:21">
      <c r="A149" s="1" t="s">
        <v>109</v>
      </c>
      <c r="B149" s="1">
        <v>2020</v>
      </c>
      <c r="C149" s="1">
        <v>5540.7177730000003</v>
      </c>
      <c r="D149" s="1">
        <v>85.517005920000003</v>
      </c>
      <c r="E149" s="1">
        <v>100.0000033</v>
      </c>
      <c r="F149" s="1">
        <v>0</v>
      </c>
      <c r="G149" s="1">
        <v>0</v>
      </c>
      <c r="H149" s="1">
        <v>0</v>
      </c>
      <c r="I149" s="1">
        <v>100</v>
      </c>
      <c r="J149" s="1">
        <v>0</v>
      </c>
      <c r="K149" s="1">
        <v>0</v>
      </c>
      <c r="L149" s="1">
        <v>0</v>
      </c>
      <c r="M149" s="1">
        <v>100</v>
      </c>
      <c r="N149" s="1">
        <v>0</v>
      </c>
      <c r="O149" s="1">
        <v>0</v>
      </c>
      <c r="P149" s="1">
        <v>0</v>
      </c>
      <c r="Q149" s="2" t="str">
        <f t="shared" si="0"/>
        <v/>
      </c>
      <c r="R149" s="1" t="str">
        <f t="shared" si="1"/>
        <v/>
      </c>
      <c r="S149" s="1" t="str">
        <f t="shared" si="2"/>
        <v/>
      </c>
      <c r="T149" s="1" t="str">
        <f t="shared" si="3"/>
        <v/>
      </c>
      <c r="U149" s="1">
        <f t="shared" si="4"/>
        <v>100</v>
      </c>
    </row>
    <row r="150" spans="1:21">
      <c r="A150" s="1" t="s">
        <v>110</v>
      </c>
      <c r="B150" s="1">
        <v>2015</v>
      </c>
      <c r="C150" s="1">
        <v>64453.195310000003</v>
      </c>
      <c r="D150" s="1">
        <v>79.65499878</v>
      </c>
      <c r="E150" s="1">
        <v>100</v>
      </c>
      <c r="F150" s="1">
        <v>0</v>
      </c>
      <c r="G150" s="1">
        <v>0</v>
      </c>
      <c r="H150" s="1">
        <v>0</v>
      </c>
      <c r="I150" s="1">
        <v>100</v>
      </c>
      <c r="J150" s="1">
        <v>0</v>
      </c>
      <c r="K150" s="1">
        <v>0</v>
      </c>
      <c r="L150" s="1">
        <v>0</v>
      </c>
      <c r="M150" s="1">
        <v>100</v>
      </c>
      <c r="N150" s="1">
        <v>0</v>
      </c>
      <c r="O150" s="1">
        <v>0</v>
      </c>
      <c r="P150" s="1">
        <v>0</v>
      </c>
      <c r="Q150" s="2">
        <f t="shared" si="0"/>
        <v>5</v>
      </c>
      <c r="R150" s="1">
        <f t="shared" si="1"/>
        <v>-2.999999992425728E-7</v>
      </c>
      <c r="S150" s="1">
        <f t="shared" si="2"/>
        <v>0</v>
      </c>
      <c r="T150" s="1">
        <f t="shared" si="3"/>
        <v>0</v>
      </c>
      <c r="U150" s="1">
        <f t="shared" si="4"/>
        <v>100</v>
      </c>
    </row>
    <row r="151" spans="1:21">
      <c r="A151" s="1" t="s">
        <v>110</v>
      </c>
      <c r="B151" s="1">
        <v>2020</v>
      </c>
      <c r="C151" s="1">
        <v>65273.511720000002</v>
      </c>
      <c r="D151" s="1">
        <v>80.974998470000003</v>
      </c>
      <c r="E151" s="1">
        <v>99.999998500000004</v>
      </c>
      <c r="F151" s="1">
        <v>0</v>
      </c>
      <c r="G151" s="1">
        <v>1.49610841E-6</v>
      </c>
      <c r="H151" s="1">
        <v>0</v>
      </c>
      <c r="I151" s="1">
        <v>100</v>
      </c>
      <c r="J151" s="1">
        <v>0</v>
      </c>
      <c r="K151" s="1">
        <v>0</v>
      </c>
      <c r="L151" s="1">
        <v>0</v>
      </c>
      <c r="M151" s="1">
        <v>100</v>
      </c>
      <c r="N151" s="1">
        <v>0</v>
      </c>
      <c r="O151" s="1">
        <v>0</v>
      </c>
      <c r="P151" s="1">
        <v>0</v>
      </c>
      <c r="Q151" s="2" t="str">
        <f t="shared" si="0"/>
        <v/>
      </c>
      <c r="R151" s="1" t="str">
        <f t="shared" si="1"/>
        <v/>
      </c>
      <c r="S151" s="1" t="str">
        <f t="shared" si="2"/>
        <v/>
      </c>
      <c r="T151" s="1" t="str">
        <f t="shared" si="3"/>
        <v/>
      </c>
      <c r="U151" s="1">
        <f t="shared" si="4"/>
        <v>100</v>
      </c>
    </row>
    <row r="152" spans="1:21">
      <c r="A152" s="1" t="s">
        <v>111</v>
      </c>
      <c r="B152" s="1">
        <v>2015</v>
      </c>
      <c r="C152" s="1">
        <v>261.00799560000002</v>
      </c>
      <c r="D152" s="1">
        <v>84.482002260000002</v>
      </c>
      <c r="E152" s="1">
        <v>93.562056569999996</v>
      </c>
      <c r="F152" s="1">
        <v>0</v>
      </c>
      <c r="G152" s="1">
        <v>6.4379434250000003</v>
      </c>
      <c r="H152" s="1">
        <v>0</v>
      </c>
      <c r="I152" s="1" t="s">
        <v>272</v>
      </c>
      <c r="J152" s="1" t="s">
        <v>272</v>
      </c>
      <c r="K152" s="1" t="s">
        <v>272</v>
      </c>
      <c r="L152" s="1" t="s">
        <v>272</v>
      </c>
      <c r="M152" s="1" t="s">
        <v>272</v>
      </c>
      <c r="N152" s="1" t="s">
        <v>272</v>
      </c>
      <c r="O152" s="1" t="s">
        <v>272</v>
      </c>
      <c r="P152" s="1" t="s">
        <v>272</v>
      </c>
      <c r="Q152" s="2">
        <f t="shared" si="0"/>
        <v>5</v>
      </c>
      <c r="R152" s="1">
        <f t="shared" si="1"/>
        <v>4.4031956000000608E-2</v>
      </c>
      <c r="S152" s="1" t="str">
        <f t="shared" si="2"/>
        <v>null</v>
      </c>
      <c r="T152" s="1" t="str">
        <f t="shared" si="3"/>
        <v>null</v>
      </c>
      <c r="U152" s="1">
        <f t="shared" si="4"/>
        <v>94</v>
      </c>
    </row>
    <row r="153" spans="1:21">
      <c r="A153" s="1" t="s">
        <v>111</v>
      </c>
      <c r="B153" s="1">
        <v>2020</v>
      </c>
      <c r="C153" s="1">
        <v>298.68200680000001</v>
      </c>
      <c r="D153" s="1">
        <v>85.819999690000003</v>
      </c>
      <c r="E153" s="1">
        <v>93.782216349999999</v>
      </c>
      <c r="F153" s="1">
        <v>0</v>
      </c>
      <c r="G153" s="1">
        <v>6.2177836519999996</v>
      </c>
      <c r="H153" s="1">
        <v>0</v>
      </c>
      <c r="I153" s="1" t="s">
        <v>272</v>
      </c>
      <c r="J153" s="1" t="s">
        <v>272</v>
      </c>
      <c r="K153" s="1" t="s">
        <v>272</v>
      </c>
      <c r="L153" s="1" t="s">
        <v>272</v>
      </c>
      <c r="M153" s="1" t="s">
        <v>272</v>
      </c>
      <c r="N153" s="1" t="s">
        <v>272</v>
      </c>
      <c r="O153" s="1" t="s">
        <v>272</v>
      </c>
      <c r="P153" s="1" t="s">
        <v>272</v>
      </c>
      <c r="Q153" s="2" t="str">
        <f t="shared" si="0"/>
        <v/>
      </c>
      <c r="R153" s="1" t="str">
        <f t="shared" si="1"/>
        <v/>
      </c>
      <c r="S153" s="1" t="str">
        <f t="shared" si="2"/>
        <v/>
      </c>
      <c r="T153" s="1" t="str">
        <f t="shared" si="3"/>
        <v/>
      </c>
      <c r="U153" s="1">
        <f t="shared" si="4"/>
        <v>94</v>
      </c>
    </row>
    <row r="154" spans="1:21">
      <c r="A154" s="1" t="s">
        <v>112</v>
      </c>
      <c r="B154" s="1">
        <v>2015</v>
      </c>
      <c r="C154" s="1">
        <v>273.118988</v>
      </c>
      <c r="D154" s="1">
        <v>61.683002469999998</v>
      </c>
      <c r="E154" s="1">
        <v>100</v>
      </c>
      <c r="F154" s="1">
        <v>0</v>
      </c>
      <c r="G154" s="1">
        <v>0</v>
      </c>
      <c r="H154" s="1">
        <v>0</v>
      </c>
      <c r="I154" s="1" t="s">
        <v>272</v>
      </c>
      <c r="J154" s="1" t="s">
        <v>272</v>
      </c>
      <c r="K154" s="1" t="s">
        <v>272</v>
      </c>
      <c r="L154" s="1" t="s">
        <v>272</v>
      </c>
      <c r="M154" s="1" t="s">
        <v>272</v>
      </c>
      <c r="N154" s="1" t="s">
        <v>272</v>
      </c>
      <c r="O154" s="1" t="s">
        <v>272</v>
      </c>
      <c r="P154" s="1" t="s">
        <v>272</v>
      </c>
      <c r="Q154" s="2">
        <f t="shared" si="0"/>
        <v>5</v>
      </c>
      <c r="R154" s="1">
        <f t="shared" si="1"/>
        <v>0</v>
      </c>
      <c r="S154" s="1" t="str">
        <f t="shared" si="2"/>
        <v>null</v>
      </c>
      <c r="T154" s="1" t="str">
        <f t="shared" si="3"/>
        <v>null</v>
      </c>
      <c r="U154" s="1">
        <f t="shared" si="4"/>
        <v>100</v>
      </c>
    </row>
    <row r="155" spans="1:21">
      <c r="A155" s="1" t="s">
        <v>112</v>
      </c>
      <c r="B155" s="1">
        <v>2020</v>
      </c>
      <c r="C155" s="1">
        <v>280.90399170000001</v>
      </c>
      <c r="D155" s="1">
        <v>61.975002289999999</v>
      </c>
      <c r="E155" s="1">
        <v>100</v>
      </c>
      <c r="F155" s="1">
        <v>0</v>
      </c>
      <c r="G155" s="1">
        <v>0</v>
      </c>
      <c r="H155" s="1">
        <v>0</v>
      </c>
      <c r="I155" s="1" t="s">
        <v>272</v>
      </c>
      <c r="J155" s="1" t="s">
        <v>272</v>
      </c>
      <c r="K155" s="1" t="s">
        <v>272</v>
      </c>
      <c r="L155" s="1" t="s">
        <v>272</v>
      </c>
      <c r="M155" s="1" t="s">
        <v>272</v>
      </c>
      <c r="N155" s="1" t="s">
        <v>272</v>
      </c>
      <c r="O155" s="1" t="s">
        <v>272</v>
      </c>
      <c r="P155" s="1" t="s">
        <v>272</v>
      </c>
      <c r="Q155" s="2" t="str">
        <f t="shared" si="0"/>
        <v/>
      </c>
      <c r="R155" s="1" t="str">
        <f t="shared" si="1"/>
        <v/>
      </c>
      <c r="S155" s="1" t="str">
        <f t="shared" si="2"/>
        <v/>
      </c>
      <c r="T155" s="1" t="str">
        <f t="shared" si="3"/>
        <v/>
      </c>
      <c r="U155" s="1">
        <f t="shared" si="4"/>
        <v>100</v>
      </c>
    </row>
    <row r="156" spans="1:21">
      <c r="A156" s="1" t="s">
        <v>113</v>
      </c>
      <c r="B156" s="1">
        <v>2015</v>
      </c>
      <c r="C156" s="1">
        <v>1947.6899410000001</v>
      </c>
      <c r="D156" s="1">
        <v>88.117996219999995</v>
      </c>
      <c r="E156" s="1">
        <v>83.858486549999995</v>
      </c>
      <c r="F156" s="1">
        <v>7.7224304339999996</v>
      </c>
      <c r="G156" s="1">
        <v>4.9241821100000003</v>
      </c>
      <c r="H156" s="1">
        <v>3.4949009009999998</v>
      </c>
      <c r="I156" s="1">
        <v>43.390033160000002</v>
      </c>
      <c r="J156" s="1">
        <v>10.192647770000001</v>
      </c>
      <c r="K156" s="1">
        <v>21.81093263</v>
      </c>
      <c r="L156" s="1">
        <v>24.606386440000001</v>
      </c>
      <c r="M156" s="1">
        <v>89.315331869999994</v>
      </c>
      <c r="N156" s="1">
        <v>7.3893416170000004</v>
      </c>
      <c r="O156" s="1">
        <v>2.6471391450000001</v>
      </c>
      <c r="P156" s="1">
        <v>0.6481873668</v>
      </c>
      <c r="Q156" s="2">
        <f t="shared" si="0"/>
        <v>5</v>
      </c>
      <c r="R156" s="1">
        <f t="shared" si="1"/>
        <v>0.29668881000000058</v>
      </c>
      <c r="S156" s="1">
        <f t="shared" si="2"/>
        <v>0.27117116999999952</v>
      </c>
      <c r="T156" s="1">
        <f t="shared" si="3"/>
        <v>9.824145999999985E-2</v>
      </c>
      <c r="U156" s="1">
        <f t="shared" si="4"/>
        <v>84</v>
      </c>
    </row>
    <row r="157" spans="1:21">
      <c r="A157" s="1" t="s">
        <v>113</v>
      </c>
      <c r="B157" s="1">
        <v>2020</v>
      </c>
      <c r="C157" s="1">
        <v>2225.7280270000001</v>
      </c>
      <c r="D157" s="1">
        <v>90.092002870000002</v>
      </c>
      <c r="E157" s="1">
        <v>85.341930599999998</v>
      </c>
      <c r="F157" s="1">
        <v>7.7352631030000003</v>
      </c>
      <c r="G157" s="1">
        <v>6.9228083570000001</v>
      </c>
      <c r="H157" s="1" t="s">
        <v>272</v>
      </c>
      <c r="I157" s="1">
        <v>44.745889009999999</v>
      </c>
      <c r="J157" s="1">
        <v>10.511148589999999</v>
      </c>
      <c r="K157" s="1">
        <v>44.742962400000003</v>
      </c>
      <c r="L157" s="1" t="s">
        <v>272</v>
      </c>
      <c r="M157" s="1">
        <v>89.806539169999994</v>
      </c>
      <c r="N157" s="1">
        <v>7.4299807600000003</v>
      </c>
      <c r="O157" s="1">
        <v>2.7634800720000001</v>
      </c>
      <c r="P157" s="1" t="s">
        <v>272</v>
      </c>
      <c r="Q157" s="2" t="str">
        <f t="shared" si="0"/>
        <v/>
      </c>
      <c r="R157" s="1" t="str">
        <f t="shared" si="1"/>
        <v/>
      </c>
      <c r="S157" s="1" t="str">
        <f t="shared" si="2"/>
        <v/>
      </c>
      <c r="T157" s="1" t="str">
        <f t="shared" si="3"/>
        <v/>
      </c>
      <c r="U157" s="1">
        <f t="shared" si="4"/>
        <v>85</v>
      </c>
    </row>
    <row r="158" spans="1:21">
      <c r="A158" s="1" t="s">
        <v>114</v>
      </c>
      <c r="B158" s="1">
        <v>2015</v>
      </c>
      <c r="C158" s="1">
        <v>2085.860107</v>
      </c>
      <c r="D158" s="1">
        <v>59.228000639999998</v>
      </c>
      <c r="E158" s="1">
        <v>79.2101665</v>
      </c>
      <c r="F158" s="1">
        <v>9.0733700059999993</v>
      </c>
      <c r="G158" s="1">
        <v>11.624014620000001</v>
      </c>
      <c r="H158" s="1">
        <v>9.2448870380000006E-2</v>
      </c>
      <c r="I158" s="1">
        <v>68.254892569999996</v>
      </c>
      <c r="J158" s="1">
        <v>15.340084539999999</v>
      </c>
      <c r="K158" s="1">
        <v>16.322389959999999</v>
      </c>
      <c r="L158" s="1">
        <v>8.263292471E-2</v>
      </c>
      <c r="M158" s="1">
        <v>86.751671259999995</v>
      </c>
      <c r="N158" s="1">
        <v>4.7594215670000004</v>
      </c>
      <c r="O158" s="1">
        <v>8.3897011020000001</v>
      </c>
      <c r="P158" s="1">
        <v>9.9206071500000007E-2</v>
      </c>
      <c r="Q158" s="2">
        <f t="shared" si="0"/>
        <v>5</v>
      </c>
      <c r="R158" s="1">
        <f t="shared" si="1"/>
        <v>0.34604812800000107</v>
      </c>
      <c r="S158" s="1">
        <f t="shared" si="2"/>
        <v>0.18672612800000082</v>
      </c>
      <c r="T158" s="1">
        <f t="shared" si="3"/>
        <v>0.24304660200000114</v>
      </c>
      <c r="U158" s="1">
        <f t="shared" si="4"/>
        <v>79</v>
      </c>
    </row>
    <row r="159" spans="1:21">
      <c r="A159" s="1" t="s">
        <v>114</v>
      </c>
      <c r="B159" s="1">
        <v>2020</v>
      </c>
      <c r="C159" s="1">
        <v>2416.6640630000002</v>
      </c>
      <c r="D159" s="1">
        <v>62.581996920000002</v>
      </c>
      <c r="E159" s="1">
        <v>80.940407140000005</v>
      </c>
      <c r="F159" s="1">
        <v>8.5973913910000004</v>
      </c>
      <c r="G159" s="1">
        <v>10.352852070000001</v>
      </c>
      <c r="H159" s="1">
        <v>0.10934939270000001</v>
      </c>
      <c r="I159" s="1">
        <v>69.18852321</v>
      </c>
      <c r="J159" s="1">
        <v>16.497832389999999</v>
      </c>
      <c r="K159" s="1">
        <v>14.24376547</v>
      </c>
      <c r="L159" s="1">
        <v>6.9878936799999999E-2</v>
      </c>
      <c r="M159" s="1">
        <v>87.966904270000001</v>
      </c>
      <c r="N159" s="1">
        <v>3.8736895219999998</v>
      </c>
      <c r="O159" s="1">
        <v>8.0264572780000005</v>
      </c>
      <c r="P159" s="1">
        <v>0.13294892529999999</v>
      </c>
      <c r="Q159" s="2" t="str">
        <f t="shared" si="0"/>
        <v/>
      </c>
      <c r="R159" s="1" t="str">
        <f t="shared" si="1"/>
        <v/>
      </c>
      <c r="S159" s="1" t="str">
        <f t="shared" si="2"/>
        <v/>
      </c>
      <c r="T159" s="1" t="str">
        <f t="shared" si="3"/>
        <v/>
      </c>
      <c r="U159" s="1">
        <f t="shared" si="4"/>
        <v>81</v>
      </c>
    </row>
    <row r="160" spans="1:21">
      <c r="A160" s="1" t="s">
        <v>115</v>
      </c>
      <c r="B160" s="1">
        <v>2015</v>
      </c>
      <c r="C160" s="1">
        <v>4024.179932</v>
      </c>
      <c r="D160" s="1">
        <v>57.447998050000002</v>
      </c>
      <c r="E160" s="1">
        <v>95.754729510000004</v>
      </c>
      <c r="F160" s="1">
        <v>0.95196455830000004</v>
      </c>
      <c r="G160" s="1">
        <v>3.2398949309999998</v>
      </c>
      <c r="H160" s="1">
        <v>5.3410995400000001E-2</v>
      </c>
      <c r="I160" s="1">
        <v>91.295150590000006</v>
      </c>
      <c r="J160" s="1">
        <v>1.893756292</v>
      </c>
      <c r="K160" s="1">
        <v>6.7002163880000003</v>
      </c>
      <c r="L160" s="1">
        <v>0.1108767321</v>
      </c>
      <c r="M160" s="1">
        <v>99.057965449999998</v>
      </c>
      <c r="N160" s="1">
        <v>0.25437508559999999</v>
      </c>
      <c r="O160" s="1">
        <v>0.67681360540000002</v>
      </c>
      <c r="P160" s="1">
        <v>1.084585945E-2</v>
      </c>
      <c r="Q160" s="2">
        <f t="shared" si="0"/>
        <v>5</v>
      </c>
      <c r="R160" s="1">
        <f t="shared" si="1"/>
        <v>0.31868203800000006</v>
      </c>
      <c r="S160" s="1">
        <f t="shared" si="2"/>
        <v>0.59534672199999927</v>
      </c>
      <c r="T160" s="1">
        <f t="shared" si="3"/>
        <v>7.7637698000000907E-2</v>
      </c>
      <c r="U160" s="1">
        <f t="shared" si="4"/>
        <v>96</v>
      </c>
    </row>
    <row r="161" spans="1:21">
      <c r="A161" s="1" t="s">
        <v>115</v>
      </c>
      <c r="B161" s="1">
        <v>2020</v>
      </c>
      <c r="C161" s="1">
        <v>3989.1750489999999</v>
      </c>
      <c r="D161" s="1">
        <v>59.452995299999998</v>
      </c>
      <c r="E161" s="1">
        <v>97.348139700000004</v>
      </c>
      <c r="F161" s="1">
        <v>0</v>
      </c>
      <c r="G161" s="1">
        <v>2.6327613790000002</v>
      </c>
      <c r="H161" s="1">
        <v>1.9098923269999998E-2</v>
      </c>
      <c r="I161" s="1">
        <v>94.271884200000002</v>
      </c>
      <c r="J161" s="1">
        <v>0</v>
      </c>
      <c r="K161" s="1">
        <v>5.7039236180000001</v>
      </c>
      <c r="L161" s="1">
        <v>2.4192183450000002E-2</v>
      </c>
      <c r="M161" s="1">
        <v>99.446153940000002</v>
      </c>
      <c r="N161" s="1">
        <v>0</v>
      </c>
      <c r="O161" s="1">
        <v>0.53822074200000003</v>
      </c>
      <c r="P161" s="1">
        <v>1.5625315859999999E-2</v>
      </c>
      <c r="Q161" s="2" t="str">
        <f t="shared" si="0"/>
        <v/>
      </c>
      <c r="R161" s="1" t="str">
        <f t="shared" si="1"/>
        <v/>
      </c>
      <c r="S161" s="1" t="str">
        <f t="shared" si="2"/>
        <v/>
      </c>
      <c r="T161" s="1" t="str">
        <f t="shared" si="3"/>
        <v/>
      </c>
      <c r="U161" s="1">
        <f t="shared" si="4"/>
        <v>97</v>
      </c>
    </row>
    <row r="162" spans="1:21">
      <c r="A162" s="1" t="s">
        <v>116</v>
      </c>
      <c r="B162" s="1">
        <v>2015</v>
      </c>
      <c r="C162" s="1">
        <v>81787.414059999996</v>
      </c>
      <c r="D162" s="1">
        <v>77.200004579999998</v>
      </c>
      <c r="E162" s="1">
        <v>100.0000024</v>
      </c>
      <c r="F162" s="1">
        <v>0</v>
      </c>
      <c r="G162" s="1">
        <v>0</v>
      </c>
      <c r="H162" s="1">
        <v>0</v>
      </c>
      <c r="I162" s="1">
        <v>100</v>
      </c>
      <c r="J162" s="1">
        <v>0</v>
      </c>
      <c r="K162" s="1">
        <v>0</v>
      </c>
      <c r="L162" s="1">
        <v>0</v>
      </c>
      <c r="M162" s="1">
        <v>100</v>
      </c>
      <c r="N162" s="1">
        <v>0</v>
      </c>
      <c r="O162" s="1">
        <v>0</v>
      </c>
      <c r="P162" s="1">
        <v>0</v>
      </c>
      <c r="Q162" s="2">
        <f t="shared" si="0"/>
        <v>5</v>
      </c>
      <c r="R162" s="1">
        <f t="shared" si="1"/>
        <v>-1.9999998812636478E-8</v>
      </c>
      <c r="S162" s="1">
        <f t="shared" si="2"/>
        <v>0</v>
      </c>
      <c r="T162" s="1">
        <f t="shared" si="3"/>
        <v>0</v>
      </c>
      <c r="U162" s="1">
        <f t="shared" si="4"/>
        <v>100</v>
      </c>
    </row>
    <row r="163" spans="1:21">
      <c r="A163" s="1" t="s">
        <v>116</v>
      </c>
      <c r="B163" s="1">
        <v>2020</v>
      </c>
      <c r="C163" s="1">
        <v>83783.945309999996</v>
      </c>
      <c r="D163" s="1">
        <v>77.453002929999997</v>
      </c>
      <c r="E163" s="1">
        <v>100.00000230000001</v>
      </c>
      <c r="F163" s="1">
        <v>0</v>
      </c>
      <c r="G163" s="1">
        <v>0</v>
      </c>
      <c r="H163" s="1">
        <v>0</v>
      </c>
      <c r="I163" s="1">
        <v>100</v>
      </c>
      <c r="J163" s="1">
        <v>0</v>
      </c>
      <c r="K163" s="1">
        <v>0</v>
      </c>
      <c r="L163" s="1">
        <v>0</v>
      </c>
      <c r="M163" s="1">
        <v>100</v>
      </c>
      <c r="N163" s="1">
        <v>0</v>
      </c>
      <c r="O163" s="1">
        <v>0</v>
      </c>
      <c r="P163" s="1">
        <v>0</v>
      </c>
      <c r="Q163" s="2" t="str">
        <f t="shared" si="0"/>
        <v/>
      </c>
      <c r="R163" s="1" t="str">
        <f t="shared" si="1"/>
        <v/>
      </c>
      <c r="S163" s="1" t="str">
        <f t="shared" si="2"/>
        <v/>
      </c>
      <c r="T163" s="1" t="str">
        <f t="shared" si="3"/>
        <v/>
      </c>
      <c r="U163" s="1">
        <f t="shared" si="4"/>
        <v>100</v>
      </c>
    </row>
    <row r="164" spans="1:21">
      <c r="A164" s="1" t="s">
        <v>117</v>
      </c>
      <c r="B164" s="1">
        <v>2015</v>
      </c>
      <c r="C164" s="1">
        <v>27849.203130000002</v>
      </c>
      <c r="D164" s="1">
        <v>54.085998539999999</v>
      </c>
      <c r="E164" s="1">
        <v>80.157961229999998</v>
      </c>
      <c r="F164" s="1">
        <v>7.8975991900000002</v>
      </c>
      <c r="G164" s="1">
        <v>4.4266436760000003</v>
      </c>
      <c r="H164" s="1">
        <v>7.5177958990000002</v>
      </c>
      <c r="I164" s="1">
        <v>67.208304769999998</v>
      </c>
      <c r="J164" s="1">
        <v>11.1534648</v>
      </c>
      <c r="K164" s="1">
        <v>6.3352592420000002</v>
      </c>
      <c r="L164" s="1">
        <v>15.302971189999999</v>
      </c>
      <c r="M164" s="1">
        <v>91.151019840000004</v>
      </c>
      <c r="N164" s="1">
        <v>5.133670929</v>
      </c>
      <c r="O164" s="1">
        <v>2.806405888</v>
      </c>
      <c r="P164" s="1">
        <v>0.90890334449999999</v>
      </c>
      <c r="Q164" s="2">
        <f t="shared" si="0"/>
        <v>5</v>
      </c>
      <c r="R164" s="1">
        <f t="shared" si="1"/>
        <v>1.1266070839999998</v>
      </c>
      <c r="S164" s="1">
        <f t="shared" si="2"/>
        <v>0.93688905600000116</v>
      </c>
      <c r="T164" s="1">
        <f t="shared" si="3"/>
        <v>0.99524793599999839</v>
      </c>
      <c r="U164" s="1">
        <f t="shared" si="4"/>
        <v>80</v>
      </c>
    </row>
    <row r="165" spans="1:21">
      <c r="A165" s="1" t="s">
        <v>117</v>
      </c>
      <c r="B165" s="1">
        <v>2020</v>
      </c>
      <c r="C165" s="1">
        <v>31072.945309999999</v>
      </c>
      <c r="D165" s="1">
        <v>57.348999020000001</v>
      </c>
      <c r="E165" s="1">
        <v>85.790996649999997</v>
      </c>
      <c r="F165" s="1">
        <v>6.5860621129999997</v>
      </c>
      <c r="G165" s="1">
        <v>2.8122161760000002</v>
      </c>
      <c r="H165" s="1">
        <v>4.8107250580000001</v>
      </c>
      <c r="I165" s="1">
        <v>71.892750050000004</v>
      </c>
      <c r="J165" s="1">
        <v>11.934548270000001</v>
      </c>
      <c r="K165" s="1">
        <v>4.9993564829999997</v>
      </c>
      <c r="L165" s="1">
        <v>11.173345189999999</v>
      </c>
      <c r="M165" s="1">
        <v>96.127259519999996</v>
      </c>
      <c r="N165" s="1">
        <v>2.6083424549999998</v>
      </c>
      <c r="O165" s="1">
        <v>1.1856138030000001</v>
      </c>
      <c r="P165" s="1">
        <v>7.8784218190000005E-2</v>
      </c>
      <c r="Q165" s="2" t="str">
        <f t="shared" si="0"/>
        <v/>
      </c>
      <c r="R165" s="1" t="str">
        <f t="shared" si="1"/>
        <v/>
      </c>
      <c r="S165" s="1" t="str">
        <f t="shared" si="2"/>
        <v/>
      </c>
      <c r="T165" s="1" t="str">
        <f t="shared" si="3"/>
        <v/>
      </c>
      <c r="U165" s="1">
        <f t="shared" si="4"/>
        <v>86</v>
      </c>
    </row>
    <row r="166" spans="1:21">
      <c r="A166" s="1" t="s">
        <v>118</v>
      </c>
      <c r="B166" s="1">
        <v>2015</v>
      </c>
      <c r="C166" s="1">
        <v>33.742000580000003</v>
      </c>
      <c r="D166" s="1">
        <v>100</v>
      </c>
      <c r="E166" s="1">
        <v>100</v>
      </c>
      <c r="F166" s="1">
        <v>0</v>
      </c>
      <c r="G166" s="1">
        <v>0</v>
      </c>
      <c r="H166" s="1">
        <v>0</v>
      </c>
      <c r="I166" s="1" t="s">
        <v>272</v>
      </c>
      <c r="J166" s="1" t="s">
        <v>272</v>
      </c>
      <c r="K166" s="1" t="s">
        <v>272</v>
      </c>
      <c r="L166" s="1" t="s">
        <v>272</v>
      </c>
      <c r="M166" s="1">
        <v>100</v>
      </c>
      <c r="N166" s="1">
        <v>0</v>
      </c>
      <c r="O166" s="1">
        <v>0</v>
      </c>
      <c r="P166" s="1">
        <v>0</v>
      </c>
      <c r="Q166" s="2">
        <f t="shared" si="0"/>
        <v>5</v>
      </c>
      <c r="R166" s="1">
        <f t="shared" si="1"/>
        <v>0</v>
      </c>
      <c r="S166" s="1" t="str">
        <f t="shared" si="2"/>
        <v>null</v>
      </c>
      <c r="T166" s="1">
        <f t="shared" si="3"/>
        <v>0</v>
      </c>
      <c r="U166" s="1">
        <f t="shared" si="4"/>
        <v>100</v>
      </c>
    </row>
    <row r="167" spans="1:21">
      <c r="A167" s="1" t="s">
        <v>118</v>
      </c>
      <c r="B167" s="1">
        <v>2020</v>
      </c>
      <c r="C167" s="1">
        <v>33.691001890000003</v>
      </c>
      <c r="D167" s="1">
        <v>100</v>
      </c>
      <c r="E167" s="1">
        <v>100</v>
      </c>
      <c r="F167" s="1">
        <v>0</v>
      </c>
      <c r="G167" s="1">
        <v>0</v>
      </c>
      <c r="H167" s="1">
        <v>0</v>
      </c>
      <c r="I167" s="1" t="s">
        <v>272</v>
      </c>
      <c r="J167" s="1" t="s">
        <v>272</v>
      </c>
      <c r="K167" s="1" t="s">
        <v>272</v>
      </c>
      <c r="L167" s="1" t="s">
        <v>272</v>
      </c>
      <c r="M167" s="1">
        <v>100</v>
      </c>
      <c r="N167" s="1">
        <v>0</v>
      </c>
      <c r="O167" s="1">
        <v>0</v>
      </c>
      <c r="P167" s="1">
        <v>0</v>
      </c>
      <c r="Q167" s="2" t="str">
        <f t="shared" si="0"/>
        <v/>
      </c>
      <c r="R167" s="1" t="str">
        <f t="shared" si="1"/>
        <v/>
      </c>
      <c r="S167" s="1" t="str">
        <f t="shared" si="2"/>
        <v/>
      </c>
      <c r="T167" s="1" t="str">
        <f t="shared" si="3"/>
        <v/>
      </c>
      <c r="U167" s="1">
        <f t="shared" si="4"/>
        <v>100</v>
      </c>
    </row>
    <row r="168" spans="1:21">
      <c r="A168" s="1" t="s">
        <v>119</v>
      </c>
      <c r="B168" s="1">
        <v>2015</v>
      </c>
      <c r="C168" s="1">
        <v>10659.737300000001</v>
      </c>
      <c r="D168" s="1">
        <v>78.046005249999993</v>
      </c>
      <c r="E168" s="1">
        <v>100.0000046</v>
      </c>
      <c r="F168" s="1">
        <v>0</v>
      </c>
      <c r="G168" s="1">
        <v>0</v>
      </c>
      <c r="H168" s="1">
        <v>0</v>
      </c>
      <c r="I168" s="1">
        <v>100</v>
      </c>
      <c r="J168" s="1">
        <v>0</v>
      </c>
      <c r="K168" s="1">
        <v>0</v>
      </c>
      <c r="L168" s="1">
        <v>0</v>
      </c>
      <c r="M168" s="1">
        <v>100</v>
      </c>
      <c r="N168" s="1">
        <v>0</v>
      </c>
      <c r="O168" s="1">
        <v>0</v>
      </c>
      <c r="P168" s="1">
        <v>0</v>
      </c>
      <c r="Q168" s="2">
        <f t="shared" si="0"/>
        <v>5</v>
      </c>
      <c r="R168" s="1">
        <f t="shared" si="1"/>
        <v>-4.5999999827017745E-7</v>
      </c>
      <c r="S168" s="1">
        <f t="shared" si="2"/>
        <v>0</v>
      </c>
      <c r="T168" s="1">
        <f t="shared" si="3"/>
        <v>0</v>
      </c>
      <c r="U168" s="1">
        <f t="shared" si="4"/>
        <v>100</v>
      </c>
    </row>
    <row r="169" spans="1:21">
      <c r="A169" s="1" t="s">
        <v>119</v>
      </c>
      <c r="B169" s="1">
        <v>2020</v>
      </c>
      <c r="C169" s="1">
        <v>10423.05566</v>
      </c>
      <c r="D169" s="1">
        <v>79.715003969999998</v>
      </c>
      <c r="E169" s="1">
        <v>100.00000230000001</v>
      </c>
      <c r="F169" s="1">
        <v>0</v>
      </c>
      <c r="G169" s="1">
        <v>0</v>
      </c>
      <c r="H169" s="1">
        <v>0</v>
      </c>
      <c r="I169" s="1">
        <v>100</v>
      </c>
      <c r="J169" s="1">
        <v>0</v>
      </c>
      <c r="K169" s="1">
        <v>0</v>
      </c>
      <c r="L169" s="1">
        <v>0</v>
      </c>
      <c r="M169" s="1">
        <v>100</v>
      </c>
      <c r="N169" s="1">
        <v>0</v>
      </c>
      <c r="O169" s="1">
        <v>0</v>
      </c>
      <c r="P169" s="1">
        <v>0</v>
      </c>
      <c r="Q169" s="2" t="str">
        <f t="shared" si="0"/>
        <v/>
      </c>
      <c r="R169" s="1" t="str">
        <f t="shared" si="1"/>
        <v/>
      </c>
      <c r="S169" s="1" t="str">
        <f t="shared" si="2"/>
        <v/>
      </c>
      <c r="T169" s="1" t="str">
        <f t="shared" si="3"/>
        <v/>
      </c>
      <c r="U169" s="1">
        <f t="shared" si="4"/>
        <v>100</v>
      </c>
    </row>
    <row r="170" spans="1:21">
      <c r="A170" s="1" t="s">
        <v>120</v>
      </c>
      <c r="B170" s="1">
        <v>2015</v>
      </c>
      <c r="C170" s="1">
        <v>56.377998349999999</v>
      </c>
      <c r="D170" s="1">
        <v>86.070999150000006</v>
      </c>
      <c r="E170" s="1">
        <v>100</v>
      </c>
      <c r="F170" s="1">
        <v>0</v>
      </c>
      <c r="G170" s="1">
        <v>0</v>
      </c>
      <c r="H170" s="1">
        <v>0</v>
      </c>
      <c r="I170" s="1">
        <v>100</v>
      </c>
      <c r="J170" s="1">
        <v>0</v>
      </c>
      <c r="K170" s="1">
        <v>0</v>
      </c>
      <c r="L170" s="1">
        <v>0</v>
      </c>
      <c r="M170" s="1">
        <v>100</v>
      </c>
      <c r="N170" s="1">
        <v>0</v>
      </c>
      <c r="O170" s="1">
        <v>0</v>
      </c>
      <c r="P170" s="1">
        <v>0</v>
      </c>
      <c r="Q170" s="2">
        <f t="shared" si="0"/>
        <v>5</v>
      </c>
      <c r="R170" s="1">
        <f t="shared" si="1"/>
        <v>3.3999999971001671E-7</v>
      </c>
      <c r="S170" s="1">
        <f t="shared" si="2"/>
        <v>0</v>
      </c>
      <c r="T170" s="1">
        <f t="shared" si="3"/>
        <v>0</v>
      </c>
      <c r="U170" s="1">
        <f t="shared" si="4"/>
        <v>100</v>
      </c>
    </row>
    <row r="171" spans="1:21">
      <c r="A171" s="1" t="s">
        <v>120</v>
      </c>
      <c r="B171" s="1">
        <v>2020</v>
      </c>
      <c r="C171" s="1">
        <v>56.771999360000002</v>
      </c>
      <c r="D171" s="1">
        <v>87.282005310000002</v>
      </c>
      <c r="E171" s="1">
        <v>100.0000017</v>
      </c>
      <c r="F171" s="1">
        <v>0</v>
      </c>
      <c r="G171" s="1">
        <v>0</v>
      </c>
      <c r="H171" s="1">
        <v>0</v>
      </c>
      <c r="I171" s="1">
        <v>100</v>
      </c>
      <c r="J171" s="1">
        <v>0</v>
      </c>
      <c r="K171" s="1">
        <v>0</v>
      </c>
      <c r="L171" s="1">
        <v>0</v>
      </c>
      <c r="M171" s="1">
        <v>100</v>
      </c>
      <c r="N171" s="1">
        <v>0</v>
      </c>
      <c r="O171" s="1">
        <v>0</v>
      </c>
      <c r="P171" s="1">
        <v>0</v>
      </c>
      <c r="Q171" s="2" t="str">
        <f t="shared" si="0"/>
        <v/>
      </c>
      <c r="R171" s="1" t="str">
        <f t="shared" si="1"/>
        <v/>
      </c>
      <c r="S171" s="1" t="str">
        <f t="shared" si="2"/>
        <v/>
      </c>
      <c r="T171" s="1" t="str">
        <f t="shared" si="3"/>
        <v/>
      </c>
      <c r="U171" s="1">
        <f t="shared" si="4"/>
        <v>100</v>
      </c>
    </row>
    <row r="172" spans="1:21">
      <c r="A172" s="1" t="s">
        <v>121</v>
      </c>
      <c r="B172" s="1">
        <v>2015</v>
      </c>
      <c r="C172" s="1">
        <v>109.6029968</v>
      </c>
      <c r="D172" s="1">
        <v>35.997001650000001</v>
      </c>
      <c r="E172" s="1">
        <v>95.628650440000001</v>
      </c>
      <c r="F172" s="1">
        <v>1.1614815839999999</v>
      </c>
      <c r="G172" s="1">
        <v>0</v>
      </c>
      <c r="H172" s="1">
        <v>3.2098679720000001</v>
      </c>
      <c r="I172" s="1" t="s">
        <v>272</v>
      </c>
      <c r="J172" s="1" t="s">
        <v>272</v>
      </c>
      <c r="K172" s="1" t="s">
        <v>272</v>
      </c>
      <c r="L172" s="1" t="s">
        <v>272</v>
      </c>
      <c r="M172" s="1" t="s">
        <v>272</v>
      </c>
      <c r="N172" s="1" t="s">
        <v>272</v>
      </c>
      <c r="O172" s="1" t="s">
        <v>272</v>
      </c>
      <c r="P172" s="1" t="s">
        <v>272</v>
      </c>
      <c r="Q172" s="2">
        <f t="shared" si="0"/>
        <v>2</v>
      </c>
      <c r="R172" s="1">
        <f t="shared" si="1"/>
        <v>0</v>
      </c>
      <c r="S172" s="1" t="str">
        <f t="shared" si="2"/>
        <v>null</v>
      </c>
      <c r="T172" s="1" t="str">
        <f t="shared" si="3"/>
        <v>null</v>
      </c>
      <c r="U172" s="1">
        <f t="shared" si="4"/>
        <v>96</v>
      </c>
    </row>
    <row r="173" spans="1:21">
      <c r="A173" s="1" t="s">
        <v>121</v>
      </c>
      <c r="B173" s="1">
        <v>2017</v>
      </c>
      <c r="C173" s="1">
        <v>110.87400049999999</v>
      </c>
      <c r="D173" s="1">
        <v>36.164001460000001</v>
      </c>
      <c r="E173" s="1">
        <v>95.628650440000001</v>
      </c>
      <c r="F173" s="1">
        <v>1.1614815839999999</v>
      </c>
      <c r="G173" s="1">
        <v>0</v>
      </c>
      <c r="H173" s="1">
        <v>3.2098679720000001</v>
      </c>
      <c r="I173" s="1" t="s">
        <v>272</v>
      </c>
      <c r="J173" s="1" t="s">
        <v>272</v>
      </c>
      <c r="K173" s="1" t="s">
        <v>272</v>
      </c>
      <c r="L173" s="1" t="s">
        <v>272</v>
      </c>
      <c r="M173" s="1" t="s">
        <v>272</v>
      </c>
      <c r="N173" s="1" t="s">
        <v>272</v>
      </c>
      <c r="O173" s="1" t="s">
        <v>272</v>
      </c>
      <c r="P173" s="1" t="s">
        <v>272</v>
      </c>
      <c r="Q173" s="2" t="str">
        <f t="shared" si="0"/>
        <v/>
      </c>
      <c r="R173" s="1" t="str">
        <f t="shared" si="1"/>
        <v/>
      </c>
      <c r="S173" s="1" t="str">
        <f t="shared" si="2"/>
        <v/>
      </c>
      <c r="T173" s="1" t="str">
        <f t="shared" si="3"/>
        <v/>
      </c>
      <c r="U173" s="1">
        <f t="shared" si="4"/>
        <v>96</v>
      </c>
    </row>
    <row r="174" spans="1:21">
      <c r="A174" s="1" t="s">
        <v>122</v>
      </c>
      <c r="B174" s="1">
        <v>2015</v>
      </c>
      <c r="C174" s="1">
        <v>400.26000979999998</v>
      </c>
      <c r="D174" s="1">
        <v>98.443000789999999</v>
      </c>
      <c r="E174" s="1">
        <v>99.611028129999994</v>
      </c>
      <c r="F174" s="1">
        <v>0</v>
      </c>
      <c r="G174" s="1">
        <v>0.38897187239999997</v>
      </c>
      <c r="H174" s="1">
        <v>0</v>
      </c>
      <c r="I174" s="1" t="s">
        <v>272</v>
      </c>
      <c r="J174" s="1" t="s">
        <v>272</v>
      </c>
      <c r="K174" s="1" t="s">
        <v>272</v>
      </c>
      <c r="L174" s="1" t="s">
        <v>272</v>
      </c>
      <c r="M174" s="1" t="s">
        <v>272</v>
      </c>
      <c r="N174" s="1" t="s">
        <v>272</v>
      </c>
      <c r="O174" s="1" t="s">
        <v>272</v>
      </c>
      <c r="P174" s="1" t="s">
        <v>272</v>
      </c>
      <c r="Q174" s="2">
        <f t="shared" si="0"/>
        <v>5</v>
      </c>
      <c r="R174" s="1">
        <f t="shared" si="1"/>
        <v>3.8419582000000216E-2</v>
      </c>
      <c r="S174" s="1" t="str">
        <f t="shared" si="2"/>
        <v>null</v>
      </c>
      <c r="T174" s="1" t="str">
        <f t="shared" si="3"/>
        <v>null</v>
      </c>
      <c r="U174" s="1">
        <f t="shared" si="4"/>
        <v>100</v>
      </c>
    </row>
    <row r="175" spans="1:21">
      <c r="A175" s="1" t="s">
        <v>122</v>
      </c>
      <c r="B175" s="1">
        <v>2020</v>
      </c>
      <c r="C175" s="1">
        <v>400.12701420000002</v>
      </c>
      <c r="D175" s="1">
        <v>98.498992920000006</v>
      </c>
      <c r="E175" s="1">
        <v>99.803126039999995</v>
      </c>
      <c r="F175" s="1">
        <v>0</v>
      </c>
      <c r="G175" s="1">
        <v>0.19687396130000001</v>
      </c>
      <c r="H175" s="1">
        <v>0</v>
      </c>
      <c r="I175" s="1" t="s">
        <v>272</v>
      </c>
      <c r="J175" s="1" t="s">
        <v>272</v>
      </c>
      <c r="K175" s="1" t="s">
        <v>272</v>
      </c>
      <c r="L175" s="1" t="s">
        <v>272</v>
      </c>
      <c r="M175" s="1" t="s">
        <v>272</v>
      </c>
      <c r="N175" s="1" t="s">
        <v>272</v>
      </c>
      <c r="O175" s="1" t="s">
        <v>272</v>
      </c>
      <c r="P175" s="1" t="s">
        <v>272</v>
      </c>
      <c r="Q175" s="2" t="str">
        <f t="shared" si="0"/>
        <v/>
      </c>
      <c r="R175" s="1" t="str">
        <f t="shared" si="1"/>
        <v/>
      </c>
      <c r="S175" s="1" t="str">
        <f t="shared" si="2"/>
        <v/>
      </c>
      <c r="T175" s="1" t="str">
        <f t="shared" si="3"/>
        <v/>
      </c>
      <c r="U175" s="1">
        <f t="shared" si="4"/>
        <v>100</v>
      </c>
    </row>
    <row r="176" spans="1:21">
      <c r="A176" s="1" t="s">
        <v>123</v>
      </c>
      <c r="B176" s="1">
        <v>2015</v>
      </c>
      <c r="C176" s="1">
        <v>161.85099790000001</v>
      </c>
      <c r="D176" s="1">
        <v>94.533996579999993</v>
      </c>
      <c r="E176" s="1">
        <v>99.6952</v>
      </c>
      <c r="F176" s="1">
        <v>0</v>
      </c>
      <c r="G176" s="1">
        <v>0.30480000000000002</v>
      </c>
      <c r="H176" s="1">
        <v>0</v>
      </c>
      <c r="I176" s="1" t="s">
        <v>272</v>
      </c>
      <c r="J176" s="1" t="s">
        <v>272</v>
      </c>
      <c r="K176" s="1" t="s">
        <v>272</v>
      </c>
      <c r="L176" s="1" t="s">
        <v>272</v>
      </c>
      <c r="M176" s="1" t="s">
        <v>272</v>
      </c>
      <c r="N176" s="1" t="s">
        <v>272</v>
      </c>
      <c r="O176" s="1" t="s">
        <v>272</v>
      </c>
      <c r="P176" s="1" t="s">
        <v>272</v>
      </c>
      <c r="Q176" s="2">
        <f t="shared" si="0"/>
        <v>5</v>
      </c>
      <c r="R176" s="1">
        <f t="shared" si="1"/>
        <v>0</v>
      </c>
      <c r="S176" s="1" t="str">
        <f t="shared" si="2"/>
        <v>null</v>
      </c>
      <c r="T176" s="1" t="str">
        <f t="shared" si="3"/>
        <v>null</v>
      </c>
      <c r="U176" s="1">
        <f t="shared" si="4"/>
        <v>100</v>
      </c>
    </row>
    <row r="177" spans="1:21">
      <c r="A177" s="1" t="s">
        <v>123</v>
      </c>
      <c r="B177" s="1">
        <v>2020</v>
      </c>
      <c r="C177" s="1">
        <v>168.78300479999999</v>
      </c>
      <c r="D177" s="1">
        <v>94.938003539999997</v>
      </c>
      <c r="E177" s="1">
        <v>99.6952</v>
      </c>
      <c r="F177" s="1">
        <v>0</v>
      </c>
      <c r="G177" s="1">
        <v>0.30480000000000002</v>
      </c>
      <c r="H177" s="1">
        <v>0</v>
      </c>
      <c r="I177" s="1" t="s">
        <v>272</v>
      </c>
      <c r="J177" s="1" t="s">
        <v>272</v>
      </c>
      <c r="K177" s="1" t="s">
        <v>272</v>
      </c>
      <c r="L177" s="1" t="s">
        <v>272</v>
      </c>
      <c r="M177" s="1" t="s">
        <v>272</v>
      </c>
      <c r="N177" s="1" t="s">
        <v>272</v>
      </c>
      <c r="O177" s="1" t="s">
        <v>272</v>
      </c>
      <c r="P177" s="1" t="s">
        <v>272</v>
      </c>
      <c r="Q177" s="2" t="str">
        <f t="shared" si="0"/>
        <v/>
      </c>
      <c r="R177" s="1" t="str">
        <f t="shared" si="1"/>
        <v/>
      </c>
      <c r="S177" s="1" t="str">
        <f t="shared" si="2"/>
        <v/>
      </c>
      <c r="T177" s="1" t="str">
        <f t="shared" si="3"/>
        <v/>
      </c>
      <c r="U177" s="1">
        <f t="shared" si="4"/>
        <v>100</v>
      </c>
    </row>
    <row r="178" spans="1:21">
      <c r="A178" s="1" t="s">
        <v>124</v>
      </c>
      <c r="B178" s="1">
        <v>2015</v>
      </c>
      <c r="C178" s="1">
        <v>16252.424800000001</v>
      </c>
      <c r="D178" s="1">
        <v>49.971000670000002</v>
      </c>
      <c r="E178" s="1">
        <v>92.134033849999994</v>
      </c>
      <c r="F178" s="1">
        <v>0.96845174850000004</v>
      </c>
      <c r="G178" s="1">
        <v>4.7652610869999998</v>
      </c>
      <c r="H178" s="1">
        <v>2.1322533130000001</v>
      </c>
      <c r="I178" s="1">
        <v>87.242756180000001</v>
      </c>
      <c r="J178" s="1">
        <v>1.6509012869999999</v>
      </c>
      <c r="K178" s="1">
        <v>7.052091828</v>
      </c>
      <c r="L178" s="1">
        <v>4.0542507089999997</v>
      </c>
      <c r="M178" s="1">
        <v>97.030988910000005</v>
      </c>
      <c r="N178" s="1">
        <v>0.2852100796</v>
      </c>
      <c r="O178" s="1">
        <v>2.4757759840000002</v>
      </c>
      <c r="P178" s="1">
        <v>0.20802502270000001</v>
      </c>
      <c r="Q178" s="2">
        <f t="shared" si="0"/>
        <v>5</v>
      </c>
      <c r="R178" s="1">
        <f t="shared" si="1"/>
        <v>0.37447888400000123</v>
      </c>
      <c r="S178" s="1">
        <f t="shared" si="2"/>
        <v>0.57531472400000039</v>
      </c>
      <c r="T178" s="1">
        <f t="shared" si="3"/>
        <v>0.11743610599999954</v>
      </c>
      <c r="U178" s="1">
        <f t="shared" si="4"/>
        <v>92</v>
      </c>
    </row>
    <row r="179" spans="1:21">
      <c r="A179" s="1" t="s">
        <v>124</v>
      </c>
      <c r="B179" s="1">
        <v>2020</v>
      </c>
      <c r="C179" s="1">
        <v>17915.566409999999</v>
      </c>
      <c r="D179" s="1">
        <v>51.835998539999999</v>
      </c>
      <c r="E179" s="1">
        <v>94.006428270000001</v>
      </c>
      <c r="F179" s="1">
        <v>1.034150511</v>
      </c>
      <c r="G179" s="1">
        <v>3.2159118150000001</v>
      </c>
      <c r="H179" s="1">
        <v>1.7435094040000001</v>
      </c>
      <c r="I179" s="1">
        <v>90.119329800000003</v>
      </c>
      <c r="J179" s="1">
        <v>1.8491699989999999</v>
      </c>
      <c r="K179" s="1">
        <v>4.5834386909999996</v>
      </c>
      <c r="L179" s="1">
        <v>3.4480615079999999</v>
      </c>
      <c r="M179" s="1">
        <v>97.618169440000003</v>
      </c>
      <c r="N179" s="1">
        <v>0.27686600569999997</v>
      </c>
      <c r="O179" s="1">
        <v>1.94525887</v>
      </c>
      <c r="P179" s="1">
        <v>0.15970568490000001</v>
      </c>
      <c r="Q179" s="2" t="str">
        <f t="shared" si="0"/>
        <v/>
      </c>
      <c r="R179" s="1" t="str">
        <f t="shared" si="1"/>
        <v/>
      </c>
      <c r="S179" s="1" t="str">
        <f t="shared" si="2"/>
        <v/>
      </c>
      <c r="T179" s="1" t="str">
        <f t="shared" si="3"/>
        <v/>
      </c>
      <c r="U179" s="1">
        <f t="shared" si="4"/>
        <v>94</v>
      </c>
    </row>
    <row r="180" spans="1:21">
      <c r="A180" s="1" t="s">
        <v>125</v>
      </c>
      <c r="B180" s="1">
        <v>2015</v>
      </c>
      <c r="C180" s="1">
        <v>11432.0957</v>
      </c>
      <c r="D180" s="1">
        <v>35.140998840000002</v>
      </c>
      <c r="E180" s="1">
        <v>63.615389540000002</v>
      </c>
      <c r="F180" s="1">
        <v>16.090256029999999</v>
      </c>
      <c r="G180" s="1">
        <v>9.7579804439999993</v>
      </c>
      <c r="H180" s="1">
        <v>10.53637399</v>
      </c>
      <c r="I180" s="1">
        <v>51.949155339999997</v>
      </c>
      <c r="J180" s="1">
        <v>18.760629779999999</v>
      </c>
      <c r="K180" s="1">
        <v>13.309717210000001</v>
      </c>
      <c r="L180" s="1">
        <v>15.980497679999999</v>
      </c>
      <c r="M180" s="1">
        <v>85.147507689999998</v>
      </c>
      <c r="N180" s="1">
        <v>11.161602630000001</v>
      </c>
      <c r="O180" s="1">
        <v>3.202620418</v>
      </c>
      <c r="P180" s="1">
        <v>0.48826926510000002</v>
      </c>
      <c r="Q180" s="2">
        <f t="shared" si="0"/>
        <v>5</v>
      </c>
      <c r="R180" s="1">
        <f t="shared" si="1"/>
        <v>6.9279840000000092E-2</v>
      </c>
      <c r="S180" s="1">
        <f t="shared" si="2"/>
        <v>-0.24019526999999954</v>
      </c>
      <c r="T180" s="1">
        <f t="shared" si="3"/>
        <v>0.28683647599999917</v>
      </c>
      <c r="U180" s="1">
        <f t="shared" si="4"/>
        <v>64</v>
      </c>
    </row>
    <row r="181" spans="1:21">
      <c r="A181" s="1" t="s">
        <v>125</v>
      </c>
      <c r="B181" s="1">
        <v>2020</v>
      </c>
      <c r="C181" s="1">
        <v>13132.79199</v>
      </c>
      <c r="D181" s="1">
        <v>36.875</v>
      </c>
      <c r="E181" s="1">
        <v>63.961788740000003</v>
      </c>
      <c r="F181" s="1">
        <v>21.281591500000001</v>
      </c>
      <c r="G181" s="1">
        <v>6.2961194059999999</v>
      </c>
      <c r="H181" s="1">
        <v>8.4605003540000006</v>
      </c>
      <c r="I181" s="1">
        <v>50.74817899</v>
      </c>
      <c r="J181" s="1">
        <v>26.14432944</v>
      </c>
      <c r="K181" s="1">
        <v>9.7047191430000002</v>
      </c>
      <c r="L181" s="1">
        <v>13.402772430000001</v>
      </c>
      <c r="M181" s="1">
        <v>86.581690069999993</v>
      </c>
      <c r="N181" s="1">
        <v>12.957241529999999</v>
      </c>
      <c r="O181" s="1">
        <v>0.46106839799999999</v>
      </c>
      <c r="P181" s="1">
        <v>0</v>
      </c>
      <c r="Q181" s="2" t="str">
        <f t="shared" si="0"/>
        <v/>
      </c>
      <c r="R181" s="1" t="str">
        <f t="shared" si="1"/>
        <v/>
      </c>
      <c r="S181" s="1" t="str">
        <f t="shared" si="2"/>
        <v/>
      </c>
      <c r="T181" s="1" t="str">
        <f t="shared" si="3"/>
        <v/>
      </c>
      <c r="U181" s="1">
        <f t="shared" si="4"/>
        <v>64</v>
      </c>
    </row>
    <row r="182" spans="1:21">
      <c r="A182" s="1" t="s">
        <v>126</v>
      </c>
      <c r="B182" s="1">
        <v>2015</v>
      </c>
      <c r="C182" s="1">
        <v>1737.2070309999999</v>
      </c>
      <c r="D182" s="1">
        <v>42.12299728</v>
      </c>
      <c r="E182" s="1">
        <v>58.764347620000002</v>
      </c>
      <c r="F182" s="1">
        <v>10.59149221</v>
      </c>
      <c r="G182" s="1">
        <v>29.744379070000001</v>
      </c>
      <c r="H182" s="1">
        <v>0.89978109260000005</v>
      </c>
      <c r="I182" s="1">
        <v>48.422730049999998</v>
      </c>
      <c r="J182" s="1">
        <v>7.5662803609999996</v>
      </c>
      <c r="K182" s="1">
        <v>42.58264827</v>
      </c>
      <c r="L182" s="1">
        <v>1.428341318</v>
      </c>
      <c r="M182" s="1">
        <v>72.973731220000005</v>
      </c>
      <c r="N182" s="1">
        <v>14.748133599999999</v>
      </c>
      <c r="O182" s="1">
        <v>12.104595890000001</v>
      </c>
      <c r="P182" s="1">
        <v>0.17353928900000001</v>
      </c>
      <c r="Q182" s="2">
        <f t="shared" si="0"/>
        <v>5</v>
      </c>
      <c r="R182" s="1">
        <f t="shared" si="1"/>
        <v>5.0512917999999726E-2</v>
      </c>
      <c r="S182" s="1">
        <f t="shared" si="2"/>
        <v>0.28183505000000081</v>
      </c>
      <c r="T182" s="1">
        <f t="shared" si="3"/>
        <v>-0.47187666199999967</v>
      </c>
      <c r="U182" s="1">
        <f t="shared" si="4"/>
        <v>59</v>
      </c>
    </row>
    <row r="183" spans="1:21">
      <c r="A183" s="1" t="s">
        <v>126</v>
      </c>
      <c r="B183" s="1">
        <v>2020</v>
      </c>
      <c r="C183" s="1">
        <v>1967.998047</v>
      </c>
      <c r="D183" s="1">
        <v>44.195999149999999</v>
      </c>
      <c r="E183" s="1">
        <v>59.016912210000001</v>
      </c>
      <c r="F183" s="1">
        <v>14.03457137</v>
      </c>
      <c r="G183" s="1">
        <v>26.6263769</v>
      </c>
      <c r="H183" s="1">
        <v>0.3221395192</v>
      </c>
      <c r="I183" s="1">
        <v>49.831905300000003</v>
      </c>
      <c r="J183" s="1">
        <v>9.2857730259999993</v>
      </c>
      <c r="K183" s="1">
        <v>40.316451290000003</v>
      </c>
      <c r="L183" s="1">
        <v>0.56587038450000005</v>
      </c>
      <c r="M183" s="1">
        <v>70.614347910000006</v>
      </c>
      <c r="N183" s="1">
        <v>20.03063358</v>
      </c>
      <c r="O183" s="1">
        <v>9.3406252839999997</v>
      </c>
      <c r="P183" s="1">
        <v>1.4393226929999999E-2</v>
      </c>
      <c r="Q183" s="2" t="str">
        <f t="shared" si="0"/>
        <v/>
      </c>
      <c r="R183" s="1" t="str">
        <f t="shared" si="1"/>
        <v/>
      </c>
      <c r="S183" s="1" t="str">
        <f t="shared" si="2"/>
        <v/>
      </c>
      <c r="T183" s="1" t="str">
        <f t="shared" si="3"/>
        <v/>
      </c>
      <c r="U183" s="1">
        <f t="shared" si="4"/>
        <v>59</v>
      </c>
    </row>
    <row r="184" spans="1:21">
      <c r="A184" s="1" t="s">
        <v>127</v>
      </c>
      <c r="B184" s="1">
        <v>2015</v>
      </c>
      <c r="C184" s="1">
        <v>767.43298340000001</v>
      </c>
      <c r="D184" s="1">
        <v>26.44099808</v>
      </c>
      <c r="E184" s="1">
        <v>95.161856950000001</v>
      </c>
      <c r="F184" s="1">
        <v>1.233247953</v>
      </c>
      <c r="G184" s="1">
        <v>1.344803287</v>
      </c>
      <c r="H184" s="1">
        <v>2.2600918079999999</v>
      </c>
      <c r="I184" s="1">
        <v>93.422769709999997</v>
      </c>
      <c r="J184" s="1">
        <v>1.6765425039999999</v>
      </c>
      <c r="K184" s="1">
        <v>1.82819943</v>
      </c>
      <c r="L184" s="1">
        <v>3.0724883580000002</v>
      </c>
      <c r="M184" s="1">
        <v>100</v>
      </c>
      <c r="N184" s="1">
        <v>0</v>
      </c>
      <c r="O184" s="1">
        <v>0</v>
      </c>
      <c r="P184" s="1">
        <v>0</v>
      </c>
      <c r="Q184" s="2">
        <f t="shared" si="0"/>
        <v>5</v>
      </c>
      <c r="R184" s="1">
        <f t="shared" si="1"/>
        <v>7.8589980000000989E-2</v>
      </c>
      <c r="S184" s="1">
        <f t="shared" si="2"/>
        <v>0.10114415799999961</v>
      </c>
      <c r="T184" s="1">
        <f t="shared" si="3"/>
        <v>0</v>
      </c>
      <c r="U184" s="1">
        <f t="shared" si="4"/>
        <v>95</v>
      </c>
    </row>
    <row r="185" spans="1:21">
      <c r="A185" s="1" t="s">
        <v>127</v>
      </c>
      <c r="B185" s="1">
        <v>2020</v>
      </c>
      <c r="C185" s="1">
        <v>786.55902100000003</v>
      </c>
      <c r="D185" s="1">
        <v>26.7859993</v>
      </c>
      <c r="E185" s="1">
        <v>95.554806850000006</v>
      </c>
      <c r="F185" s="1">
        <v>1.205244408</v>
      </c>
      <c r="G185" s="1">
        <v>1.143069849</v>
      </c>
      <c r="H185" s="1">
        <v>2.0968788969999999</v>
      </c>
      <c r="I185" s="1">
        <v>93.928490499999995</v>
      </c>
      <c r="J185" s="1">
        <v>1.6461938620000001</v>
      </c>
      <c r="K185" s="1">
        <v>1.5612748329999999</v>
      </c>
      <c r="L185" s="1">
        <v>2.864040809</v>
      </c>
      <c r="M185" s="1">
        <v>100</v>
      </c>
      <c r="N185" s="1">
        <v>0</v>
      </c>
      <c r="O185" s="1">
        <v>0</v>
      </c>
      <c r="P185" s="1">
        <v>0</v>
      </c>
      <c r="Q185" s="2" t="str">
        <f t="shared" si="0"/>
        <v/>
      </c>
      <c r="R185" s="1" t="str">
        <f t="shared" si="1"/>
        <v/>
      </c>
      <c r="S185" s="1" t="str">
        <f t="shared" si="2"/>
        <v/>
      </c>
      <c r="T185" s="1" t="str">
        <f t="shared" si="3"/>
        <v/>
      </c>
      <c r="U185" s="1">
        <f t="shared" si="4"/>
        <v>96</v>
      </c>
    </row>
    <row r="186" spans="1:21">
      <c r="A186" s="1" t="s">
        <v>128</v>
      </c>
      <c r="B186" s="1">
        <v>2015</v>
      </c>
      <c r="C186" s="1">
        <v>10695.54004</v>
      </c>
      <c r="D186" s="1">
        <v>52.426998140000002</v>
      </c>
      <c r="E186" s="1">
        <v>64.567485939999997</v>
      </c>
      <c r="F186" s="1">
        <v>9.2184870100000005</v>
      </c>
      <c r="G186" s="1">
        <v>25.477839450000001</v>
      </c>
      <c r="H186" s="1">
        <v>0.73618759609999995</v>
      </c>
      <c r="I186" s="1">
        <v>42.416418049999997</v>
      </c>
      <c r="J186" s="1">
        <v>12.228897890000001</v>
      </c>
      <c r="K186" s="1">
        <v>43.807193750000003</v>
      </c>
      <c r="L186" s="1">
        <v>1.5474903170000001</v>
      </c>
      <c r="M186" s="1">
        <v>84.667679129999996</v>
      </c>
      <c r="N186" s="1">
        <v>6.4867974830000001</v>
      </c>
      <c r="O186" s="1">
        <v>8.8455233880000002</v>
      </c>
      <c r="P186" s="1">
        <v>0</v>
      </c>
      <c r="Q186" s="2">
        <f t="shared" si="0"/>
        <v>5</v>
      </c>
      <c r="R186" s="1">
        <f t="shared" si="1"/>
        <v>0.4255644920000009</v>
      </c>
      <c r="S186" s="1">
        <f t="shared" si="2"/>
        <v>8.5856410000000952E-2</v>
      </c>
      <c r="T186" s="1">
        <f t="shared" si="3"/>
        <v>-9.0115679999996697E-3</v>
      </c>
      <c r="U186" s="1">
        <f t="shared" si="4"/>
        <v>65</v>
      </c>
    </row>
    <row r="187" spans="1:21">
      <c r="A187" s="1" t="s">
        <v>128</v>
      </c>
      <c r="B187" s="1">
        <v>2020</v>
      </c>
      <c r="C187" s="1">
        <v>11402.5332</v>
      </c>
      <c r="D187" s="1">
        <v>57.087997440000002</v>
      </c>
      <c r="E187" s="1">
        <v>66.695308400000002</v>
      </c>
      <c r="F187" s="1">
        <v>9.8145436519999993</v>
      </c>
      <c r="G187" s="1">
        <v>23.490147950000001</v>
      </c>
      <c r="H187" s="1">
        <v>0</v>
      </c>
      <c r="I187" s="1">
        <v>42.845700100000002</v>
      </c>
      <c r="J187" s="1">
        <v>13.25598695</v>
      </c>
      <c r="K187" s="1">
        <v>43.898312949999998</v>
      </c>
      <c r="L187" s="1">
        <v>0</v>
      </c>
      <c r="M187" s="1">
        <v>84.622621289999998</v>
      </c>
      <c r="N187" s="1">
        <v>7.2276738790000001</v>
      </c>
      <c r="O187" s="1">
        <v>8.1497048349999996</v>
      </c>
      <c r="P187" s="1">
        <v>0</v>
      </c>
      <c r="Q187" s="2" t="str">
        <f t="shared" si="0"/>
        <v/>
      </c>
      <c r="R187" s="1" t="str">
        <f t="shared" si="1"/>
        <v/>
      </c>
      <c r="S187" s="1" t="str">
        <f t="shared" si="2"/>
        <v/>
      </c>
      <c r="T187" s="1" t="str">
        <f t="shared" si="3"/>
        <v/>
      </c>
      <c r="U187" s="1">
        <f t="shared" si="4"/>
        <v>67</v>
      </c>
    </row>
    <row r="188" spans="1:21">
      <c r="A188" s="1" t="s">
        <v>129</v>
      </c>
      <c r="B188" s="1">
        <v>2015</v>
      </c>
      <c r="C188" s="1">
        <v>9112.9042969999991</v>
      </c>
      <c r="D188" s="1">
        <v>55.164997100000001</v>
      </c>
      <c r="E188" s="1">
        <v>93.254410710000002</v>
      </c>
      <c r="F188" s="1">
        <v>0.43175410669999997</v>
      </c>
      <c r="G188" s="1">
        <v>6.0221561560000003</v>
      </c>
      <c r="H188" s="1">
        <v>0.29167902839999998</v>
      </c>
      <c r="I188" s="1">
        <v>86.437073749999996</v>
      </c>
      <c r="J188" s="1">
        <v>0.77584410459999997</v>
      </c>
      <c r="K188" s="1">
        <v>12.14597638</v>
      </c>
      <c r="L188" s="1">
        <v>0.6411057671</v>
      </c>
      <c r="M188" s="1">
        <v>98.795162680000004</v>
      </c>
      <c r="N188" s="1">
        <v>0.15209716100000001</v>
      </c>
      <c r="O188" s="1">
        <v>1.04505549</v>
      </c>
      <c r="P188" s="1">
        <v>7.6846736400000004E-3</v>
      </c>
      <c r="Q188" s="2">
        <f t="shared" si="0"/>
        <v>5</v>
      </c>
      <c r="R188" s="1">
        <f t="shared" si="1"/>
        <v>0.48696208400000102</v>
      </c>
      <c r="S188" s="1">
        <f t="shared" si="2"/>
        <v>0.68774516000000008</v>
      </c>
      <c r="T188" s="1">
        <f t="shared" si="3"/>
        <v>0.20842402600000015</v>
      </c>
      <c r="U188" s="1">
        <f t="shared" si="4"/>
        <v>93</v>
      </c>
    </row>
    <row r="189" spans="1:21">
      <c r="A189" s="1" t="s">
        <v>129</v>
      </c>
      <c r="B189" s="1">
        <v>2020</v>
      </c>
      <c r="C189" s="1">
        <v>9904.6083980000003</v>
      </c>
      <c r="D189" s="1">
        <v>58.358997340000002</v>
      </c>
      <c r="E189" s="1">
        <v>95.689221130000007</v>
      </c>
      <c r="F189" s="1">
        <v>0.4256206085</v>
      </c>
      <c r="G189" s="1">
        <v>3.8851582640000002</v>
      </c>
      <c r="H189" s="1">
        <v>0</v>
      </c>
      <c r="I189" s="1">
        <v>89.875799549999996</v>
      </c>
      <c r="J189" s="1">
        <v>0.80670950789999996</v>
      </c>
      <c r="K189" s="1">
        <v>9.3174909459999995</v>
      </c>
      <c r="L189" s="1">
        <v>0</v>
      </c>
      <c r="M189" s="1">
        <v>99.837282810000005</v>
      </c>
      <c r="N189" s="1">
        <v>0.15370152619999999</v>
      </c>
      <c r="O189" s="1">
        <v>9.0156632960000007E-3</v>
      </c>
      <c r="P189" s="1">
        <v>0</v>
      </c>
      <c r="Q189" s="2" t="str">
        <f t="shared" si="0"/>
        <v/>
      </c>
      <c r="R189" s="1" t="str">
        <f t="shared" si="1"/>
        <v/>
      </c>
      <c r="S189" s="1" t="str">
        <f t="shared" si="2"/>
        <v/>
      </c>
      <c r="T189" s="1" t="str">
        <f t="shared" si="3"/>
        <v/>
      </c>
      <c r="U189" s="1">
        <f t="shared" si="4"/>
        <v>96</v>
      </c>
    </row>
    <row r="190" spans="1:21">
      <c r="A190" s="1" t="s">
        <v>130</v>
      </c>
      <c r="B190" s="1">
        <v>2015</v>
      </c>
      <c r="C190" s="1">
        <v>9777.9248050000006</v>
      </c>
      <c r="D190" s="1">
        <v>70.5</v>
      </c>
      <c r="E190" s="1">
        <v>99.970528959999996</v>
      </c>
      <c r="F190" s="1">
        <v>0</v>
      </c>
      <c r="G190" s="1">
        <v>2.9471039399999999E-2</v>
      </c>
      <c r="H190" s="1">
        <v>0</v>
      </c>
      <c r="I190" s="1">
        <v>99.900089719999997</v>
      </c>
      <c r="J190" s="1">
        <v>0</v>
      </c>
      <c r="K190" s="1">
        <v>9.9910284789999998E-2</v>
      </c>
      <c r="L190" s="1">
        <v>0</v>
      </c>
      <c r="M190" s="1">
        <v>100</v>
      </c>
      <c r="N190" s="1">
        <v>0</v>
      </c>
      <c r="O190" s="1">
        <v>0</v>
      </c>
      <c r="P190" s="1">
        <v>0</v>
      </c>
      <c r="Q190" s="2">
        <f t="shared" si="0"/>
        <v>5</v>
      </c>
      <c r="R190" s="1">
        <f t="shared" si="1"/>
        <v>5.8937020000001897E-3</v>
      </c>
      <c r="S190" s="1">
        <f t="shared" si="2"/>
        <v>1.9982056000000626E-2</v>
      </c>
      <c r="T190" s="1">
        <f t="shared" si="3"/>
        <v>0</v>
      </c>
      <c r="U190" s="1">
        <f t="shared" si="4"/>
        <v>100</v>
      </c>
    </row>
    <row r="191" spans="1:21">
      <c r="A191" s="1" t="s">
        <v>130</v>
      </c>
      <c r="B191" s="1">
        <v>2020</v>
      </c>
      <c r="C191" s="1">
        <v>9660.3496090000008</v>
      </c>
      <c r="D191" s="1">
        <v>71.942001340000004</v>
      </c>
      <c r="E191" s="1">
        <v>99.999997469999997</v>
      </c>
      <c r="F191" s="1">
        <v>0</v>
      </c>
      <c r="G191" s="1">
        <v>2.5272441919999999E-6</v>
      </c>
      <c r="H191" s="1">
        <v>0</v>
      </c>
      <c r="I191" s="1">
        <v>100</v>
      </c>
      <c r="J191" s="1">
        <v>0</v>
      </c>
      <c r="K191" s="1">
        <v>0</v>
      </c>
      <c r="L191" s="1">
        <v>0</v>
      </c>
      <c r="M191" s="1">
        <v>100</v>
      </c>
      <c r="N191" s="1">
        <v>0</v>
      </c>
      <c r="O191" s="1">
        <v>0</v>
      </c>
      <c r="P191" s="1">
        <v>0</v>
      </c>
      <c r="Q191" s="2" t="str">
        <f t="shared" si="0"/>
        <v/>
      </c>
      <c r="R191" s="1" t="str">
        <f t="shared" si="1"/>
        <v/>
      </c>
      <c r="S191" s="1" t="str">
        <f t="shared" si="2"/>
        <v/>
      </c>
      <c r="T191" s="1" t="str">
        <f t="shared" si="3"/>
        <v/>
      </c>
      <c r="U191" s="1">
        <f t="shared" si="4"/>
        <v>100</v>
      </c>
    </row>
    <row r="192" spans="1:21">
      <c r="A192" s="1" t="s">
        <v>131</v>
      </c>
      <c r="B192" s="1">
        <v>2015</v>
      </c>
      <c r="C192" s="1">
        <v>330.23699950000002</v>
      </c>
      <c r="D192" s="1">
        <v>93.699996949999999</v>
      </c>
      <c r="E192" s="1">
        <v>100.00000230000001</v>
      </c>
      <c r="F192" s="1">
        <v>0</v>
      </c>
      <c r="G192" s="1">
        <v>0</v>
      </c>
      <c r="H192" s="1">
        <v>0</v>
      </c>
      <c r="I192" s="1">
        <v>100</v>
      </c>
      <c r="J192" s="1">
        <v>0</v>
      </c>
      <c r="K192" s="1">
        <v>0</v>
      </c>
      <c r="L192" s="1">
        <v>0</v>
      </c>
      <c r="M192" s="1">
        <v>100</v>
      </c>
      <c r="N192" s="1">
        <v>0</v>
      </c>
      <c r="O192" s="1">
        <v>0</v>
      </c>
      <c r="P192" s="1">
        <v>0</v>
      </c>
      <c r="Q192" s="2">
        <f t="shared" si="0"/>
        <v>5</v>
      </c>
      <c r="R192" s="1">
        <f t="shared" si="1"/>
        <v>-1.0180000003856548E-6</v>
      </c>
      <c r="S192" s="1">
        <f t="shared" si="2"/>
        <v>0</v>
      </c>
      <c r="T192" s="1">
        <f t="shared" si="3"/>
        <v>0</v>
      </c>
      <c r="U192" s="1">
        <f t="shared" si="4"/>
        <v>100</v>
      </c>
    </row>
    <row r="193" spans="1:21">
      <c r="A193" s="1" t="s">
        <v>131</v>
      </c>
      <c r="B193" s="1">
        <v>2020</v>
      </c>
      <c r="C193" s="1">
        <v>341.25</v>
      </c>
      <c r="D193" s="1">
        <v>93.897994999999995</v>
      </c>
      <c r="E193" s="1">
        <v>99.999997210000004</v>
      </c>
      <c r="F193" s="1">
        <v>0</v>
      </c>
      <c r="G193" s="1">
        <v>2.7946500150000002E-6</v>
      </c>
      <c r="H193" s="1">
        <v>0</v>
      </c>
      <c r="I193" s="1">
        <v>100</v>
      </c>
      <c r="J193" s="1">
        <v>0</v>
      </c>
      <c r="K193" s="1">
        <v>0</v>
      </c>
      <c r="L193" s="1">
        <v>0</v>
      </c>
      <c r="M193" s="1">
        <v>100</v>
      </c>
      <c r="N193" s="1">
        <v>0</v>
      </c>
      <c r="O193" s="1">
        <v>0</v>
      </c>
      <c r="P193" s="1">
        <v>0</v>
      </c>
      <c r="Q193" s="2" t="str">
        <f t="shared" si="0"/>
        <v/>
      </c>
      <c r="R193" s="1" t="str">
        <f t="shared" si="1"/>
        <v/>
      </c>
      <c r="S193" s="1" t="str">
        <f t="shared" si="2"/>
        <v/>
      </c>
      <c r="T193" s="1" t="str">
        <f t="shared" si="3"/>
        <v/>
      </c>
      <c r="U193" s="1">
        <f t="shared" si="4"/>
        <v>100</v>
      </c>
    </row>
    <row r="194" spans="1:21">
      <c r="A194" s="1" t="s">
        <v>132</v>
      </c>
      <c r="B194" s="1">
        <v>2015</v>
      </c>
      <c r="C194" s="1">
        <v>1310152.375</v>
      </c>
      <c r="D194" s="1">
        <v>32.777000430000001</v>
      </c>
      <c r="E194" s="1">
        <v>88.138132630000001</v>
      </c>
      <c r="F194" s="1">
        <v>4.6925990149999999</v>
      </c>
      <c r="G194" s="1">
        <v>6.4124515520000003</v>
      </c>
      <c r="H194" s="1">
        <v>0.75681680389999995</v>
      </c>
      <c r="I194" s="1">
        <v>85.572000349999996</v>
      </c>
      <c r="J194" s="1">
        <v>5.5421338929999999</v>
      </c>
      <c r="K194" s="1">
        <v>7.8808700040000002</v>
      </c>
      <c r="L194" s="1">
        <v>1.004995751</v>
      </c>
      <c r="M194" s="1">
        <v>93.401064610000006</v>
      </c>
      <c r="N194" s="1">
        <v>2.9502709540000001</v>
      </c>
      <c r="O194" s="1">
        <v>3.4008427999999999</v>
      </c>
      <c r="P194" s="1">
        <v>0.2478216409</v>
      </c>
      <c r="Q194" s="2">
        <f t="shared" si="0"/>
        <v>5</v>
      </c>
      <c r="R194" s="1">
        <f t="shared" si="1"/>
        <v>0.47027847999999894</v>
      </c>
      <c r="S194" s="1">
        <f t="shared" si="2"/>
        <v>0.64210055599999971</v>
      </c>
      <c r="T194" s="1">
        <f t="shared" si="3"/>
        <v>5.379433800000015E-2</v>
      </c>
      <c r="U194" s="1">
        <f t="shared" si="4"/>
        <v>88</v>
      </c>
    </row>
    <row r="195" spans="1:21">
      <c r="A195" s="1" t="s">
        <v>132</v>
      </c>
      <c r="B195" s="1">
        <v>2020</v>
      </c>
      <c r="C195" s="1">
        <v>1380004.375</v>
      </c>
      <c r="D195" s="1">
        <v>34.926002500000003</v>
      </c>
      <c r="E195" s="1">
        <v>90.489525029999996</v>
      </c>
      <c r="F195" s="1">
        <v>4.9836025619999997</v>
      </c>
      <c r="G195" s="1">
        <v>3.9631539450000002</v>
      </c>
      <c r="H195" s="1">
        <v>0.56371846260000003</v>
      </c>
      <c r="I195" s="1">
        <v>88.782503129999995</v>
      </c>
      <c r="J195" s="1">
        <v>5.9022100540000002</v>
      </c>
      <c r="K195" s="1">
        <v>4.5763757299999996</v>
      </c>
      <c r="L195" s="1">
        <v>0.73891108559999996</v>
      </c>
      <c r="M195" s="1">
        <v>93.670036300000007</v>
      </c>
      <c r="N195" s="1">
        <v>3.2720560270000001</v>
      </c>
      <c r="O195" s="1">
        <v>2.8206075230000001</v>
      </c>
      <c r="P195" s="1">
        <v>0.2373001538</v>
      </c>
      <c r="Q195" s="2" t="str">
        <f t="shared" si="0"/>
        <v/>
      </c>
      <c r="R195" s="1" t="str">
        <f t="shared" si="1"/>
        <v/>
      </c>
      <c r="S195" s="1" t="str">
        <f t="shared" si="2"/>
        <v/>
      </c>
      <c r="T195" s="1" t="str">
        <f t="shared" si="3"/>
        <v/>
      </c>
      <c r="U195" s="1">
        <f t="shared" si="4"/>
        <v>90</v>
      </c>
    </row>
    <row r="196" spans="1:21">
      <c r="A196" s="1" t="s">
        <v>133</v>
      </c>
      <c r="B196" s="1">
        <v>2015</v>
      </c>
      <c r="C196" s="1">
        <v>258383.25</v>
      </c>
      <c r="D196" s="1">
        <v>53.312999730000001</v>
      </c>
      <c r="E196" s="1">
        <v>88.527352960000002</v>
      </c>
      <c r="F196" s="1">
        <v>0.79413052260000006</v>
      </c>
      <c r="G196" s="1">
        <v>8.9438595640000003</v>
      </c>
      <c r="H196" s="1">
        <v>1.7346569540000001</v>
      </c>
      <c r="I196" s="1">
        <v>80.630791189999997</v>
      </c>
      <c r="J196" s="1">
        <v>0.97404573149999996</v>
      </c>
      <c r="K196" s="1">
        <v>14.98518808</v>
      </c>
      <c r="L196" s="1">
        <v>3.4099750009999998</v>
      </c>
      <c r="M196" s="1">
        <v>95.442491759999996</v>
      </c>
      <c r="N196" s="1">
        <v>0.63657604779999999</v>
      </c>
      <c r="O196" s="1">
        <v>3.6533766409999999</v>
      </c>
      <c r="P196" s="1">
        <v>0.26755555320000002</v>
      </c>
      <c r="Q196" s="2">
        <f t="shared" si="0"/>
        <v>5</v>
      </c>
      <c r="R196" s="1">
        <f t="shared" si="1"/>
        <v>0.77759933000000103</v>
      </c>
      <c r="S196" s="1">
        <f t="shared" si="2"/>
        <v>1.0074342380000019</v>
      </c>
      <c r="T196" s="1">
        <f t="shared" si="3"/>
        <v>0.42760406200000034</v>
      </c>
      <c r="U196" s="1">
        <f t="shared" si="4"/>
        <v>89</v>
      </c>
    </row>
    <row r="197" spans="1:21">
      <c r="A197" s="1" t="s">
        <v>133</v>
      </c>
      <c r="B197" s="1">
        <v>2020</v>
      </c>
      <c r="C197" s="1">
        <v>273523.625</v>
      </c>
      <c r="D197" s="1">
        <v>56.640998840000002</v>
      </c>
      <c r="E197" s="1">
        <v>92.415349610000007</v>
      </c>
      <c r="F197" s="1">
        <v>0.85547463349999997</v>
      </c>
      <c r="G197" s="1">
        <v>5.553871666</v>
      </c>
      <c r="H197" s="1">
        <v>1.175304087</v>
      </c>
      <c r="I197" s="1">
        <v>85.667962380000006</v>
      </c>
      <c r="J197" s="1">
        <v>1.1780912299999999</v>
      </c>
      <c r="K197" s="1">
        <v>10.61491462</v>
      </c>
      <c r="L197" s="1">
        <v>2.539031772</v>
      </c>
      <c r="M197" s="1">
        <v>97.580512069999997</v>
      </c>
      <c r="N197" s="1">
        <v>0.60850983449999996</v>
      </c>
      <c r="O197" s="1">
        <v>1.679615139</v>
      </c>
      <c r="P197" s="1">
        <v>0.13136295880000001</v>
      </c>
      <c r="Q197" s="2" t="str">
        <f t="shared" si="0"/>
        <v/>
      </c>
      <c r="R197" s="1" t="str">
        <f t="shared" si="1"/>
        <v/>
      </c>
      <c r="S197" s="1" t="str">
        <f t="shared" si="2"/>
        <v/>
      </c>
      <c r="T197" s="1" t="str">
        <f t="shared" si="3"/>
        <v/>
      </c>
      <c r="U197" s="1">
        <f t="shared" si="4"/>
        <v>92</v>
      </c>
    </row>
    <row r="198" spans="1:21">
      <c r="A198" s="1" t="s">
        <v>134</v>
      </c>
      <c r="B198" s="1">
        <v>2015</v>
      </c>
      <c r="C198" s="1">
        <v>78492.210940000004</v>
      </c>
      <c r="D198" s="1">
        <v>73.358001709999996</v>
      </c>
      <c r="E198" s="1">
        <v>96.806987079999999</v>
      </c>
      <c r="F198" s="1">
        <v>1.9948915730000001</v>
      </c>
      <c r="G198" s="1">
        <v>1.126061081</v>
      </c>
      <c r="H198" s="1">
        <v>7.2060265609999993E-2</v>
      </c>
      <c r="I198" s="1">
        <v>92.162502649999993</v>
      </c>
      <c r="J198" s="1">
        <v>4.221624781</v>
      </c>
      <c r="K198" s="1">
        <v>3.3453963830000002</v>
      </c>
      <c r="L198" s="1">
        <v>0.27047619049999999</v>
      </c>
      <c r="M198" s="1">
        <v>98.493760870000003</v>
      </c>
      <c r="N198" s="1">
        <v>1.186191432</v>
      </c>
      <c r="O198" s="1">
        <v>0.3200476961</v>
      </c>
      <c r="P198" s="1">
        <v>0</v>
      </c>
      <c r="Q198" s="2">
        <f t="shared" si="0"/>
        <v>5</v>
      </c>
      <c r="R198" s="1">
        <f t="shared" si="1"/>
        <v>0.13512985000000127</v>
      </c>
      <c r="S198" s="1">
        <f t="shared" si="2"/>
        <v>0.33324654600000087</v>
      </c>
      <c r="T198" s="1">
        <f t="shared" si="3"/>
        <v>3.014517000000012E-2</v>
      </c>
      <c r="U198" s="1">
        <f t="shared" si="4"/>
        <v>97</v>
      </c>
    </row>
    <row r="199" spans="1:21">
      <c r="A199" s="1" t="s">
        <v>134</v>
      </c>
      <c r="B199" s="1">
        <v>2020</v>
      </c>
      <c r="C199" s="1">
        <v>83992.953129999994</v>
      </c>
      <c r="D199" s="1">
        <v>75.874000550000005</v>
      </c>
      <c r="E199" s="1">
        <v>97.482636330000005</v>
      </c>
      <c r="F199" s="1">
        <v>1.938311229</v>
      </c>
      <c r="G199" s="1">
        <v>0.51379736310000002</v>
      </c>
      <c r="H199" s="1">
        <v>6.5255081849999994E-2</v>
      </c>
      <c r="I199" s="1">
        <v>93.828735379999998</v>
      </c>
      <c r="J199" s="1">
        <v>4.2979487650000001</v>
      </c>
      <c r="K199" s="1">
        <v>1.602839669</v>
      </c>
      <c r="L199" s="1">
        <v>0.27047619049999999</v>
      </c>
      <c r="M199" s="1">
        <v>98.644486720000003</v>
      </c>
      <c r="N199" s="1">
        <v>1.1880066709999999</v>
      </c>
      <c r="O199" s="1">
        <v>0.1675066077</v>
      </c>
      <c r="P199" s="1">
        <v>0</v>
      </c>
      <c r="Q199" s="2" t="str">
        <f t="shared" si="0"/>
        <v/>
      </c>
      <c r="R199" s="1" t="str">
        <f t="shared" si="1"/>
        <v/>
      </c>
      <c r="S199" s="1" t="str">
        <f t="shared" si="2"/>
        <v/>
      </c>
      <c r="T199" s="1" t="str">
        <f t="shared" si="3"/>
        <v/>
      </c>
      <c r="U199" s="1">
        <f t="shared" si="4"/>
        <v>97</v>
      </c>
    </row>
    <row r="200" spans="1:21">
      <c r="A200" s="1" t="s">
        <v>135</v>
      </c>
      <c r="B200" s="1">
        <v>2015</v>
      </c>
      <c r="C200" s="1">
        <v>35572.269529999998</v>
      </c>
      <c r="D200" s="1">
        <v>69.920997619999994</v>
      </c>
      <c r="E200" s="1">
        <v>94.247593300000005</v>
      </c>
      <c r="F200" s="1">
        <v>1.056676215</v>
      </c>
      <c r="G200" s="1">
        <v>1.7379110360000001</v>
      </c>
      <c r="H200" s="1">
        <v>2.9578194500000001</v>
      </c>
      <c r="I200" s="1">
        <v>84.76271011</v>
      </c>
      <c r="J200" s="1">
        <v>2.8306169350000001</v>
      </c>
      <c r="K200" s="1">
        <v>2.77640479</v>
      </c>
      <c r="L200" s="1">
        <v>9.630268161</v>
      </c>
      <c r="M200" s="1">
        <v>98.3278526</v>
      </c>
      <c r="N200" s="1">
        <v>0.29355262310000002</v>
      </c>
      <c r="O200" s="1">
        <v>1.2911660709999999</v>
      </c>
      <c r="P200" s="1">
        <v>8.74287017E-2</v>
      </c>
      <c r="Q200" s="2">
        <f t="shared" si="0"/>
        <v>5</v>
      </c>
      <c r="R200" s="1">
        <f t="shared" si="1"/>
        <v>0.82246198999999931</v>
      </c>
      <c r="S200" s="1">
        <f t="shared" si="2"/>
        <v>2.0136873339999992</v>
      </c>
      <c r="T200" s="1">
        <f t="shared" si="3"/>
        <v>0.29617568600000083</v>
      </c>
      <c r="U200" s="1">
        <f t="shared" si="4"/>
        <v>94</v>
      </c>
    </row>
    <row r="201" spans="1:21">
      <c r="A201" s="1" t="s">
        <v>135</v>
      </c>
      <c r="B201" s="1">
        <v>2020</v>
      </c>
      <c r="C201" s="1">
        <v>40222.503909999999</v>
      </c>
      <c r="D201" s="1">
        <v>70.892997739999998</v>
      </c>
      <c r="E201" s="1">
        <v>98.359903250000002</v>
      </c>
      <c r="F201" s="1">
        <v>0.89216034950000001</v>
      </c>
      <c r="G201" s="1">
        <v>2.427900808E-6</v>
      </c>
      <c r="H201" s="1">
        <v>0.74793397129999994</v>
      </c>
      <c r="I201" s="1">
        <v>94.831146779999997</v>
      </c>
      <c r="J201" s="1">
        <v>2.5992513389999998</v>
      </c>
      <c r="K201" s="1">
        <v>0</v>
      </c>
      <c r="L201" s="1">
        <v>2.5696018770000002</v>
      </c>
      <c r="M201" s="1">
        <v>99.808731030000004</v>
      </c>
      <c r="N201" s="1">
        <v>0.19126897000000001</v>
      </c>
      <c r="O201" s="1">
        <v>0</v>
      </c>
      <c r="P201" s="1">
        <v>0</v>
      </c>
      <c r="Q201" s="2" t="str">
        <f t="shared" si="0"/>
        <v/>
      </c>
      <c r="R201" s="1" t="str">
        <f t="shared" si="1"/>
        <v/>
      </c>
      <c r="S201" s="1" t="str">
        <f t="shared" si="2"/>
        <v/>
      </c>
      <c r="T201" s="1" t="str">
        <f t="shared" si="3"/>
        <v/>
      </c>
      <c r="U201" s="1">
        <f t="shared" si="4"/>
        <v>98</v>
      </c>
    </row>
    <row r="202" spans="1:21">
      <c r="A202" s="1" t="s">
        <v>136</v>
      </c>
      <c r="B202" s="1">
        <v>2015</v>
      </c>
      <c r="C202" s="1">
        <v>4652.419922</v>
      </c>
      <c r="D202" s="1">
        <v>62.537998199999997</v>
      </c>
      <c r="E202" s="1">
        <v>97.372127989999996</v>
      </c>
      <c r="F202" s="1">
        <v>0</v>
      </c>
      <c r="G202" s="1">
        <v>2.6278720080000002</v>
      </c>
      <c r="H202" s="1">
        <v>0</v>
      </c>
      <c r="I202" s="1">
        <v>98.01681619</v>
      </c>
      <c r="J202" s="1">
        <v>0</v>
      </c>
      <c r="K202" s="1">
        <v>1.983183812</v>
      </c>
      <c r="L202" s="1">
        <v>0</v>
      </c>
      <c r="M202" s="1">
        <v>96.98594181</v>
      </c>
      <c r="N202" s="1">
        <v>0</v>
      </c>
      <c r="O202" s="1">
        <v>3.014058189</v>
      </c>
      <c r="P202" s="1">
        <v>0</v>
      </c>
      <c r="Q202" s="2">
        <f t="shared" si="0"/>
        <v>5</v>
      </c>
      <c r="R202" s="1">
        <f t="shared" si="1"/>
        <v>5.5157040000011646E-3</v>
      </c>
      <c r="S202" s="1">
        <f t="shared" si="2"/>
        <v>2.3620912000001226E-2</v>
      </c>
      <c r="T202" s="1">
        <f t="shared" si="3"/>
        <v>-1.2111559999993915E-3</v>
      </c>
      <c r="U202" s="1">
        <f t="shared" si="4"/>
        <v>97</v>
      </c>
    </row>
    <row r="203" spans="1:21">
      <c r="A203" s="1" t="s">
        <v>136</v>
      </c>
      <c r="B203" s="1">
        <v>2020</v>
      </c>
      <c r="C203" s="1">
        <v>4937.7958980000003</v>
      </c>
      <c r="D203" s="1">
        <v>63.652999880000003</v>
      </c>
      <c r="E203" s="1">
        <v>97.399706510000001</v>
      </c>
      <c r="F203" s="1">
        <v>0</v>
      </c>
      <c r="G203" s="1">
        <v>2.6002934849999999</v>
      </c>
      <c r="H203" s="1">
        <v>0</v>
      </c>
      <c r="I203" s="1">
        <v>98.134920750000006</v>
      </c>
      <c r="J203" s="1">
        <v>0</v>
      </c>
      <c r="K203" s="1">
        <v>1.8650792469999999</v>
      </c>
      <c r="L203" s="1">
        <v>0</v>
      </c>
      <c r="M203" s="1">
        <v>96.979886030000003</v>
      </c>
      <c r="N203" s="1">
        <v>0</v>
      </c>
      <c r="O203" s="1">
        <v>3.0201139659999998</v>
      </c>
      <c r="P203" s="1">
        <v>0</v>
      </c>
      <c r="Q203" s="2" t="str">
        <f t="shared" si="0"/>
        <v/>
      </c>
      <c r="R203" s="1" t="str">
        <f t="shared" si="1"/>
        <v/>
      </c>
      <c r="S203" s="1" t="str">
        <f t="shared" si="2"/>
        <v/>
      </c>
      <c r="T203" s="1" t="str">
        <f t="shared" si="3"/>
        <v/>
      </c>
      <c r="U203" s="1">
        <f t="shared" si="4"/>
        <v>97</v>
      </c>
    </row>
    <row r="204" spans="1:21">
      <c r="A204" s="1" t="s">
        <v>137</v>
      </c>
      <c r="B204" s="1">
        <v>2015</v>
      </c>
      <c r="C204" s="1">
        <v>83.232002260000002</v>
      </c>
      <c r="D204" s="1">
        <v>52.244998930000001</v>
      </c>
      <c r="E204" s="1">
        <v>99.075000000000003</v>
      </c>
      <c r="F204" s="1">
        <v>0</v>
      </c>
      <c r="G204" s="1">
        <v>0.92500000000000004</v>
      </c>
      <c r="H204" s="1">
        <v>0</v>
      </c>
      <c r="I204" s="1" t="s">
        <v>272</v>
      </c>
      <c r="J204" s="1" t="s">
        <v>272</v>
      </c>
      <c r="K204" s="1" t="s">
        <v>272</v>
      </c>
      <c r="L204" s="1" t="s">
        <v>272</v>
      </c>
      <c r="M204" s="1" t="s">
        <v>272</v>
      </c>
      <c r="N204" s="1" t="s">
        <v>272</v>
      </c>
      <c r="O204" s="1" t="s">
        <v>272</v>
      </c>
      <c r="P204" s="1" t="s">
        <v>272</v>
      </c>
      <c r="Q204" s="2">
        <f t="shared" si="0"/>
        <v>5</v>
      </c>
      <c r="R204" s="1">
        <f t="shared" si="1"/>
        <v>0</v>
      </c>
      <c r="S204" s="1" t="str">
        <f t="shared" si="2"/>
        <v>null</v>
      </c>
      <c r="T204" s="1" t="str">
        <f t="shared" si="3"/>
        <v>null</v>
      </c>
      <c r="U204" s="1">
        <f t="shared" si="4"/>
        <v>99</v>
      </c>
    </row>
    <row r="205" spans="1:21">
      <c r="A205" s="1" t="s">
        <v>137</v>
      </c>
      <c r="B205" s="1">
        <v>2020</v>
      </c>
      <c r="C205" s="1">
        <v>85.031997680000003</v>
      </c>
      <c r="D205" s="1">
        <v>52.89800262</v>
      </c>
      <c r="E205" s="1">
        <v>99.075000000000003</v>
      </c>
      <c r="F205" s="1">
        <v>0</v>
      </c>
      <c r="G205" s="1">
        <v>0.92500000000000004</v>
      </c>
      <c r="H205" s="1">
        <v>0</v>
      </c>
      <c r="I205" s="1" t="s">
        <v>272</v>
      </c>
      <c r="J205" s="1" t="s">
        <v>272</v>
      </c>
      <c r="K205" s="1" t="s">
        <v>272</v>
      </c>
      <c r="L205" s="1" t="s">
        <v>272</v>
      </c>
      <c r="M205" s="1" t="s">
        <v>272</v>
      </c>
      <c r="N205" s="1" t="s">
        <v>272</v>
      </c>
      <c r="O205" s="1" t="s">
        <v>272</v>
      </c>
      <c r="P205" s="1" t="s">
        <v>272</v>
      </c>
      <c r="Q205" s="2" t="str">
        <f t="shared" si="0"/>
        <v/>
      </c>
      <c r="R205" s="1" t="str">
        <f t="shared" si="1"/>
        <v/>
      </c>
      <c r="S205" s="1" t="str">
        <f t="shared" si="2"/>
        <v/>
      </c>
      <c r="T205" s="1" t="str">
        <f t="shared" si="3"/>
        <v/>
      </c>
      <c r="U205" s="1">
        <f t="shared" si="4"/>
        <v>99</v>
      </c>
    </row>
    <row r="206" spans="1:21">
      <c r="A206" s="1" t="s">
        <v>138</v>
      </c>
      <c r="B206" s="1">
        <v>2015</v>
      </c>
      <c r="C206" s="1">
        <v>7978.4960940000001</v>
      </c>
      <c r="D206" s="1">
        <v>92.179000849999994</v>
      </c>
      <c r="E206" s="1">
        <v>100.0000015</v>
      </c>
      <c r="F206" s="1">
        <v>0</v>
      </c>
      <c r="G206" s="1">
        <v>0</v>
      </c>
      <c r="H206" s="1">
        <v>0</v>
      </c>
      <c r="I206" s="1">
        <v>100</v>
      </c>
      <c r="J206" s="1">
        <v>0</v>
      </c>
      <c r="K206" s="1">
        <v>0</v>
      </c>
      <c r="L206" s="1">
        <v>0</v>
      </c>
      <c r="M206" s="1">
        <v>100</v>
      </c>
      <c r="N206" s="1">
        <v>0</v>
      </c>
      <c r="O206" s="1">
        <v>0</v>
      </c>
      <c r="P206" s="1">
        <v>0</v>
      </c>
      <c r="Q206" s="2">
        <f t="shared" si="0"/>
        <v>5</v>
      </c>
      <c r="R206" s="1">
        <f t="shared" si="1"/>
        <v>-2.999999992425728E-7</v>
      </c>
      <c r="S206" s="1">
        <f t="shared" si="2"/>
        <v>0</v>
      </c>
      <c r="T206" s="1">
        <f t="shared" si="3"/>
        <v>0</v>
      </c>
      <c r="U206" s="1">
        <f t="shared" si="4"/>
        <v>100</v>
      </c>
    </row>
    <row r="207" spans="1:21">
      <c r="A207" s="1" t="s">
        <v>138</v>
      </c>
      <c r="B207" s="1">
        <v>2020</v>
      </c>
      <c r="C207" s="1">
        <v>8655.5410159999992</v>
      </c>
      <c r="D207" s="1">
        <v>92.58699799</v>
      </c>
      <c r="E207" s="1">
        <v>100</v>
      </c>
      <c r="F207" s="1">
        <v>0</v>
      </c>
      <c r="G207" s="1">
        <v>0</v>
      </c>
      <c r="H207" s="1">
        <v>0</v>
      </c>
      <c r="I207" s="1">
        <v>100</v>
      </c>
      <c r="J207" s="1">
        <v>0</v>
      </c>
      <c r="K207" s="1">
        <v>0</v>
      </c>
      <c r="L207" s="1">
        <v>0</v>
      </c>
      <c r="M207" s="1">
        <v>100</v>
      </c>
      <c r="N207" s="1">
        <v>0</v>
      </c>
      <c r="O207" s="1">
        <v>0</v>
      </c>
      <c r="P207" s="1">
        <v>0</v>
      </c>
      <c r="Q207" s="2" t="str">
        <f t="shared" si="0"/>
        <v/>
      </c>
      <c r="R207" s="1" t="str">
        <f t="shared" si="1"/>
        <v/>
      </c>
      <c r="S207" s="1" t="str">
        <f t="shared" si="2"/>
        <v/>
      </c>
      <c r="T207" s="1" t="str">
        <f t="shared" si="3"/>
        <v/>
      </c>
      <c r="U207" s="1">
        <f t="shared" si="4"/>
        <v>100</v>
      </c>
    </row>
    <row r="208" spans="1:21">
      <c r="A208" s="1" t="s">
        <v>139</v>
      </c>
      <c r="B208" s="1">
        <v>2015</v>
      </c>
      <c r="C208" s="1">
        <v>60578.488279999998</v>
      </c>
      <c r="D208" s="1">
        <v>69.565002440000001</v>
      </c>
      <c r="E208" s="1">
        <v>99.91703407</v>
      </c>
      <c r="F208" s="1">
        <v>0</v>
      </c>
      <c r="G208" s="1">
        <v>8.2965925910000002E-2</v>
      </c>
      <c r="H208" s="1">
        <v>0</v>
      </c>
      <c r="I208" s="1" t="s">
        <v>272</v>
      </c>
      <c r="J208" s="1" t="s">
        <v>272</v>
      </c>
      <c r="K208" s="1" t="s">
        <v>272</v>
      </c>
      <c r="L208" s="1" t="s">
        <v>272</v>
      </c>
      <c r="M208" s="1" t="s">
        <v>272</v>
      </c>
      <c r="N208" s="1" t="s">
        <v>272</v>
      </c>
      <c r="O208" s="1" t="s">
        <v>272</v>
      </c>
      <c r="P208" s="1" t="s">
        <v>272</v>
      </c>
      <c r="Q208" s="2">
        <f t="shared" si="0"/>
        <v>5</v>
      </c>
      <c r="R208" s="1">
        <f t="shared" si="1"/>
        <v>0</v>
      </c>
      <c r="S208" s="1" t="str">
        <f t="shared" si="2"/>
        <v>null</v>
      </c>
      <c r="T208" s="1" t="str">
        <f t="shared" si="3"/>
        <v>null</v>
      </c>
      <c r="U208" s="1">
        <f t="shared" si="4"/>
        <v>100</v>
      </c>
    </row>
    <row r="209" spans="1:21">
      <c r="A209" s="1" t="s">
        <v>139</v>
      </c>
      <c r="B209" s="1">
        <v>2020</v>
      </c>
      <c r="C209" s="1">
        <v>60461.828130000002</v>
      </c>
      <c r="D209" s="1">
        <v>71.038993840000003</v>
      </c>
      <c r="E209" s="1">
        <v>99.91703407</v>
      </c>
      <c r="F209" s="1">
        <v>0</v>
      </c>
      <c r="G209" s="1">
        <v>8.2965925910000002E-2</v>
      </c>
      <c r="H209" s="1">
        <v>0</v>
      </c>
      <c r="I209" s="1" t="s">
        <v>272</v>
      </c>
      <c r="J209" s="1" t="s">
        <v>272</v>
      </c>
      <c r="K209" s="1" t="s">
        <v>272</v>
      </c>
      <c r="L209" s="1" t="s">
        <v>272</v>
      </c>
      <c r="M209" s="1" t="s">
        <v>272</v>
      </c>
      <c r="N209" s="1" t="s">
        <v>272</v>
      </c>
      <c r="O209" s="1" t="s">
        <v>272</v>
      </c>
      <c r="P209" s="1" t="s">
        <v>272</v>
      </c>
      <c r="Q209" s="2" t="str">
        <f t="shared" si="0"/>
        <v/>
      </c>
      <c r="R209" s="1" t="str">
        <f t="shared" si="1"/>
        <v/>
      </c>
      <c r="S209" s="1" t="str">
        <f t="shared" si="2"/>
        <v/>
      </c>
      <c r="T209" s="1" t="str">
        <f t="shared" si="3"/>
        <v/>
      </c>
      <c r="U209" s="1">
        <f t="shared" si="4"/>
        <v>100</v>
      </c>
    </row>
    <row r="210" spans="1:21">
      <c r="A210" s="1" t="s">
        <v>140</v>
      </c>
      <c r="B210" s="1">
        <v>2015</v>
      </c>
      <c r="C210" s="1">
        <v>2891.0239259999998</v>
      </c>
      <c r="D210" s="1">
        <v>54.833004000000003</v>
      </c>
      <c r="E210" s="1">
        <v>90.416796289999994</v>
      </c>
      <c r="F210" s="1">
        <v>5.4073366030000001</v>
      </c>
      <c r="G210" s="1">
        <v>2.169821217</v>
      </c>
      <c r="H210" s="1">
        <v>2.006045893</v>
      </c>
      <c r="I210" s="1">
        <v>84.500709900000004</v>
      </c>
      <c r="J210" s="1">
        <v>8.4013357529999997</v>
      </c>
      <c r="K210" s="1">
        <v>3.055395678</v>
      </c>
      <c r="L210" s="1">
        <v>4.0425586710000001</v>
      </c>
      <c r="M210" s="1">
        <v>95.289990239999995</v>
      </c>
      <c r="N210" s="1">
        <v>2.9411220149999999</v>
      </c>
      <c r="O210" s="1">
        <v>1.440356529</v>
      </c>
      <c r="P210" s="1">
        <v>0.32853121530000001</v>
      </c>
      <c r="Q210" s="2">
        <f t="shared" si="0"/>
        <v>5</v>
      </c>
      <c r="R210" s="1">
        <f t="shared" si="1"/>
        <v>0.12262964200000112</v>
      </c>
      <c r="S210" s="1">
        <f t="shared" si="2"/>
        <v>0.17984045199999912</v>
      </c>
      <c r="T210" s="1">
        <f t="shared" si="3"/>
        <v>2.1605134000000702E-2</v>
      </c>
      <c r="U210" s="1">
        <f t="shared" si="4"/>
        <v>90</v>
      </c>
    </row>
    <row r="211" spans="1:21">
      <c r="A211" s="1" t="s">
        <v>140</v>
      </c>
      <c r="B211" s="1">
        <v>2020</v>
      </c>
      <c r="C211" s="1">
        <v>2961.1608890000002</v>
      </c>
      <c r="D211" s="1">
        <v>56.311000819999997</v>
      </c>
      <c r="E211" s="1">
        <v>91.029944499999999</v>
      </c>
      <c r="F211" s="1">
        <v>5.3675709139999999</v>
      </c>
      <c r="G211" s="1">
        <v>1.8640102030000001</v>
      </c>
      <c r="H211" s="1">
        <v>1.7384743789999999</v>
      </c>
      <c r="I211" s="1">
        <v>85.39991216</v>
      </c>
      <c r="J211" s="1">
        <v>8.4907373709999998</v>
      </c>
      <c r="K211" s="1">
        <v>2.5689718949999998</v>
      </c>
      <c r="L211" s="1">
        <v>3.540378574</v>
      </c>
      <c r="M211" s="1">
        <v>95.398015909999998</v>
      </c>
      <c r="N211" s="1">
        <v>2.944456223</v>
      </c>
      <c r="O211" s="1">
        <v>1.317064322</v>
      </c>
      <c r="P211" s="1">
        <v>0.34046355</v>
      </c>
      <c r="Q211" s="2" t="str">
        <f t="shared" si="0"/>
        <v/>
      </c>
      <c r="R211" s="1" t="str">
        <f t="shared" si="1"/>
        <v/>
      </c>
      <c r="S211" s="1" t="str">
        <f t="shared" si="2"/>
        <v/>
      </c>
      <c r="T211" s="1" t="str">
        <f t="shared" si="3"/>
        <v/>
      </c>
      <c r="U211" s="1">
        <f t="shared" si="4"/>
        <v>91</v>
      </c>
    </row>
    <row r="212" spans="1:21">
      <c r="A212" s="1" t="s">
        <v>141</v>
      </c>
      <c r="B212" s="1">
        <v>2015</v>
      </c>
      <c r="C212" s="1">
        <v>127985.1406</v>
      </c>
      <c r="D212" s="1">
        <v>91.380996699999997</v>
      </c>
      <c r="E212" s="1">
        <v>98.922805479999994</v>
      </c>
      <c r="F212" s="1">
        <v>0</v>
      </c>
      <c r="G212" s="1">
        <v>1.0771945169999999</v>
      </c>
      <c r="H212" s="1">
        <v>0</v>
      </c>
      <c r="I212" s="1" t="s">
        <v>272</v>
      </c>
      <c r="J212" s="1" t="s">
        <v>272</v>
      </c>
      <c r="K212" s="1" t="s">
        <v>272</v>
      </c>
      <c r="L212" s="1" t="s">
        <v>272</v>
      </c>
      <c r="M212" s="1" t="s">
        <v>272</v>
      </c>
      <c r="N212" s="1" t="s">
        <v>272</v>
      </c>
      <c r="O212" s="1" t="s">
        <v>272</v>
      </c>
      <c r="P212" s="1" t="s">
        <v>272</v>
      </c>
      <c r="Q212" s="2">
        <f t="shared" si="0"/>
        <v>5</v>
      </c>
      <c r="R212" s="1">
        <f t="shared" si="1"/>
        <v>3.1221394000002078E-2</v>
      </c>
      <c r="S212" s="1" t="str">
        <f t="shared" si="2"/>
        <v>null</v>
      </c>
      <c r="T212" s="1" t="str">
        <f t="shared" si="3"/>
        <v>null</v>
      </c>
      <c r="U212" s="1">
        <f t="shared" si="4"/>
        <v>99</v>
      </c>
    </row>
    <row r="213" spans="1:21">
      <c r="A213" s="1" t="s">
        <v>141</v>
      </c>
      <c r="B213" s="1">
        <v>2020</v>
      </c>
      <c r="C213" s="1">
        <v>126476.46090000001</v>
      </c>
      <c r="D213" s="1">
        <v>91.781997680000003</v>
      </c>
      <c r="E213" s="1">
        <v>99.078912450000004</v>
      </c>
      <c r="F213" s="1">
        <v>0</v>
      </c>
      <c r="G213" s="1">
        <v>0.92108754670000004</v>
      </c>
      <c r="H213" s="1">
        <v>0</v>
      </c>
      <c r="I213" s="1" t="s">
        <v>272</v>
      </c>
      <c r="J213" s="1" t="s">
        <v>272</v>
      </c>
      <c r="K213" s="1" t="s">
        <v>272</v>
      </c>
      <c r="L213" s="1" t="s">
        <v>272</v>
      </c>
      <c r="M213" s="1" t="s">
        <v>272</v>
      </c>
      <c r="N213" s="1" t="s">
        <v>272</v>
      </c>
      <c r="O213" s="1" t="s">
        <v>272</v>
      </c>
      <c r="P213" s="1" t="s">
        <v>272</v>
      </c>
      <c r="Q213" s="2" t="str">
        <f t="shared" si="0"/>
        <v/>
      </c>
      <c r="R213" s="1" t="str">
        <f t="shared" si="1"/>
        <v/>
      </c>
      <c r="S213" s="1" t="str">
        <f t="shared" si="2"/>
        <v/>
      </c>
      <c r="T213" s="1" t="str">
        <f t="shared" si="3"/>
        <v/>
      </c>
      <c r="U213" s="1">
        <f t="shared" si="4"/>
        <v>99</v>
      </c>
    </row>
    <row r="214" spans="1:21">
      <c r="A214" s="1" t="s">
        <v>142</v>
      </c>
      <c r="B214" s="1">
        <v>2015</v>
      </c>
      <c r="C214" s="1">
        <v>9266.5732420000004</v>
      </c>
      <c r="D214" s="1">
        <v>90.256004329999996</v>
      </c>
      <c r="E214" s="1">
        <v>99.006784909999993</v>
      </c>
      <c r="F214" s="1">
        <v>0.15240298360000001</v>
      </c>
      <c r="G214" s="1">
        <v>0.78123116479999999</v>
      </c>
      <c r="H214" s="1">
        <v>5.958093834E-2</v>
      </c>
      <c r="I214" s="1">
        <v>97.362315390000006</v>
      </c>
      <c r="J214" s="1">
        <v>0.62427255179999996</v>
      </c>
      <c r="K214" s="1">
        <v>1.973552059</v>
      </c>
      <c r="L214" s="1">
        <v>3.986E-2</v>
      </c>
      <c r="M214" s="1">
        <v>99.184316820000006</v>
      </c>
      <c r="N214" s="1">
        <v>0.10146013550000001</v>
      </c>
      <c r="O214" s="1">
        <v>0.65251304369999996</v>
      </c>
      <c r="P214" s="1">
        <v>6.1710000000000001E-2</v>
      </c>
      <c r="Q214" s="2">
        <f t="shared" si="0"/>
        <v>5</v>
      </c>
      <c r="R214" s="1">
        <f t="shared" si="1"/>
        <v>-1.3296389999999292E-2</v>
      </c>
      <c r="S214" s="1">
        <f t="shared" si="2"/>
        <v>-1.0167340000000991E-2</v>
      </c>
      <c r="T214" s="1">
        <f t="shared" si="3"/>
        <v>-1.8220846000002667E-2</v>
      </c>
      <c r="U214" s="1">
        <f t="shared" si="4"/>
        <v>99</v>
      </c>
    </row>
    <row r="215" spans="1:21">
      <c r="A215" s="1" t="s">
        <v>142</v>
      </c>
      <c r="B215" s="1">
        <v>2020</v>
      </c>
      <c r="C215" s="1">
        <v>10203.139649999999</v>
      </c>
      <c r="D215" s="1">
        <v>91.417999269999996</v>
      </c>
      <c r="E215" s="1">
        <v>98.940302959999997</v>
      </c>
      <c r="F215" s="1">
        <v>0.1462147369</v>
      </c>
      <c r="G215" s="1">
        <v>0.8536474704</v>
      </c>
      <c r="H215" s="1">
        <v>5.9834831790000001E-2</v>
      </c>
      <c r="I215" s="1">
        <v>97.311478690000001</v>
      </c>
      <c r="J215" s="1">
        <v>0.62394659450000001</v>
      </c>
      <c r="K215" s="1">
        <v>2.0247147160000001</v>
      </c>
      <c r="L215" s="1">
        <v>3.986E-2</v>
      </c>
      <c r="M215" s="1">
        <v>99.093212589999993</v>
      </c>
      <c r="N215" s="1">
        <v>0.1013669408</v>
      </c>
      <c r="O215" s="1">
        <v>0.74371047069999996</v>
      </c>
      <c r="P215" s="1">
        <v>6.1710000000000001E-2</v>
      </c>
      <c r="Q215" s="2" t="str">
        <f t="shared" si="0"/>
        <v/>
      </c>
      <c r="R215" s="1" t="str">
        <f t="shared" si="1"/>
        <v/>
      </c>
      <c r="S215" s="1" t="str">
        <f t="shared" si="2"/>
        <v/>
      </c>
      <c r="T215" s="1" t="str">
        <f t="shared" si="3"/>
        <v/>
      </c>
      <c r="U215" s="1">
        <f t="shared" si="4"/>
        <v>99</v>
      </c>
    </row>
    <row r="216" spans="1:21">
      <c r="A216" s="1" t="s">
        <v>143</v>
      </c>
      <c r="B216" s="1">
        <v>2015</v>
      </c>
      <c r="C216" s="1">
        <v>17572.009770000001</v>
      </c>
      <c r="D216" s="1">
        <v>57.191001890000003</v>
      </c>
      <c r="E216" s="1">
        <v>95.025334409999999</v>
      </c>
      <c r="F216" s="1">
        <v>1.812908425</v>
      </c>
      <c r="G216" s="1">
        <v>2.9043926519999999</v>
      </c>
      <c r="H216" s="1">
        <v>0.25736451110000003</v>
      </c>
      <c r="I216" s="1">
        <v>90.747497839999994</v>
      </c>
      <c r="J216" s="1">
        <v>1.8667718499999999</v>
      </c>
      <c r="K216" s="1">
        <v>6.7845377490000001</v>
      </c>
      <c r="L216" s="1">
        <v>0.60119255559999996</v>
      </c>
      <c r="M216" s="1">
        <v>98.227409789999996</v>
      </c>
      <c r="N216" s="1">
        <v>1.7725902060000001</v>
      </c>
      <c r="O216" s="1">
        <v>0</v>
      </c>
      <c r="P216" s="1">
        <v>0</v>
      </c>
      <c r="Q216" s="2">
        <f t="shared" si="0"/>
        <v>5</v>
      </c>
      <c r="R216" s="1">
        <f t="shared" si="1"/>
        <v>8.1927182000001153E-2</v>
      </c>
      <c r="S216" s="1">
        <f t="shared" si="2"/>
        <v>0.23835090000000037</v>
      </c>
      <c r="T216" s="1">
        <f t="shared" si="3"/>
        <v>-4.5335692000000448E-2</v>
      </c>
      <c r="U216" s="1">
        <f t="shared" si="4"/>
        <v>95</v>
      </c>
    </row>
    <row r="217" spans="1:21">
      <c r="A217" s="1" t="s">
        <v>143</v>
      </c>
      <c r="B217" s="1">
        <v>2020</v>
      </c>
      <c r="C217" s="1">
        <v>18776.707030000001</v>
      </c>
      <c r="D217" s="1">
        <v>57.671001429999997</v>
      </c>
      <c r="E217" s="1">
        <v>95.434970320000005</v>
      </c>
      <c r="F217" s="1">
        <v>1.9414250390000001</v>
      </c>
      <c r="G217" s="1">
        <v>2.5459569339999999</v>
      </c>
      <c r="H217" s="1">
        <v>7.7647704710000001E-2</v>
      </c>
      <c r="I217" s="1">
        <v>91.939252339999996</v>
      </c>
      <c r="J217" s="1">
        <v>1.862616064</v>
      </c>
      <c r="K217" s="1">
        <v>6.0146930489999999</v>
      </c>
      <c r="L217" s="1">
        <v>0.18343854379999999</v>
      </c>
      <c r="M217" s="1">
        <v>98.000731329999994</v>
      </c>
      <c r="N217" s="1">
        <v>1.999268673</v>
      </c>
      <c r="O217" s="1">
        <v>0</v>
      </c>
      <c r="P217" s="1">
        <v>0</v>
      </c>
      <c r="Q217" s="2" t="str">
        <f t="shared" si="0"/>
        <v/>
      </c>
      <c r="R217" s="1" t="str">
        <f t="shared" si="1"/>
        <v/>
      </c>
      <c r="S217" s="1" t="str">
        <f t="shared" si="2"/>
        <v/>
      </c>
      <c r="T217" s="1" t="str">
        <f t="shared" si="3"/>
        <v/>
      </c>
      <c r="U217" s="1">
        <f t="shared" si="4"/>
        <v>95</v>
      </c>
    </row>
    <row r="218" spans="1:21">
      <c r="A218" s="1" t="s">
        <v>144</v>
      </c>
      <c r="B218" s="1">
        <v>2015</v>
      </c>
      <c r="C218" s="1">
        <v>47878.339840000001</v>
      </c>
      <c r="D218" s="1">
        <v>25.65799904</v>
      </c>
      <c r="E218" s="1">
        <v>58.196927979999998</v>
      </c>
      <c r="F218" s="1">
        <v>8.7967539769999998</v>
      </c>
      <c r="G218" s="1">
        <v>11.522918349999999</v>
      </c>
      <c r="H218" s="1">
        <v>21.483399689999999</v>
      </c>
      <c r="I218" s="1">
        <v>48.272161910000001</v>
      </c>
      <c r="J218" s="1">
        <v>10.37313934</v>
      </c>
      <c r="K218" s="1">
        <v>14.21683468</v>
      </c>
      <c r="L218" s="1">
        <v>27.13786408</v>
      </c>
      <c r="M218" s="1">
        <v>86.953147920000006</v>
      </c>
      <c r="N218" s="1">
        <v>4.2293042700000001</v>
      </c>
      <c r="O218" s="1">
        <v>3.7175043830000001</v>
      </c>
      <c r="P218" s="1">
        <v>5.1000434290000003</v>
      </c>
      <c r="Q218" s="2">
        <f t="shared" si="0"/>
        <v>5</v>
      </c>
      <c r="R218" s="1">
        <f t="shared" si="1"/>
        <v>0.6871927200000002</v>
      </c>
      <c r="S218" s="1">
        <f t="shared" si="2"/>
        <v>0.7015634039999995</v>
      </c>
      <c r="T218" s="1">
        <f t="shared" si="3"/>
        <v>4.4167059999978163E-3</v>
      </c>
      <c r="U218" s="1">
        <f t="shared" si="4"/>
        <v>58</v>
      </c>
    </row>
    <row r="219" spans="1:21">
      <c r="A219" s="1" t="s">
        <v>144</v>
      </c>
      <c r="B219" s="1">
        <v>2020</v>
      </c>
      <c r="C219" s="1">
        <v>53771.300779999998</v>
      </c>
      <c r="D219" s="1">
        <v>27.994998930000001</v>
      </c>
      <c r="E219" s="1">
        <v>61.632891579999999</v>
      </c>
      <c r="F219" s="1">
        <v>9.54187005</v>
      </c>
      <c r="G219" s="1">
        <v>9.7800875240000007</v>
      </c>
      <c r="H219" s="1">
        <v>19.045150840000002</v>
      </c>
      <c r="I219" s="1">
        <v>51.779978929999999</v>
      </c>
      <c r="J219" s="1">
        <v>11.569004189999999</v>
      </c>
      <c r="K219" s="1">
        <v>12.519113219999999</v>
      </c>
      <c r="L219" s="1">
        <v>24.131903659999999</v>
      </c>
      <c r="M219" s="1">
        <v>86.975231449999995</v>
      </c>
      <c r="N219" s="1">
        <v>4.327944725</v>
      </c>
      <c r="O219" s="1">
        <v>2.7351426299999999</v>
      </c>
      <c r="P219" s="1">
        <v>5.9616811930000004</v>
      </c>
      <c r="Q219" s="2" t="str">
        <f t="shared" si="0"/>
        <v/>
      </c>
      <c r="R219" s="1" t="str">
        <f t="shared" si="1"/>
        <v/>
      </c>
      <c r="S219" s="1" t="str">
        <f t="shared" si="2"/>
        <v/>
      </c>
      <c r="T219" s="1" t="str">
        <f t="shared" si="3"/>
        <v/>
      </c>
      <c r="U219" s="1">
        <f t="shared" si="4"/>
        <v>62</v>
      </c>
    </row>
    <row r="220" spans="1:21">
      <c r="A220" s="1" t="s">
        <v>145</v>
      </c>
      <c r="B220" s="1">
        <v>2015</v>
      </c>
      <c r="C220" s="1">
        <v>110.927002</v>
      </c>
      <c r="D220" s="1">
        <v>51.618999479999999</v>
      </c>
      <c r="E220" s="1">
        <v>73.848096589999997</v>
      </c>
      <c r="F220" s="1">
        <v>2.3408915690000001</v>
      </c>
      <c r="G220" s="1">
        <v>23.811011839999999</v>
      </c>
      <c r="H220" s="1">
        <v>0</v>
      </c>
      <c r="I220" s="1">
        <v>57.922252589999999</v>
      </c>
      <c r="J220" s="1">
        <v>1.6395879280000001</v>
      </c>
      <c r="K220" s="1">
        <v>40.438159480000003</v>
      </c>
      <c r="L220" s="1">
        <v>0</v>
      </c>
      <c r="M220" s="1">
        <v>88.774932000000007</v>
      </c>
      <c r="N220" s="1">
        <v>2.9982032959999998</v>
      </c>
      <c r="O220" s="1">
        <v>8.2268647060000006</v>
      </c>
      <c r="P220" s="1">
        <v>0</v>
      </c>
      <c r="Q220" s="2">
        <f t="shared" si="0"/>
        <v>5</v>
      </c>
      <c r="R220" s="1">
        <f t="shared" si="1"/>
        <v>0.82456485200000029</v>
      </c>
      <c r="S220" s="1">
        <f t="shared" si="2"/>
        <v>0.61438646000000008</v>
      </c>
      <c r="T220" s="1">
        <f t="shared" si="3"/>
        <v>0.55124856999999849</v>
      </c>
      <c r="U220" s="1">
        <f t="shared" si="4"/>
        <v>74</v>
      </c>
    </row>
    <row r="221" spans="1:21">
      <c r="A221" s="1" t="s">
        <v>145</v>
      </c>
      <c r="B221" s="1">
        <v>2020</v>
      </c>
      <c r="C221" s="1">
        <v>119.44599909999999</v>
      </c>
      <c r="D221" s="1">
        <v>55.593997960000003</v>
      </c>
      <c r="E221" s="1">
        <v>77.970920849999999</v>
      </c>
      <c r="F221" s="1">
        <v>4.0768996250000002</v>
      </c>
      <c r="G221" s="1">
        <v>17.952179529999999</v>
      </c>
      <c r="H221" s="1">
        <v>0</v>
      </c>
      <c r="I221" s="1">
        <v>60.99418489</v>
      </c>
      <c r="J221" s="1">
        <v>2.0966097989999999</v>
      </c>
      <c r="K221" s="1">
        <v>36.909205319999998</v>
      </c>
      <c r="L221" s="1">
        <v>0</v>
      </c>
      <c r="M221" s="1">
        <v>91.531174849999999</v>
      </c>
      <c r="N221" s="1">
        <v>5.6586664610000001</v>
      </c>
      <c r="O221" s="1">
        <v>2.8101586909999998</v>
      </c>
      <c r="P221" s="1">
        <v>0</v>
      </c>
      <c r="Q221" s="2" t="str">
        <f t="shared" si="0"/>
        <v/>
      </c>
      <c r="R221" s="1" t="str">
        <f t="shared" si="1"/>
        <v/>
      </c>
      <c r="S221" s="1" t="str">
        <f t="shared" si="2"/>
        <v/>
      </c>
      <c r="T221" s="1" t="str">
        <f t="shared" si="3"/>
        <v/>
      </c>
      <c r="U221" s="1">
        <f t="shared" si="4"/>
        <v>78</v>
      </c>
    </row>
    <row r="222" spans="1:21">
      <c r="A222" s="1" t="s">
        <v>146</v>
      </c>
      <c r="B222" s="1">
        <v>2015</v>
      </c>
      <c r="C222" s="1">
        <v>3835.5878910000001</v>
      </c>
      <c r="D222" s="1">
        <v>100</v>
      </c>
      <c r="E222" s="1">
        <v>100</v>
      </c>
      <c r="F222" s="1">
        <v>0</v>
      </c>
      <c r="G222" s="1">
        <v>0</v>
      </c>
      <c r="H222" s="1">
        <v>0</v>
      </c>
      <c r="I222" s="1" t="s">
        <v>272</v>
      </c>
      <c r="J222" s="1" t="s">
        <v>272</v>
      </c>
      <c r="K222" s="1" t="s">
        <v>272</v>
      </c>
      <c r="L222" s="1" t="s">
        <v>272</v>
      </c>
      <c r="M222" s="1" t="s">
        <v>272</v>
      </c>
      <c r="N222" s="1" t="s">
        <v>272</v>
      </c>
      <c r="O222" s="1" t="s">
        <v>272</v>
      </c>
      <c r="P222" s="1" t="s">
        <v>272</v>
      </c>
      <c r="Q222" s="2">
        <f t="shared" si="0"/>
        <v>5</v>
      </c>
      <c r="R222" s="1">
        <f t="shared" si="1"/>
        <v>0</v>
      </c>
      <c r="S222" s="1" t="str">
        <f t="shared" si="2"/>
        <v>null</v>
      </c>
      <c r="T222" s="1" t="str">
        <f t="shared" si="3"/>
        <v>null</v>
      </c>
      <c r="U222" s="1">
        <f t="shared" si="4"/>
        <v>100</v>
      </c>
    </row>
    <row r="223" spans="1:21">
      <c r="A223" s="1" t="s">
        <v>146</v>
      </c>
      <c r="B223" s="1">
        <v>2020</v>
      </c>
      <c r="C223" s="1">
        <v>4270.5629879999997</v>
      </c>
      <c r="D223" s="1">
        <v>100</v>
      </c>
      <c r="E223" s="1">
        <v>100</v>
      </c>
      <c r="F223" s="1">
        <v>0</v>
      </c>
      <c r="G223" s="1">
        <v>0</v>
      </c>
      <c r="H223" s="1">
        <v>0</v>
      </c>
      <c r="I223" s="1" t="s">
        <v>272</v>
      </c>
      <c r="J223" s="1" t="s">
        <v>272</v>
      </c>
      <c r="K223" s="1" t="s">
        <v>272</v>
      </c>
      <c r="L223" s="1" t="s">
        <v>272</v>
      </c>
      <c r="M223" s="1" t="s">
        <v>272</v>
      </c>
      <c r="N223" s="1" t="s">
        <v>272</v>
      </c>
      <c r="O223" s="1" t="s">
        <v>272</v>
      </c>
      <c r="P223" s="1" t="s">
        <v>272</v>
      </c>
      <c r="Q223" s="2" t="str">
        <f t="shared" si="0"/>
        <v/>
      </c>
      <c r="R223" s="1" t="str">
        <f t="shared" si="1"/>
        <v/>
      </c>
      <c r="S223" s="1" t="str">
        <f t="shared" si="2"/>
        <v/>
      </c>
      <c r="T223" s="1" t="str">
        <f t="shared" si="3"/>
        <v/>
      </c>
      <c r="U223" s="1">
        <f t="shared" si="4"/>
        <v>100</v>
      </c>
    </row>
    <row r="224" spans="1:21">
      <c r="A224" s="1" t="s">
        <v>147</v>
      </c>
      <c r="B224" s="1">
        <v>2015</v>
      </c>
      <c r="C224" s="1">
        <v>5959.1259769999997</v>
      </c>
      <c r="D224" s="1">
        <v>35.777000430000001</v>
      </c>
      <c r="E224" s="1">
        <v>88.441761249999999</v>
      </c>
      <c r="F224" s="1">
        <v>1.7899358359999999</v>
      </c>
      <c r="G224" s="1">
        <v>2.2480629049999998</v>
      </c>
      <c r="H224" s="1">
        <v>7.5202400129999996</v>
      </c>
      <c r="I224" s="1">
        <v>83.105217640000006</v>
      </c>
      <c r="J224" s="1">
        <v>2.4159736540000001</v>
      </c>
      <c r="K224" s="1">
        <v>3.3531687830000001</v>
      </c>
      <c r="L224" s="1">
        <v>11.12563993</v>
      </c>
      <c r="M224" s="1">
        <v>98.021346449999996</v>
      </c>
      <c r="N224" s="1">
        <v>0.66614053719999999</v>
      </c>
      <c r="O224" s="1">
        <v>0.26429650360000001</v>
      </c>
      <c r="P224" s="1">
        <v>1.04821651</v>
      </c>
      <c r="Q224" s="2">
        <f t="shared" si="0"/>
        <v>5</v>
      </c>
      <c r="R224" s="1">
        <f t="shared" si="1"/>
        <v>0.65150879400000006</v>
      </c>
      <c r="S224" s="1">
        <f t="shared" si="2"/>
        <v>0.83064227200000007</v>
      </c>
      <c r="T224" s="1">
        <f t="shared" si="3"/>
        <v>0.25726917199999944</v>
      </c>
      <c r="U224" s="1">
        <f t="shared" si="4"/>
        <v>88</v>
      </c>
    </row>
    <row r="225" spans="1:21">
      <c r="A225" s="1" t="s">
        <v>147</v>
      </c>
      <c r="B225" s="1">
        <v>2020</v>
      </c>
      <c r="C225" s="1">
        <v>6524.1909180000002</v>
      </c>
      <c r="D225" s="1">
        <v>36.855998990000003</v>
      </c>
      <c r="E225" s="1">
        <v>91.699305219999999</v>
      </c>
      <c r="F225" s="1">
        <v>1.900734111</v>
      </c>
      <c r="G225" s="1">
        <v>1.8656486999999999</v>
      </c>
      <c r="H225" s="1">
        <v>4.5343119649999997</v>
      </c>
      <c r="I225" s="1">
        <v>87.258429000000007</v>
      </c>
      <c r="J225" s="1">
        <v>2.606070485</v>
      </c>
      <c r="K225" s="1">
        <v>2.9545936840000002</v>
      </c>
      <c r="L225" s="1">
        <v>7.1809068319999998</v>
      </c>
      <c r="M225" s="1">
        <v>99.307692309999993</v>
      </c>
      <c r="N225" s="1">
        <v>0.6923076923</v>
      </c>
      <c r="O225" s="1">
        <v>0</v>
      </c>
      <c r="P225" s="1">
        <v>0</v>
      </c>
      <c r="Q225" s="2" t="str">
        <f t="shared" si="0"/>
        <v/>
      </c>
      <c r="R225" s="1" t="str">
        <f t="shared" si="1"/>
        <v/>
      </c>
      <c r="S225" s="1" t="str">
        <f t="shared" si="2"/>
        <v/>
      </c>
      <c r="T225" s="1" t="str">
        <f t="shared" si="3"/>
        <v/>
      </c>
      <c r="U225" s="1">
        <f t="shared" si="4"/>
        <v>92</v>
      </c>
    </row>
    <row r="226" spans="1:21">
      <c r="A226" s="1" t="s">
        <v>148</v>
      </c>
      <c r="B226" s="1">
        <v>2015</v>
      </c>
      <c r="C226" s="1">
        <v>6741.1601559999999</v>
      </c>
      <c r="D226" s="1">
        <v>33.10799789</v>
      </c>
      <c r="E226" s="1">
        <v>77.460572209999995</v>
      </c>
      <c r="F226" s="1">
        <v>3.0523403340000002</v>
      </c>
      <c r="G226" s="1">
        <v>14.22792235</v>
      </c>
      <c r="H226" s="1">
        <v>5.2591651080000004</v>
      </c>
      <c r="I226" s="1">
        <v>70.239686550000002</v>
      </c>
      <c r="J226" s="1">
        <v>4.1702933629999999</v>
      </c>
      <c r="K226" s="1">
        <v>18.202221389999998</v>
      </c>
      <c r="L226" s="1">
        <v>7.3877986939999998</v>
      </c>
      <c r="M226" s="1">
        <v>92.049779979999997</v>
      </c>
      <c r="N226" s="1">
        <v>0.79360784900000003</v>
      </c>
      <c r="O226" s="1">
        <v>6.1981767950000002</v>
      </c>
      <c r="P226" s="1">
        <v>0.95843537109999999</v>
      </c>
      <c r="Q226" s="2">
        <f t="shared" si="0"/>
        <v>5</v>
      </c>
      <c r="R226" s="1">
        <f t="shared" si="1"/>
        <v>1.551834194</v>
      </c>
      <c r="S226" s="1">
        <f t="shared" si="2"/>
        <v>1.6466545739999987</v>
      </c>
      <c r="T226" s="1">
        <f t="shared" si="3"/>
        <v>1.0028964480000013</v>
      </c>
      <c r="U226" s="1">
        <f t="shared" si="4"/>
        <v>77</v>
      </c>
    </row>
    <row r="227" spans="1:21">
      <c r="A227" s="1" t="s">
        <v>148</v>
      </c>
      <c r="B227" s="1">
        <v>2020</v>
      </c>
      <c r="C227" s="1">
        <v>7275.5561520000001</v>
      </c>
      <c r="D227" s="1">
        <v>36.290000919999997</v>
      </c>
      <c r="E227" s="1">
        <v>85.219743179999995</v>
      </c>
      <c r="F227" s="1">
        <v>3.566857739</v>
      </c>
      <c r="G227" s="1">
        <v>10.62886799</v>
      </c>
      <c r="H227" s="1">
        <v>0.58453109380000001</v>
      </c>
      <c r="I227" s="1">
        <v>78.472959419999995</v>
      </c>
      <c r="J227" s="1">
        <v>5.5985837859999998</v>
      </c>
      <c r="K227" s="1">
        <v>15.010969599999999</v>
      </c>
      <c r="L227" s="1">
        <v>0.91748719570000004</v>
      </c>
      <c r="M227" s="1">
        <v>97.064262220000003</v>
      </c>
      <c r="N227" s="1">
        <v>0</v>
      </c>
      <c r="O227" s="1">
        <v>2.935737778</v>
      </c>
      <c r="P227" s="1">
        <v>0</v>
      </c>
      <c r="Q227" s="2" t="str">
        <f t="shared" si="0"/>
        <v/>
      </c>
      <c r="R227" s="1" t="str">
        <f t="shared" si="1"/>
        <v/>
      </c>
      <c r="S227" s="1" t="str">
        <f t="shared" si="2"/>
        <v/>
      </c>
      <c r="T227" s="1" t="str">
        <f t="shared" si="3"/>
        <v/>
      </c>
      <c r="U227" s="1">
        <f t="shared" si="4"/>
        <v>85</v>
      </c>
    </row>
    <row r="228" spans="1:21">
      <c r="A228" s="1" t="s">
        <v>149</v>
      </c>
      <c r="B228" s="1">
        <v>2015</v>
      </c>
      <c r="C228" s="1">
        <v>1997.6750489999999</v>
      </c>
      <c r="D228" s="1">
        <v>67.979995729999999</v>
      </c>
      <c r="E228" s="1">
        <v>98.525117280000003</v>
      </c>
      <c r="F228" s="1">
        <v>0.67870742309999998</v>
      </c>
      <c r="G228" s="1">
        <v>0.79617529310000001</v>
      </c>
      <c r="H228" s="1">
        <v>0</v>
      </c>
      <c r="I228" s="1">
        <v>97.854719009999997</v>
      </c>
      <c r="J228" s="1">
        <v>0</v>
      </c>
      <c r="K228" s="1">
        <v>2.145280992</v>
      </c>
      <c r="L228" s="1">
        <v>0</v>
      </c>
      <c r="M228" s="1">
        <v>98.840893339999994</v>
      </c>
      <c r="N228" s="1">
        <v>0.99839286199999999</v>
      </c>
      <c r="O228" s="1">
        <v>0.1607138001</v>
      </c>
      <c r="P228" s="1">
        <v>0</v>
      </c>
      <c r="Q228" s="2">
        <f t="shared" si="0"/>
        <v>5</v>
      </c>
      <c r="R228" s="1">
        <f t="shared" si="1"/>
        <v>5.14967740000003E-2</v>
      </c>
      <c r="S228" s="1">
        <f t="shared" si="2"/>
        <v>0.14490082599999993</v>
      </c>
      <c r="T228" s="1">
        <f t="shared" si="3"/>
        <v>7.206270000000359E-3</v>
      </c>
      <c r="U228" s="1">
        <f t="shared" si="4"/>
        <v>99</v>
      </c>
    </row>
    <row r="229" spans="1:21">
      <c r="A229" s="1" t="s">
        <v>149</v>
      </c>
      <c r="B229" s="1">
        <v>2020</v>
      </c>
      <c r="C229" s="1">
        <v>1886.2020259999999</v>
      </c>
      <c r="D229" s="1">
        <v>68.315002440000001</v>
      </c>
      <c r="E229" s="1">
        <v>98.782601150000005</v>
      </c>
      <c r="F229" s="1">
        <v>0.68230074240000005</v>
      </c>
      <c r="G229" s="1">
        <v>0.53509810369999999</v>
      </c>
      <c r="H229" s="1">
        <v>0</v>
      </c>
      <c r="I229" s="1">
        <v>98.579223139999996</v>
      </c>
      <c r="J229" s="1">
        <v>0</v>
      </c>
      <c r="K229" s="1">
        <v>1.4207768599999999</v>
      </c>
      <c r="L229" s="1">
        <v>0</v>
      </c>
      <c r="M229" s="1">
        <v>98.876924689999996</v>
      </c>
      <c r="N229" s="1">
        <v>0.99875681510000003</v>
      </c>
      <c r="O229" s="1">
        <v>0.1243184908</v>
      </c>
      <c r="P229" s="1">
        <v>0</v>
      </c>
      <c r="Q229" s="2" t="str">
        <f t="shared" si="0"/>
        <v/>
      </c>
      <c r="R229" s="1" t="str">
        <f t="shared" si="1"/>
        <v/>
      </c>
      <c r="S229" s="1" t="str">
        <f t="shared" si="2"/>
        <v/>
      </c>
      <c r="T229" s="1" t="str">
        <f t="shared" si="3"/>
        <v/>
      </c>
      <c r="U229" s="1">
        <f t="shared" si="4"/>
        <v>99</v>
      </c>
    </row>
    <row r="230" spans="1:21">
      <c r="A230" s="1" t="s">
        <v>150</v>
      </c>
      <c r="B230" s="1">
        <v>2015</v>
      </c>
      <c r="C230" s="1">
        <v>6532.6811520000001</v>
      </c>
      <c r="D230" s="1">
        <v>88.106002810000007</v>
      </c>
      <c r="E230" s="1">
        <v>91.224322509999993</v>
      </c>
      <c r="F230" s="1">
        <v>7.2900646499999997</v>
      </c>
      <c r="G230" s="1">
        <v>1.3401928400000001</v>
      </c>
      <c r="H230" s="1">
        <v>0.14541999999999999</v>
      </c>
      <c r="I230" s="1" t="s">
        <v>272</v>
      </c>
      <c r="J230" s="1" t="s">
        <v>272</v>
      </c>
      <c r="K230" s="1" t="s">
        <v>272</v>
      </c>
      <c r="L230" s="1" t="s">
        <v>272</v>
      </c>
      <c r="M230" s="1" t="s">
        <v>272</v>
      </c>
      <c r="N230" s="1" t="s">
        <v>272</v>
      </c>
      <c r="O230" s="1" t="s">
        <v>272</v>
      </c>
      <c r="P230" s="1" t="s">
        <v>272</v>
      </c>
      <c r="Q230" s="2">
        <f t="shared" si="0"/>
        <v>5</v>
      </c>
      <c r="R230" s="1">
        <f t="shared" si="1"/>
        <v>0.2751354980000002</v>
      </c>
      <c r="S230" s="1" t="str">
        <f t="shared" si="2"/>
        <v>null</v>
      </c>
      <c r="T230" s="1" t="str">
        <f t="shared" si="3"/>
        <v>null</v>
      </c>
      <c r="U230" s="1">
        <f t="shared" si="4"/>
        <v>91</v>
      </c>
    </row>
    <row r="231" spans="1:21">
      <c r="A231" s="1" t="s">
        <v>150</v>
      </c>
      <c r="B231" s="1">
        <v>2020</v>
      </c>
      <c r="C231" s="1">
        <v>6825.4418949999999</v>
      </c>
      <c r="D231" s="1">
        <v>88.924995420000002</v>
      </c>
      <c r="E231" s="1">
        <v>92.6</v>
      </c>
      <c r="F231" s="1">
        <v>7.4</v>
      </c>
      <c r="G231" s="1">
        <v>0</v>
      </c>
      <c r="H231" s="1">
        <v>0</v>
      </c>
      <c r="I231" s="1" t="s">
        <v>272</v>
      </c>
      <c r="J231" s="1" t="s">
        <v>272</v>
      </c>
      <c r="K231" s="1" t="s">
        <v>272</v>
      </c>
      <c r="L231" s="1" t="s">
        <v>272</v>
      </c>
      <c r="M231" s="1" t="s">
        <v>272</v>
      </c>
      <c r="N231" s="1" t="s">
        <v>272</v>
      </c>
      <c r="O231" s="1" t="s">
        <v>272</v>
      </c>
      <c r="P231" s="1" t="s">
        <v>272</v>
      </c>
      <c r="Q231" s="2" t="str">
        <f t="shared" si="0"/>
        <v/>
      </c>
      <c r="R231" s="1" t="str">
        <f t="shared" si="1"/>
        <v/>
      </c>
      <c r="S231" s="1" t="str">
        <f t="shared" si="2"/>
        <v/>
      </c>
      <c r="T231" s="1" t="str">
        <f t="shared" si="3"/>
        <v/>
      </c>
      <c r="U231" s="1">
        <f t="shared" si="4"/>
        <v>93</v>
      </c>
    </row>
    <row r="232" spans="1:21">
      <c r="A232" s="1" t="s">
        <v>151</v>
      </c>
      <c r="B232" s="1">
        <v>2015</v>
      </c>
      <c r="C232" s="1">
        <v>2059.0109859999998</v>
      </c>
      <c r="D232" s="1">
        <v>26.908000950000002</v>
      </c>
      <c r="E232" s="1">
        <v>70.545689400000001</v>
      </c>
      <c r="F232" s="1">
        <v>10.86331049</v>
      </c>
      <c r="G232" s="1">
        <v>14.534382900000001</v>
      </c>
      <c r="H232" s="1">
        <v>4.0566172079999996</v>
      </c>
      <c r="I232" s="1">
        <v>63.420883150000002</v>
      </c>
      <c r="J232" s="1">
        <v>13.04933941</v>
      </c>
      <c r="K232" s="1">
        <v>18.164904929999999</v>
      </c>
      <c r="L232" s="1">
        <v>5.3648725109999997</v>
      </c>
      <c r="M232" s="1">
        <v>89.899276139999998</v>
      </c>
      <c r="N232" s="1">
        <v>4.9252542349999997</v>
      </c>
      <c r="O232" s="1">
        <v>4.6725536160000001</v>
      </c>
      <c r="P232" s="1">
        <v>0.50291600700000005</v>
      </c>
      <c r="Q232" s="2">
        <f t="shared" si="0"/>
        <v>5</v>
      </c>
      <c r="R232" s="1">
        <f t="shared" si="1"/>
        <v>0.32606997400000071</v>
      </c>
      <c r="S232" s="1">
        <f t="shared" si="2"/>
        <v>4.5894333999999051E-2</v>
      </c>
      <c r="T232" s="1">
        <f t="shared" si="3"/>
        <v>0.62432648200000074</v>
      </c>
      <c r="U232" s="1">
        <f t="shared" si="4"/>
        <v>71</v>
      </c>
    </row>
    <row r="233" spans="1:21">
      <c r="A233" s="1" t="s">
        <v>151</v>
      </c>
      <c r="B233" s="1">
        <v>2020</v>
      </c>
      <c r="C233" s="1">
        <v>2142.251953</v>
      </c>
      <c r="D233" s="1">
        <v>29.027999879999999</v>
      </c>
      <c r="E233" s="1">
        <v>72.176039270000004</v>
      </c>
      <c r="F233" s="1">
        <v>10.40592597</v>
      </c>
      <c r="G233" s="1">
        <v>12.21725464</v>
      </c>
      <c r="H233" s="1">
        <v>5.2007801159999998</v>
      </c>
      <c r="I233" s="1">
        <v>63.650354819999997</v>
      </c>
      <c r="J233" s="1">
        <v>13.55843013</v>
      </c>
      <c r="K233" s="1">
        <v>15.73132479</v>
      </c>
      <c r="L233" s="1">
        <v>7.0598902539999999</v>
      </c>
      <c r="M233" s="1">
        <v>93.020908550000001</v>
      </c>
      <c r="N233" s="1">
        <v>2.698211997</v>
      </c>
      <c r="O233" s="1">
        <v>3.625530038</v>
      </c>
      <c r="P233" s="1">
        <v>0.65534941999999996</v>
      </c>
      <c r="Q233" s="2" t="str">
        <f t="shared" si="0"/>
        <v/>
      </c>
      <c r="R233" s="1" t="str">
        <f t="shared" si="1"/>
        <v/>
      </c>
      <c r="S233" s="1" t="str">
        <f t="shared" si="2"/>
        <v/>
      </c>
      <c r="T233" s="1" t="str">
        <f t="shared" si="3"/>
        <v/>
      </c>
      <c r="U233" s="1">
        <f t="shared" si="4"/>
        <v>72</v>
      </c>
    </row>
    <row r="234" spans="1:21">
      <c r="A234" s="1" t="s">
        <v>152</v>
      </c>
      <c r="B234" s="1">
        <v>2015</v>
      </c>
      <c r="C234" s="1">
        <v>4472.2290039999998</v>
      </c>
      <c r="D234" s="1">
        <v>49.819999690000003</v>
      </c>
      <c r="E234" s="1">
        <v>72.569791940000002</v>
      </c>
      <c r="F234" s="1">
        <v>7.3644226789999996</v>
      </c>
      <c r="G234" s="1">
        <v>6.5372338440000002</v>
      </c>
      <c r="H234" s="1">
        <v>13.52855154</v>
      </c>
      <c r="I234" s="1">
        <v>61.263181959999997</v>
      </c>
      <c r="J234" s="1">
        <v>5.1260422940000003</v>
      </c>
      <c r="K234" s="1">
        <v>7.5241487850000004</v>
      </c>
      <c r="L234" s="1">
        <v>26.08662696</v>
      </c>
      <c r="M234" s="1">
        <v>83.95810401</v>
      </c>
      <c r="N234" s="1">
        <v>9.6189777050000007</v>
      </c>
      <c r="O234" s="1">
        <v>5.5431874099999998</v>
      </c>
      <c r="P234" s="1">
        <v>0.87973087640000003</v>
      </c>
      <c r="Q234" s="2">
        <f t="shared" si="0"/>
        <v>5</v>
      </c>
      <c r="R234" s="1">
        <f t="shared" si="1"/>
        <v>0.53839992999999997</v>
      </c>
      <c r="S234" s="1">
        <f t="shared" si="2"/>
        <v>0.56740698600000028</v>
      </c>
      <c r="T234" s="1">
        <f t="shared" si="3"/>
        <v>0.31400112400000069</v>
      </c>
      <c r="U234" s="1">
        <f t="shared" si="4"/>
        <v>73</v>
      </c>
    </row>
    <row r="235" spans="1:21">
      <c r="A235" s="1" t="s">
        <v>152</v>
      </c>
      <c r="B235" s="1">
        <v>2020</v>
      </c>
      <c r="C235" s="1">
        <v>5057.6767579999996</v>
      </c>
      <c r="D235" s="1">
        <v>52.088996889999997</v>
      </c>
      <c r="E235" s="1">
        <v>75.261791590000001</v>
      </c>
      <c r="F235" s="1">
        <v>8.7006574749999999</v>
      </c>
      <c r="G235" s="1">
        <v>3.488080869</v>
      </c>
      <c r="H235" s="1">
        <v>12.549470060000001</v>
      </c>
      <c r="I235" s="1">
        <v>64.100216889999999</v>
      </c>
      <c r="J235" s="1">
        <v>6.5377757970000001</v>
      </c>
      <c r="K235" s="1">
        <v>3.3837098750000001</v>
      </c>
      <c r="L235" s="1">
        <v>25.978297439999999</v>
      </c>
      <c r="M235" s="1">
        <v>85.528109630000003</v>
      </c>
      <c r="N235" s="1">
        <v>10.69005698</v>
      </c>
      <c r="O235" s="1">
        <v>3.58408039</v>
      </c>
      <c r="P235" s="1">
        <v>0.19775300060000001</v>
      </c>
      <c r="Q235" s="2" t="str">
        <f t="shared" si="0"/>
        <v/>
      </c>
      <c r="R235" s="1" t="str">
        <f t="shared" si="1"/>
        <v/>
      </c>
      <c r="S235" s="1" t="str">
        <f t="shared" si="2"/>
        <v/>
      </c>
      <c r="T235" s="1" t="str">
        <f t="shared" si="3"/>
        <v/>
      </c>
      <c r="U235" s="1">
        <f t="shared" si="4"/>
        <v>75</v>
      </c>
    </row>
    <row r="236" spans="1:21">
      <c r="A236" s="1" t="s">
        <v>153</v>
      </c>
      <c r="B236" s="1">
        <v>2015</v>
      </c>
      <c r="C236" s="1">
        <v>6418.3149409999996</v>
      </c>
      <c r="D236" s="1">
        <v>79.270004270000001</v>
      </c>
      <c r="E236" s="1">
        <v>97.281615160000001</v>
      </c>
      <c r="F236" s="1">
        <v>0</v>
      </c>
      <c r="G236" s="1">
        <v>2.7183848410000002</v>
      </c>
      <c r="H236" s="1">
        <v>0</v>
      </c>
      <c r="I236" s="1" t="s">
        <v>272</v>
      </c>
      <c r="J236" s="1" t="s">
        <v>272</v>
      </c>
      <c r="K236" s="1" t="s">
        <v>272</v>
      </c>
      <c r="L236" s="1" t="s">
        <v>272</v>
      </c>
      <c r="M236" s="1" t="s">
        <v>272</v>
      </c>
      <c r="N236" s="1" t="s">
        <v>272</v>
      </c>
      <c r="O236" s="1" t="s">
        <v>272</v>
      </c>
      <c r="P236" s="1" t="s">
        <v>272</v>
      </c>
      <c r="Q236" s="2">
        <f t="shared" si="0"/>
        <v>5</v>
      </c>
      <c r="R236" s="1">
        <f t="shared" si="1"/>
        <v>0.52198172800000009</v>
      </c>
      <c r="S236" s="1" t="str">
        <f t="shared" si="2"/>
        <v>null</v>
      </c>
      <c r="T236" s="1" t="str">
        <f t="shared" si="3"/>
        <v>null</v>
      </c>
      <c r="U236" s="1">
        <f t="shared" si="4"/>
        <v>97</v>
      </c>
    </row>
    <row r="237" spans="1:21">
      <c r="A237" s="1" t="s">
        <v>153</v>
      </c>
      <c r="B237" s="1">
        <v>2020</v>
      </c>
      <c r="C237" s="1">
        <v>6871.2871089999999</v>
      </c>
      <c r="D237" s="1">
        <v>80.691001889999995</v>
      </c>
      <c r="E237" s="1">
        <v>99.891523800000002</v>
      </c>
      <c r="F237" s="1">
        <v>0</v>
      </c>
      <c r="G237" s="1">
        <v>0.1084762012</v>
      </c>
      <c r="H237" s="1">
        <v>0</v>
      </c>
      <c r="I237" s="1" t="s">
        <v>272</v>
      </c>
      <c r="J237" s="1" t="s">
        <v>272</v>
      </c>
      <c r="K237" s="1" t="s">
        <v>272</v>
      </c>
      <c r="L237" s="1" t="s">
        <v>272</v>
      </c>
      <c r="M237" s="1" t="s">
        <v>272</v>
      </c>
      <c r="N237" s="1" t="s">
        <v>272</v>
      </c>
      <c r="O237" s="1" t="s">
        <v>272</v>
      </c>
      <c r="P237" s="1" t="s">
        <v>272</v>
      </c>
      <c r="Q237" s="2" t="str">
        <f t="shared" si="0"/>
        <v/>
      </c>
      <c r="R237" s="1" t="str">
        <f t="shared" si="1"/>
        <v/>
      </c>
      <c r="S237" s="1" t="str">
        <f t="shared" si="2"/>
        <v/>
      </c>
      <c r="T237" s="1" t="str">
        <f t="shared" si="3"/>
        <v/>
      </c>
      <c r="U237" s="1">
        <f t="shared" si="4"/>
        <v>100</v>
      </c>
    </row>
    <row r="238" spans="1:21">
      <c r="A238" s="1" t="s">
        <v>154</v>
      </c>
      <c r="B238" s="1">
        <v>2015</v>
      </c>
      <c r="C238" s="1">
        <v>37.465000150000002</v>
      </c>
      <c r="D238" s="1">
        <v>14.303000450000001</v>
      </c>
      <c r="E238" s="1">
        <v>100</v>
      </c>
      <c r="F238" s="1">
        <v>0</v>
      </c>
      <c r="G238" s="1">
        <v>0</v>
      </c>
      <c r="H238" s="1">
        <v>0</v>
      </c>
      <c r="I238" s="1" t="s">
        <v>272</v>
      </c>
      <c r="J238" s="1" t="s">
        <v>272</v>
      </c>
      <c r="K238" s="1" t="s">
        <v>272</v>
      </c>
      <c r="L238" s="1" t="s">
        <v>272</v>
      </c>
      <c r="M238" s="1" t="s">
        <v>272</v>
      </c>
      <c r="N238" s="1" t="s">
        <v>272</v>
      </c>
      <c r="O238" s="1" t="s">
        <v>272</v>
      </c>
      <c r="P238" s="1" t="s">
        <v>272</v>
      </c>
      <c r="Q238" s="2">
        <f t="shared" si="0"/>
        <v>5</v>
      </c>
      <c r="R238" s="1">
        <f t="shared" si="1"/>
        <v>0</v>
      </c>
      <c r="S238" s="1" t="str">
        <f t="shared" si="2"/>
        <v>null</v>
      </c>
      <c r="T238" s="1" t="str">
        <f t="shared" si="3"/>
        <v>null</v>
      </c>
      <c r="U238" s="1">
        <f t="shared" si="4"/>
        <v>100</v>
      </c>
    </row>
    <row r="239" spans="1:21">
      <c r="A239" s="1" t="s">
        <v>154</v>
      </c>
      <c r="B239" s="1">
        <v>2020</v>
      </c>
      <c r="C239" s="1">
        <v>38.137001040000001</v>
      </c>
      <c r="D239" s="1">
        <v>14.416000370000001</v>
      </c>
      <c r="E239" s="1">
        <v>100</v>
      </c>
      <c r="F239" s="1">
        <v>0</v>
      </c>
      <c r="G239" s="1">
        <v>0</v>
      </c>
      <c r="H239" s="1">
        <v>0</v>
      </c>
      <c r="I239" s="1" t="s">
        <v>272</v>
      </c>
      <c r="J239" s="1" t="s">
        <v>272</v>
      </c>
      <c r="K239" s="1" t="s">
        <v>272</v>
      </c>
      <c r="L239" s="1" t="s">
        <v>272</v>
      </c>
      <c r="M239" s="1" t="s">
        <v>272</v>
      </c>
      <c r="N239" s="1" t="s">
        <v>272</v>
      </c>
      <c r="O239" s="1" t="s">
        <v>272</v>
      </c>
      <c r="P239" s="1" t="s">
        <v>272</v>
      </c>
      <c r="Q239" s="2" t="str">
        <f t="shared" si="0"/>
        <v/>
      </c>
      <c r="R239" s="1" t="str">
        <f t="shared" si="1"/>
        <v/>
      </c>
      <c r="S239" s="1" t="str">
        <f t="shared" si="2"/>
        <v/>
      </c>
      <c r="T239" s="1" t="str">
        <f t="shared" si="3"/>
        <v/>
      </c>
      <c r="U239" s="1">
        <f t="shared" si="4"/>
        <v>100</v>
      </c>
    </row>
    <row r="240" spans="1:21">
      <c r="A240" s="1" t="s">
        <v>155</v>
      </c>
      <c r="B240" s="1">
        <v>2015</v>
      </c>
      <c r="C240" s="1">
        <v>2931.8720699999999</v>
      </c>
      <c r="D240" s="1">
        <v>67.229995729999999</v>
      </c>
      <c r="E240" s="1">
        <v>96.604138579999997</v>
      </c>
      <c r="F240" s="1">
        <v>0</v>
      </c>
      <c r="G240" s="1">
        <v>3.3958614219999999</v>
      </c>
      <c r="H240" s="1">
        <v>0</v>
      </c>
      <c r="I240" s="1">
        <v>90.718484410000002</v>
      </c>
      <c r="J240" s="1">
        <v>0</v>
      </c>
      <c r="K240" s="1">
        <v>9.2815155889999996</v>
      </c>
      <c r="L240" s="1">
        <v>0</v>
      </c>
      <c r="M240" s="1">
        <v>99.472990350000003</v>
      </c>
      <c r="N240" s="1">
        <v>0</v>
      </c>
      <c r="O240" s="1">
        <v>0.5270096501</v>
      </c>
      <c r="P240" s="1">
        <v>0</v>
      </c>
      <c r="Q240" s="2">
        <f t="shared" si="0"/>
        <v>5</v>
      </c>
      <c r="R240" s="1">
        <f t="shared" si="1"/>
        <v>0.2818417320000009</v>
      </c>
      <c r="S240" s="1">
        <f t="shared" si="2"/>
        <v>0.61285916399999962</v>
      </c>
      <c r="T240" s="1">
        <f t="shared" si="3"/>
        <v>0.10540192999999931</v>
      </c>
      <c r="U240" s="1">
        <f t="shared" si="4"/>
        <v>97</v>
      </c>
    </row>
    <row r="241" spans="1:21">
      <c r="A241" s="1" t="s">
        <v>155</v>
      </c>
      <c r="B241" s="1">
        <v>2020</v>
      </c>
      <c r="C241" s="1">
        <v>2722.2910160000001</v>
      </c>
      <c r="D241" s="1">
        <v>68.045997619999994</v>
      </c>
      <c r="E241" s="1">
        <v>98.013347240000002</v>
      </c>
      <c r="F241" s="1">
        <v>0</v>
      </c>
      <c r="G241" s="1">
        <v>1.9866527599999999</v>
      </c>
      <c r="H241" s="1">
        <v>0</v>
      </c>
      <c r="I241" s="1">
        <v>93.78278023</v>
      </c>
      <c r="J241" s="1">
        <v>0</v>
      </c>
      <c r="K241" s="1">
        <v>6.2172197709999999</v>
      </c>
      <c r="L241" s="1">
        <v>0</v>
      </c>
      <c r="M241" s="1">
        <v>100</v>
      </c>
      <c r="N241" s="1">
        <v>0</v>
      </c>
      <c r="O241" s="1">
        <v>0</v>
      </c>
      <c r="P241" s="1">
        <v>0</v>
      </c>
      <c r="Q241" s="2" t="str">
        <f t="shared" si="0"/>
        <v/>
      </c>
      <c r="R241" s="1" t="str">
        <f t="shared" si="1"/>
        <v/>
      </c>
      <c r="S241" s="1" t="str">
        <f t="shared" si="2"/>
        <v/>
      </c>
      <c r="T241" s="1" t="str">
        <f t="shared" si="3"/>
        <v/>
      </c>
      <c r="U241" s="1">
        <f t="shared" si="4"/>
        <v>98</v>
      </c>
    </row>
    <row r="242" spans="1:21">
      <c r="A242" s="1" t="s">
        <v>156</v>
      </c>
      <c r="B242" s="1">
        <v>2015</v>
      </c>
      <c r="C242" s="1">
        <v>566.74102779999998</v>
      </c>
      <c r="D242" s="1">
        <v>90.179000849999994</v>
      </c>
      <c r="E242" s="1">
        <v>99.925170660000006</v>
      </c>
      <c r="F242" s="1">
        <v>0</v>
      </c>
      <c r="G242" s="1">
        <v>7.4829340019999996E-2</v>
      </c>
      <c r="H242" s="1">
        <v>0</v>
      </c>
      <c r="I242" s="1">
        <v>99.238095240000007</v>
      </c>
      <c r="J242" s="1">
        <v>0</v>
      </c>
      <c r="K242" s="1">
        <v>0.7619047619</v>
      </c>
      <c r="L242" s="1">
        <v>0</v>
      </c>
      <c r="M242" s="1">
        <v>100</v>
      </c>
      <c r="N242" s="1">
        <v>0</v>
      </c>
      <c r="O242" s="1">
        <v>0</v>
      </c>
      <c r="P242" s="1">
        <v>0</v>
      </c>
      <c r="Q242" s="2">
        <f t="shared" si="0"/>
        <v>5</v>
      </c>
      <c r="R242" s="1">
        <f t="shared" si="1"/>
        <v>-9.0476240000015203E-3</v>
      </c>
      <c r="S242" s="1">
        <f t="shared" si="2"/>
        <v>-0.12857142800000076</v>
      </c>
      <c r="T242" s="1">
        <f t="shared" si="3"/>
        <v>0</v>
      </c>
      <c r="U242" s="1">
        <f t="shared" si="4"/>
        <v>100</v>
      </c>
    </row>
    <row r="243" spans="1:21">
      <c r="A243" s="1" t="s">
        <v>156</v>
      </c>
      <c r="B243" s="1">
        <v>2020</v>
      </c>
      <c r="C243" s="1">
        <v>625.97601320000001</v>
      </c>
      <c r="D243" s="1">
        <v>91.452995299999998</v>
      </c>
      <c r="E243" s="1">
        <v>99.879932539999999</v>
      </c>
      <c r="F243" s="1">
        <v>0</v>
      </c>
      <c r="G243" s="1">
        <v>0.1200674649</v>
      </c>
      <c r="H243" s="1">
        <v>0</v>
      </c>
      <c r="I243" s="1">
        <v>98.595238100000003</v>
      </c>
      <c r="J243" s="1">
        <v>0</v>
      </c>
      <c r="K243" s="1">
        <v>1.404761905</v>
      </c>
      <c r="L243" s="1">
        <v>0</v>
      </c>
      <c r="M243" s="1">
        <v>100</v>
      </c>
      <c r="N243" s="1">
        <v>0</v>
      </c>
      <c r="O243" s="1">
        <v>0</v>
      </c>
      <c r="P243" s="1">
        <v>0</v>
      </c>
      <c r="Q243" s="2" t="str">
        <f t="shared" si="0"/>
        <v/>
      </c>
      <c r="R243" s="1" t="str">
        <f t="shared" si="1"/>
        <v/>
      </c>
      <c r="S243" s="1" t="str">
        <f t="shared" si="2"/>
        <v/>
      </c>
      <c r="T243" s="1" t="str">
        <f t="shared" si="3"/>
        <v/>
      </c>
      <c r="U243" s="1">
        <f t="shared" si="4"/>
        <v>100</v>
      </c>
    </row>
    <row r="244" spans="1:21">
      <c r="A244" s="1" t="s">
        <v>157</v>
      </c>
      <c r="B244" s="1">
        <v>2015</v>
      </c>
      <c r="C244" s="1">
        <v>24234.08008</v>
      </c>
      <c r="D244" s="1">
        <v>35.192996979999997</v>
      </c>
      <c r="E244" s="1">
        <v>48.891773540000003</v>
      </c>
      <c r="F244" s="1">
        <v>2.6771603800000001</v>
      </c>
      <c r="G244" s="1">
        <v>30.406736510000002</v>
      </c>
      <c r="H244" s="1">
        <v>18.024329569999999</v>
      </c>
      <c r="I244" s="1">
        <v>33.144577730000002</v>
      </c>
      <c r="J244" s="1">
        <v>1.743479446</v>
      </c>
      <c r="K244" s="1">
        <v>39.697999690000003</v>
      </c>
      <c r="L244" s="1">
        <v>25.41394313</v>
      </c>
      <c r="M244" s="1">
        <v>77.889830720000006</v>
      </c>
      <c r="N244" s="1">
        <v>4.3965098730000003</v>
      </c>
      <c r="O244" s="1">
        <v>13.29711369</v>
      </c>
      <c r="P244" s="1">
        <v>4.4165457190000001</v>
      </c>
      <c r="Q244" s="2">
        <f t="shared" si="0"/>
        <v>5</v>
      </c>
      <c r="R244" s="1">
        <f t="shared" si="1"/>
        <v>0.89882227399999981</v>
      </c>
      <c r="S244" s="1">
        <f t="shared" si="2"/>
        <v>0.6523685099999994</v>
      </c>
      <c r="T244" s="1">
        <f t="shared" si="3"/>
        <v>0.51603524399999967</v>
      </c>
      <c r="U244" s="1">
        <f t="shared" si="4"/>
        <v>49</v>
      </c>
    </row>
    <row r="245" spans="1:21">
      <c r="A245" s="1" t="s">
        <v>157</v>
      </c>
      <c r="B245" s="1">
        <v>2020</v>
      </c>
      <c r="C245" s="1">
        <v>27691.019530000001</v>
      </c>
      <c r="D245" s="1">
        <v>38.534000399999996</v>
      </c>
      <c r="E245" s="1">
        <v>53.385884910000001</v>
      </c>
      <c r="F245" s="1">
        <v>2.7179729799999999</v>
      </c>
      <c r="G245" s="1">
        <v>32.311459669999998</v>
      </c>
      <c r="H245" s="1">
        <v>11.58468244</v>
      </c>
      <c r="I245" s="1">
        <v>36.406420279999999</v>
      </c>
      <c r="J245" s="1">
        <v>1.601776163</v>
      </c>
      <c r="K245" s="1">
        <v>43.953893450000002</v>
      </c>
      <c r="L245" s="1">
        <v>18.037910109999999</v>
      </c>
      <c r="M245" s="1">
        <v>80.470006940000005</v>
      </c>
      <c r="N245" s="1">
        <v>4.4984302979999997</v>
      </c>
      <c r="O245" s="1">
        <v>13.74049434</v>
      </c>
      <c r="P245" s="1">
        <v>1.291068417</v>
      </c>
      <c r="Q245" s="2" t="str">
        <f t="shared" si="0"/>
        <v/>
      </c>
      <c r="R245" s="1" t="str">
        <f t="shared" si="1"/>
        <v/>
      </c>
      <c r="S245" s="1" t="str">
        <f t="shared" si="2"/>
        <v/>
      </c>
      <c r="T245" s="1" t="str">
        <f t="shared" si="3"/>
        <v/>
      </c>
      <c r="U245" s="1">
        <f t="shared" si="4"/>
        <v>53</v>
      </c>
    </row>
    <row r="246" spans="1:21">
      <c r="A246" s="1" t="s">
        <v>158</v>
      </c>
      <c r="B246" s="1">
        <v>2015</v>
      </c>
      <c r="C246" s="1">
        <v>16745.304690000001</v>
      </c>
      <c r="D246" s="1">
        <v>16.312999730000001</v>
      </c>
      <c r="E246" s="1">
        <v>66.154959140000003</v>
      </c>
      <c r="F246" s="1">
        <v>19.716038309999998</v>
      </c>
      <c r="G246" s="1">
        <v>10.55451427</v>
      </c>
      <c r="H246" s="1">
        <v>3.5744882769999999</v>
      </c>
      <c r="I246" s="1">
        <v>62.240608639999998</v>
      </c>
      <c r="J246" s="1">
        <v>21.69810966</v>
      </c>
      <c r="K246" s="1">
        <v>11.875220280000001</v>
      </c>
      <c r="L246" s="1">
        <v>4.186061413</v>
      </c>
      <c r="M246" s="1">
        <v>86.235879850000003</v>
      </c>
      <c r="N246" s="1">
        <v>9.5478494880000007</v>
      </c>
      <c r="O246" s="1">
        <v>3.7792023349999999</v>
      </c>
      <c r="P246" s="1">
        <v>0.43706832449999999</v>
      </c>
      <c r="Q246" s="2">
        <f t="shared" si="0"/>
        <v>5</v>
      </c>
      <c r="R246" s="1">
        <f t="shared" si="1"/>
        <v>0.77855387399999931</v>
      </c>
      <c r="S246" s="1">
        <f t="shared" si="2"/>
        <v>0.8688870240000014</v>
      </c>
      <c r="T246" s="1">
        <f t="shared" si="3"/>
        <v>4.3763672000000045E-2</v>
      </c>
      <c r="U246" s="1">
        <f t="shared" si="4"/>
        <v>66</v>
      </c>
    </row>
    <row r="247" spans="1:21">
      <c r="A247" s="1" t="s">
        <v>158</v>
      </c>
      <c r="B247" s="1">
        <v>2020</v>
      </c>
      <c r="C247" s="1">
        <v>19129.95508</v>
      </c>
      <c r="D247" s="1">
        <v>17.42700005</v>
      </c>
      <c r="E247" s="1">
        <v>70.047728509999999</v>
      </c>
      <c r="F247" s="1">
        <v>21.95081497</v>
      </c>
      <c r="G247" s="1">
        <v>5.7763044069999996</v>
      </c>
      <c r="H247" s="1">
        <v>2.2251521099999998</v>
      </c>
      <c r="I247" s="1">
        <v>66.585043760000005</v>
      </c>
      <c r="J247" s="1">
        <v>24.414158029999999</v>
      </c>
      <c r="K247" s="1">
        <v>6.3838741460000001</v>
      </c>
      <c r="L247" s="1">
        <v>2.6169240660000002</v>
      </c>
      <c r="M247" s="1">
        <v>86.454698210000004</v>
      </c>
      <c r="N247" s="1">
        <v>10.278948249999999</v>
      </c>
      <c r="O247" s="1">
        <v>2.8975039960000002</v>
      </c>
      <c r="P247" s="1">
        <v>0.36884954460000002</v>
      </c>
      <c r="Q247" s="2" t="str">
        <f t="shared" si="0"/>
        <v/>
      </c>
      <c r="R247" s="1" t="str">
        <f t="shared" si="1"/>
        <v/>
      </c>
      <c r="S247" s="1" t="str">
        <f t="shared" si="2"/>
        <v/>
      </c>
      <c r="T247" s="1" t="str">
        <f t="shared" si="3"/>
        <v/>
      </c>
      <c r="U247" s="1">
        <f t="shared" si="4"/>
        <v>70</v>
      </c>
    </row>
    <row r="248" spans="1:21">
      <c r="A248" s="1" t="s">
        <v>159</v>
      </c>
      <c r="B248" s="1">
        <v>2015</v>
      </c>
      <c r="C248" s="1">
        <v>30270.964840000001</v>
      </c>
      <c r="D248" s="1">
        <v>74.212997439999995</v>
      </c>
      <c r="E248" s="1">
        <v>97.052202559999998</v>
      </c>
      <c r="F248" s="1">
        <v>0.36300550040000001</v>
      </c>
      <c r="G248" s="1">
        <v>2.584791939</v>
      </c>
      <c r="H248" s="1" t="s">
        <v>272</v>
      </c>
      <c r="I248" s="1">
        <v>90.918309219999998</v>
      </c>
      <c r="J248" s="1">
        <v>0.54880267140000005</v>
      </c>
      <c r="K248" s="1">
        <v>8.5328881049999996</v>
      </c>
      <c r="L248" s="1" t="s">
        <v>272</v>
      </c>
      <c r="M248" s="1">
        <v>99.183566049999996</v>
      </c>
      <c r="N248" s="1">
        <v>0.29844603629999999</v>
      </c>
      <c r="O248" s="1">
        <v>0.427987911</v>
      </c>
      <c r="P248" s="1">
        <v>0.09</v>
      </c>
      <c r="Q248" s="2">
        <f t="shared" si="0"/>
        <v>5</v>
      </c>
      <c r="R248" s="1">
        <f t="shared" si="1"/>
        <v>9.5409020000005278E-3</v>
      </c>
      <c r="S248" s="1">
        <f t="shared" si="2"/>
        <v>-0.14417221999999869</v>
      </c>
      <c r="T248" s="1">
        <f t="shared" si="3"/>
        <v>-8.0940279999992988E-3</v>
      </c>
      <c r="U248" s="1">
        <f t="shared" si="4"/>
        <v>97</v>
      </c>
    </row>
    <row r="249" spans="1:21">
      <c r="A249" s="1" t="s">
        <v>159</v>
      </c>
      <c r="B249" s="1">
        <v>2020</v>
      </c>
      <c r="C249" s="1">
        <v>32365.998049999998</v>
      </c>
      <c r="D249" s="1">
        <v>77.159996030000002</v>
      </c>
      <c r="E249" s="1">
        <v>97.09990707</v>
      </c>
      <c r="F249" s="1">
        <v>0.35453968650000001</v>
      </c>
      <c r="G249" s="1">
        <v>2.5455532409999999</v>
      </c>
      <c r="H249" s="1" t="s">
        <v>272</v>
      </c>
      <c r="I249" s="1">
        <v>90.197448120000004</v>
      </c>
      <c r="J249" s="1">
        <v>0.54445139710000001</v>
      </c>
      <c r="K249" s="1">
        <v>9.2581004779999994</v>
      </c>
      <c r="L249" s="1" t="s">
        <v>272</v>
      </c>
      <c r="M249" s="1">
        <v>99.14309591</v>
      </c>
      <c r="N249" s="1">
        <v>0.29832426049999999</v>
      </c>
      <c r="O249" s="1">
        <v>0.46857983190000002</v>
      </c>
      <c r="P249" s="1">
        <v>0.09</v>
      </c>
      <c r="Q249" s="2" t="str">
        <f t="shared" si="0"/>
        <v/>
      </c>
      <c r="R249" s="1" t="str">
        <f t="shared" si="1"/>
        <v/>
      </c>
      <c r="S249" s="1" t="str">
        <f t="shared" si="2"/>
        <v/>
      </c>
      <c r="T249" s="1" t="str">
        <f t="shared" si="3"/>
        <v/>
      </c>
      <c r="U249" s="1">
        <f t="shared" si="4"/>
        <v>97</v>
      </c>
    </row>
    <row r="250" spans="1:21">
      <c r="A250" s="1" t="s">
        <v>160</v>
      </c>
      <c r="B250" s="1">
        <v>2015</v>
      </c>
      <c r="C250" s="1">
        <v>454.91400149999998</v>
      </c>
      <c r="D250" s="1">
        <v>38.528999329999998</v>
      </c>
      <c r="E250" s="1">
        <v>98.814244290000005</v>
      </c>
      <c r="F250" s="1">
        <v>0.11215787989999999</v>
      </c>
      <c r="G250" s="1">
        <v>1.0735978349999999</v>
      </c>
      <c r="H250" s="1">
        <v>0</v>
      </c>
      <c r="I250" s="1">
        <v>98.879699270000003</v>
      </c>
      <c r="J250" s="1">
        <v>0.16698528160000001</v>
      </c>
      <c r="K250" s="1">
        <v>0.95331545299999998</v>
      </c>
      <c r="L250" s="1">
        <v>0</v>
      </c>
      <c r="M250" s="1">
        <v>98.709805689999996</v>
      </c>
      <c r="N250" s="1">
        <v>2.4683622329999998E-2</v>
      </c>
      <c r="O250" s="1">
        <v>1.265510688</v>
      </c>
      <c r="P250" s="1">
        <v>0</v>
      </c>
      <c r="Q250" s="2">
        <f t="shared" si="0"/>
        <v>5</v>
      </c>
      <c r="R250" s="1">
        <f t="shared" si="1"/>
        <v>0.14603886200000032</v>
      </c>
      <c r="S250" s="1">
        <f t="shared" si="2"/>
        <v>0.2078626459999981</v>
      </c>
      <c r="T250" s="1">
        <f t="shared" si="3"/>
        <v>5.7636648000001858E-2</v>
      </c>
      <c r="U250" s="1">
        <f t="shared" si="4"/>
        <v>99</v>
      </c>
    </row>
    <row r="251" spans="1:21">
      <c r="A251" s="1" t="s">
        <v>160</v>
      </c>
      <c r="B251" s="1">
        <v>2020</v>
      </c>
      <c r="C251" s="1">
        <v>540.54199219999998</v>
      </c>
      <c r="D251" s="1">
        <v>40.668998719999998</v>
      </c>
      <c r="E251" s="1">
        <v>99.544438600000007</v>
      </c>
      <c r="F251" s="1">
        <v>4.8050691299999997E-2</v>
      </c>
      <c r="G251" s="1">
        <v>0.40751070499999997</v>
      </c>
      <c r="H251" s="1">
        <v>0</v>
      </c>
      <c r="I251" s="1">
        <v>99.919012499999994</v>
      </c>
      <c r="J251" s="1">
        <v>8.0987500000000004E-2</v>
      </c>
      <c r="K251" s="1">
        <v>0</v>
      </c>
      <c r="L251" s="1">
        <v>0</v>
      </c>
      <c r="M251" s="1">
        <v>98.997988930000005</v>
      </c>
      <c r="N251" s="1">
        <v>0</v>
      </c>
      <c r="O251" s="1">
        <v>1.0020110689999999</v>
      </c>
      <c r="P251" s="1">
        <v>0</v>
      </c>
      <c r="Q251" s="2" t="str">
        <f t="shared" si="0"/>
        <v/>
      </c>
      <c r="R251" s="1" t="str">
        <f t="shared" si="1"/>
        <v/>
      </c>
      <c r="S251" s="1" t="str">
        <f t="shared" si="2"/>
        <v/>
      </c>
      <c r="T251" s="1" t="str">
        <f t="shared" si="3"/>
        <v/>
      </c>
      <c r="U251" s="1">
        <f t="shared" si="4"/>
        <v>100</v>
      </c>
    </row>
    <row r="252" spans="1:21">
      <c r="A252" s="1" t="s">
        <v>161</v>
      </c>
      <c r="B252" s="1">
        <v>2015</v>
      </c>
      <c r="C252" s="1">
        <v>17438.771479999999</v>
      </c>
      <c r="D252" s="1">
        <v>39.990997309999997</v>
      </c>
      <c r="E252" s="1">
        <v>74.399512220000005</v>
      </c>
      <c r="F252" s="1">
        <v>4.1718464529999997</v>
      </c>
      <c r="G252" s="1">
        <v>19.37992934</v>
      </c>
      <c r="H252" s="1">
        <v>2.0487119809999998</v>
      </c>
      <c r="I252" s="1">
        <v>63.395714030000001</v>
      </c>
      <c r="J252" s="1">
        <v>4.4493824149999996</v>
      </c>
      <c r="K252" s="1">
        <v>28.94484164</v>
      </c>
      <c r="L252" s="1">
        <v>3.2100619199999998</v>
      </c>
      <c r="M252" s="1">
        <v>90.911405529999996</v>
      </c>
      <c r="N252" s="1">
        <v>3.7553866569999999</v>
      </c>
      <c r="O252" s="1">
        <v>5.0271739789999996</v>
      </c>
      <c r="P252" s="1">
        <v>0.306033834</v>
      </c>
      <c r="Q252" s="2">
        <f t="shared" si="0"/>
        <v>5</v>
      </c>
      <c r="R252" s="1">
        <f t="shared" si="1"/>
        <v>1.6295557619999983</v>
      </c>
      <c r="S252" s="1">
        <f t="shared" si="2"/>
        <v>1.7370362359999987</v>
      </c>
      <c r="T252" s="1">
        <f t="shared" si="3"/>
        <v>1.0012098440000017</v>
      </c>
      <c r="U252" s="1">
        <f t="shared" si="4"/>
        <v>74</v>
      </c>
    </row>
    <row r="253" spans="1:21">
      <c r="A253" s="1" t="s">
        <v>161</v>
      </c>
      <c r="B253" s="1">
        <v>2020</v>
      </c>
      <c r="C253" s="1">
        <v>20250.833979999999</v>
      </c>
      <c r="D253" s="1">
        <v>43.909004209999999</v>
      </c>
      <c r="E253" s="1">
        <v>82.547291029999997</v>
      </c>
      <c r="F253" s="1">
        <v>3.8547345270000002</v>
      </c>
      <c r="G253" s="1">
        <v>12.246971350000001</v>
      </c>
      <c r="H253" s="1">
        <v>1.3510030900000001</v>
      </c>
      <c r="I253" s="1">
        <v>72.080895209999994</v>
      </c>
      <c r="J253" s="1">
        <v>3.7824122299999998</v>
      </c>
      <c r="K253" s="1">
        <v>21.72810084</v>
      </c>
      <c r="L253" s="1">
        <v>2.4085917170000002</v>
      </c>
      <c r="M253" s="1">
        <v>95.917454750000005</v>
      </c>
      <c r="N253" s="1">
        <v>3.947121723</v>
      </c>
      <c r="O253" s="1">
        <v>0.13542353139999999</v>
      </c>
      <c r="P253" s="1">
        <v>0</v>
      </c>
      <c r="Q253" s="2" t="str">
        <f t="shared" si="0"/>
        <v/>
      </c>
      <c r="R253" s="1" t="str">
        <f t="shared" si="1"/>
        <v/>
      </c>
      <c r="S253" s="1" t="str">
        <f t="shared" si="2"/>
        <v/>
      </c>
      <c r="T253" s="1" t="str">
        <f t="shared" si="3"/>
        <v/>
      </c>
      <c r="U253" s="1">
        <f t="shared" si="4"/>
        <v>83</v>
      </c>
    </row>
    <row r="254" spans="1:21">
      <c r="A254" s="1" t="s">
        <v>162</v>
      </c>
      <c r="B254" s="1">
        <v>2015</v>
      </c>
      <c r="C254" s="1">
        <v>433.55899049999999</v>
      </c>
      <c r="D254" s="1">
        <v>94.414001459999994</v>
      </c>
      <c r="E254" s="1">
        <v>100</v>
      </c>
      <c r="F254" s="1">
        <v>0</v>
      </c>
      <c r="G254" s="1">
        <v>0</v>
      </c>
      <c r="H254" s="1">
        <v>0</v>
      </c>
      <c r="I254" s="1">
        <v>100</v>
      </c>
      <c r="J254" s="1">
        <v>0</v>
      </c>
      <c r="K254" s="1">
        <v>0</v>
      </c>
      <c r="L254" s="1">
        <v>0</v>
      </c>
      <c r="M254" s="1">
        <v>100</v>
      </c>
      <c r="N254" s="1">
        <v>0</v>
      </c>
      <c r="O254" s="1">
        <v>0</v>
      </c>
      <c r="P254" s="1">
        <v>0</v>
      </c>
      <c r="Q254" s="2">
        <f t="shared" si="0"/>
        <v>5</v>
      </c>
      <c r="R254" s="1">
        <f t="shared" si="1"/>
        <v>8.0000000934887789E-8</v>
      </c>
      <c r="S254" s="1">
        <f t="shared" si="2"/>
        <v>0</v>
      </c>
      <c r="T254" s="1">
        <f t="shared" si="3"/>
        <v>0</v>
      </c>
      <c r="U254" s="1">
        <f t="shared" si="4"/>
        <v>100</v>
      </c>
    </row>
    <row r="255" spans="1:21">
      <c r="A255" s="1" t="s">
        <v>162</v>
      </c>
      <c r="B255" s="1">
        <v>2020</v>
      </c>
      <c r="C255" s="1">
        <v>441.53900149999998</v>
      </c>
      <c r="D255" s="1">
        <v>94.744003300000003</v>
      </c>
      <c r="E255" s="1">
        <v>100.0000004</v>
      </c>
      <c r="F255" s="1">
        <v>0</v>
      </c>
      <c r="G255" s="1">
        <v>0</v>
      </c>
      <c r="H255" s="1">
        <v>0</v>
      </c>
      <c r="I255" s="1">
        <v>100</v>
      </c>
      <c r="J255" s="1">
        <v>0</v>
      </c>
      <c r="K255" s="1">
        <v>0</v>
      </c>
      <c r="L255" s="1">
        <v>0</v>
      </c>
      <c r="M255" s="1">
        <v>100</v>
      </c>
      <c r="N255" s="1">
        <v>0</v>
      </c>
      <c r="O255" s="1">
        <v>0</v>
      </c>
      <c r="P255" s="1">
        <v>0</v>
      </c>
      <c r="Q255" s="2" t="str">
        <f t="shared" si="0"/>
        <v/>
      </c>
      <c r="R255" s="1" t="str">
        <f t="shared" si="1"/>
        <v/>
      </c>
      <c r="S255" s="1" t="str">
        <f t="shared" si="2"/>
        <v/>
      </c>
      <c r="T255" s="1" t="str">
        <f t="shared" si="3"/>
        <v/>
      </c>
      <c r="U255" s="1">
        <f t="shared" si="4"/>
        <v>100</v>
      </c>
    </row>
    <row r="256" spans="1:21">
      <c r="A256" s="1" t="s">
        <v>163</v>
      </c>
      <c r="B256" s="1">
        <v>2015</v>
      </c>
      <c r="C256" s="1">
        <v>57.444000240000001</v>
      </c>
      <c r="D256" s="1">
        <v>75.810997009999994</v>
      </c>
      <c r="E256" s="1">
        <v>88.342523619999994</v>
      </c>
      <c r="F256" s="1">
        <v>11.18141559</v>
      </c>
      <c r="G256" s="1">
        <v>0.47606079179999999</v>
      </c>
      <c r="H256" s="1">
        <v>0</v>
      </c>
      <c r="I256" s="1">
        <v>94.278360000000006</v>
      </c>
      <c r="J256" s="1">
        <v>5.38164</v>
      </c>
      <c r="K256" s="1">
        <v>0.34</v>
      </c>
      <c r="L256" s="1">
        <v>0</v>
      </c>
      <c r="M256" s="1">
        <v>86.448577369999995</v>
      </c>
      <c r="N256" s="1">
        <v>13.03194895</v>
      </c>
      <c r="O256" s="1">
        <v>0.51947368419999995</v>
      </c>
      <c r="P256" s="1">
        <v>0</v>
      </c>
      <c r="Q256" s="2">
        <f t="shared" si="0"/>
        <v>5</v>
      </c>
      <c r="R256" s="1">
        <f t="shared" si="1"/>
        <v>4.5904672000000347E-2</v>
      </c>
      <c r="S256" s="1">
        <f t="shared" si="2"/>
        <v>3.0271999999999365E-2</v>
      </c>
      <c r="T256" s="1">
        <f t="shared" si="3"/>
        <v>9.0284526000002072E-2</v>
      </c>
      <c r="U256" s="1">
        <f t="shared" si="4"/>
        <v>88</v>
      </c>
    </row>
    <row r="257" spans="1:21">
      <c r="A257" s="1" t="s">
        <v>163</v>
      </c>
      <c r="B257" s="1">
        <v>2020</v>
      </c>
      <c r="C257" s="1">
        <v>59.194000240000001</v>
      </c>
      <c r="D257" s="1">
        <v>77.793991090000006</v>
      </c>
      <c r="E257" s="1">
        <v>88.572046979999996</v>
      </c>
      <c r="F257" s="1">
        <v>11.387979</v>
      </c>
      <c r="G257" s="1">
        <v>3.9974025849999997E-2</v>
      </c>
      <c r="H257" s="1">
        <v>0</v>
      </c>
      <c r="I257" s="1">
        <v>94.429720000000003</v>
      </c>
      <c r="J257" s="1">
        <v>5.3902799999999997</v>
      </c>
      <c r="K257" s="1">
        <v>0.18</v>
      </c>
      <c r="L257" s="1">
        <v>0</v>
      </c>
      <c r="M257" s="1">
        <v>86.9</v>
      </c>
      <c r="N257" s="1">
        <v>13.1</v>
      </c>
      <c r="O257" s="1">
        <v>0</v>
      </c>
      <c r="P257" s="1">
        <v>0</v>
      </c>
      <c r="Q257" s="2" t="str">
        <f t="shared" ref="Q257:Q463" si="5">IF(A258=A257,B258-B257,"")</f>
        <v/>
      </c>
      <c r="R257" s="1" t="str">
        <f t="shared" ref="R257:R463" si="6">IFERROR(IF($A258=$A257,($E258-$E257)/($B258-$B257),""),"null")</f>
        <v/>
      </c>
      <c r="S257" s="1" t="str">
        <f t="shared" ref="S257:S463" si="7">IFERROR(IF($A258=$A257,($I258-$I257)/($B258-$B257),""),"null")</f>
        <v/>
      </c>
      <c r="T257" s="1" t="str">
        <f t="shared" ref="T257:T463" si="8">IFERROR(IF($A258=$A257,($M258-$M257)/($B258-$B257),""),"null")</f>
        <v/>
      </c>
      <c r="U257" s="1">
        <f t="shared" ref="U257:U463" si="9">IFERROR(ROUND(E257,0),"null")</f>
        <v>89</v>
      </c>
    </row>
    <row r="258" spans="1:21">
      <c r="A258" s="1" t="s">
        <v>164</v>
      </c>
      <c r="B258" s="1">
        <v>2015</v>
      </c>
      <c r="C258" s="1">
        <v>378.48300169999999</v>
      </c>
      <c r="D258" s="1">
        <v>88.981002810000007</v>
      </c>
      <c r="E258" s="1">
        <v>99.796030000000002</v>
      </c>
      <c r="F258" s="1">
        <v>0</v>
      </c>
      <c r="G258" s="1">
        <v>0.20396999539999999</v>
      </c>
      <c r="H258" s="1">
        <v>0</v>
      </c>
      <c r="I258" s="1" t="s">
        <v>272</v>
      </c>
      <c r="J258" s="1" t="s">
        <v>272</v>
      </c>
      <c r="K258" s="1" t="s">
        <v>272</v>
      </c>
      <c r="L258" s="1" t="s">
        <v>272</v>
      </c>
      <c r="M258" s="1" t="s">
        <v>272</v>
      </c>
      <c r="N258" s="1" t="s">
        <v>272</v>
      </c>
      <c r="O258" s="1" t="s">
        <v>272</v>
      </c>
      <c r="P258" s="1" t="s">
        <v>272</v>
      </c>
      <c r="Q258" s="2">
        <f t="shared" si="5"/>
        <v>5</v>
      </c>
      <c r="R258" s="1">
        <f t="shared" si="6"/>
        <v>9.1881559999990262E-3</v>
      </c>
      <c r="S258" s="1" t="str">
        <f t="shared" si="7"/>
        <v>null</v>
      </c>
      <c r="T258" s="1" t="str">
        <f t="shared" si="8"/>
        <v>null</v>
      </c>
      <c r="U258" s="1">
        <f t="shared" si="9"/>
        <v>100</v>
      </c>
    </row>
    <row r="259" spans="1:21">
      <c r="A259" s="1" t="s">
        <v>164</v>
      </c>
      <c r="B259" s="1">
        <v>2020</v>
      </c>
      <c r="C259" s="1">
        <v>375.26501459999997</v>
      </c>
      <c r="D259" s="1">
        <v>89.13999939</v>
      </c>
      <c r="E259" s="1">
        <v>99.841970779999997</v>
      </c>
      <c r="F259" s="1">
        <v>0</v>
      </c>
      <c r="G259" s="1">
        <v>0.15802921580000001</v>
      </c>
      <c r="H259" s="1">
        <v>0</v>
      </c>
      <c r="I259" s="1" t="s">
        <v>272</v>
      </c>
      <c r="J259" s="1" t="s">
        <v>272</v>
      </c>
      <c r="K259" s="1" t="s">
        <v>272</v>
      </c>
      <c r="L259" s="1" t="s">
        <v>272</v>
      </c>
      <c r="M259" s="1" t="s">
        <v>272</v>
      </c>
      <c r="N259" s="1" t="s">
        <v>272</v>
      </c>
      <c r="O259" s="1" t="s">
        <v>272</v>
      </c>
      <c r="P259" s="1" t="s">
        <v>272</v>
      </c>
      <c r="Q259" s="2" t="str">
        <f t="shared" si="5"/>
        <v/>
      </c>
      <c r="R259" s="1" t="str">
        <f t="shared" si="6"/>
        <v/>
      </c>
      <c r="S259" s="1" t="str">
        <f t="shared" si="7"/>
        <v/>
      </c>
      <c r="T259" s="1" t="str">
        <f t="shared" si="8"/>
        <v/>
      </c>
      <c r="U259" s="1">
        <f t="shared" si="9"/>
        <v>100</v>
      </c>
    </row>
    <row r="260" spans="1:21">
      <c r="A260" s="1" t="s">
        <v>165</v>
      </c>
      <c r="B260" s="1">
        <v>2015</v>
      </c>
      <c r="C260" s="1">
        <v>4046.3039549999999</v>
      </c>
      <c r="D260" s="1">
        <v>51.0890007</v>
      </c>
      <c r="E260" s="1">
        <v>66.973309400000005</v>
      </c>
      <c r="F260" s="1">
        <v>14.811653570000001</v>
      </c>
      <c r="G260" s="1">
        <v>17.637023750000001</v>
      </c>
      <c r="H260" s="1">
        <v>0.57801328240000005</v>
      </c>
      <c r="I260" s="1">
        <v>46.69284218</v>
      </c>
      <c r="J260" s="1">
        <v>18.20063085</v>
      </c>
      <c r="K260" s="1">
        <v>33.924761500000002</v>
      </c>
      <c r="L260" s="1">
        <v>1.1817654639999999</v>
      </c>
      <c r="M260" s="1">
        <v>86.389188590000003</v>
      </c>
      <c r="N260" s="1">
        <v>11.56715369</v>
      </c>
      <c r="O260" s="1">
        <v>2.043657719</v>
      </c>
      <c r="P260" s="1">
        <v>0</v>
      </c>
      <c r="Q260" s="2">
        <f t="shared" si="5"/>
        <v>5</v>
      </c>
      <c r="R260" s="1">
        <f t="shared" si="6"/>
        <v>0.94154796599999879</v>
      </c>
      <c r="S260" s="1">
        <f t="shared" si="7"/>
        <v>0.64369934399999951</v>
      </c>
      <c r="T260" s="1">
        <f t="shared" si="8"/>
        <v>0.57390121199999844</v>
      </c>
      <c r="U260" s="1">
        <f t="shared" si="9"/>
        <v>67</v>
      </c>
    </row>
    <row r="261" spans="1:21">
      <c r="A261" s="1" t="s">
        <v>165</v>
      </c>
      <c r="B261" s="1">
        <v>2020</v>
      </c>
      <c r="C261" s="1">
        <v>4649.6601559999999</v>
      </c>
      <c r="D261" s="1">
        <v>55.326995850000003</v>
      </c>
      <c r="E261" s="1">
        <v>71.681049229999999</v>
      </c>
      <c r="F261" s="1">
        <v>13.476891930000001</v>
      </c>
      <c r="G261" s="1">
        <v>14.820326809999999</v>
      </c>
      <c r="H261" s="1">
        <v>2.173203433E-2</v>
      </c>
      <c r="I261" s="1">
        <v>49.911338899999997</v>
      </c>
      <c r="J261" s="1">
        <v>18.49039689</v>
      </c>
      <c r="K261" s="1">
        <v>31.549617300000001</v>
      </c>
      <c r="L261" s="1">
        <v>4.8646907220000001E-2</v>
      </c>
      <c r="M261" s="1">
        <v>89.258694649999995</v>
      </c>
      <c r="N261" s="1">
        <v>9.4288080829999998</v>
      </c>
      <c r="O261" s="1">
        <v>1.3124972699999999</v>
      </c>
      <c r="P261" s="1">
        <v>0</v>
      </c>
      <c r="Q261" s="2" t="str">
        <f t="shared" si="5"/>
        <v/>
      </c>
      <c r="R261" s="1" t="str">
        <f t="shared" si="6"/>
        <v/>
      </c>
      <c r="S261" s="1" t="str">
        <f t="shared" si="7"/>
        <v/>
      </c>
      <c r="T261" s="1" t="str">
        <f t="shared" si="8"/>
        <v/>
      </c>
      <c r="U261" s="1">
        <f t="shared" si="9"/>
        <v>72</v>
      </c>
    </row>
    <row r="262" spans="1:21">
      <c r="A262" s="1" t="s">
        <v>166</v>
      </c>
      <c r="B262" s="1">
        <v>2015</v>
      </c>
      <c r="C262" s="1">
        <v>1259.4570309999999</v>
      </c>
      <c r="D262" s="1">
        <v>41</v>
      </c>
      <c r="E262" s="1">
        <v>99.866481820000004</v>
      </c>
      <c r="F262" s="1">
        <v>0</v>
      </c>
      <c r="G262" s="1">
        <v>0.13351818090000001</v>
      </c>
      <c r="H262" s="1">
        <v>0</v>
      </c>
      <c r="I262" s="1">
        <v>99.827682339999996</v>
      </c>
      <c r="J262" s="1">
        <v>0</v>
      </c>
      <c r="K262" s="1">
        <v>0.17231766179999999</v>
      </c>
      <c r="L262" s="1">
        <v>0</v>
      </c>
      <c r="M262" s="1">
        <v>99.922315220000002</v>
      </c>
      <c r="N262" s="1">
        <v>0</v>
      </c>
      <c r="O262" s="1">
        <v>7.7684781189999996E-2</v>
      </c>
      <c r="P262" s="1">
        <v>0</v>
      </c>
      <c r="Q262" s="2">
        <f t="shared" si="5"/>
        <v>5</v>
      </c>
      <c r="R262" s="1">
        <f t="shared" si="6"/>
        <v>-4.5424000001048624E-5</v>
      </c>
      <c r="S262" s="1">
        <f t="shared" si="7"/>
        <v>0</v>
      </c>
      <c r="T262" s="1">
        <f t="shared" si="8"/>
        <v>0</v>
      </c>
      <c r="U262" s="1">
        <f t="shared" si="9"/>
        <v>100</v>
      </c>
    </row>
    <row r="263" spans="1:21">
      <c r="A263" s="1" t="s">
        <v>166</v>
      </c>
      <c r="B263" s="1">
        <v>2020</v>
      </c>
      <c r="C263" s="1">
        <v>1271.7669679999999</v>
      </c>
      <c r="D263" s="1">
        <v>40.759998320000001</v>
      </c>
      <c r="E263" s="1">
        <v>99.866254699999999</v>
      </c>
      <c r="F263" s="1">
        <v>0</v>
      </c>
      <c r="G263" s="1">
        <v>0.13374530139999999</v>
      </c>
      <c r="H263" s="1">
        <v>0</v>
      </c>
      <c r="I263" s="1">
        <v>99.827682339999996</v>
      </c>
      <c r="J263" s="1">
        <v>0</v>
      </c>
      <c r="K263" s="1">
        <v>0.17231766179999999</v>
      </c>
      <c r="L263" s="1">
        <v>0</v>
      </c>
      <c r="M263" s="1">
        <v>99.922315220000002</v>
      </c>
      <c r="N263" s="1">
        <v>0</v>
      </c>
      <c r="O263" s="1">
        <v>7.7684781189999996E-2</v>
      </c>
      <c r="P263" s="1">
        <v>0</v>
      </c>
      <c r="Q263" s="2" t="str">
        <f t="shared" si="5"/>
        <v/>
      </c>
      <c r="R263" s="1" t="str">
        <f t="shared" si="6"/>
        <v/>
      </c>
      <c r="S263" s="1" t="str">
        <f t="shared" si="7"/>
        <v/>
      </c>
      <c r="T263" s="1" t="str">
        <f t="shared" si="8"/>
        <v/>
      </c>
      <c r="U263" s="1">
        <f t="shared" si="9"/>
        <v>100</v>
      </c>
    </row>
    <row r="264" spans="1:21">
      <c r="A264" s="1" t="s">
        <v>167</v>
      </c>
      <c r="B264" s="1">
        <v>2015</v>
      </c>
      <c r="C264" s="1">
        <v>240.01100159999999</v>
      </c>
      <c r="D264" s="1">
        <v>46.989002229999997</v>
      </c>
      <c r="E264" s="1">
        <v>96.837811279999997</v>
      </c>
      <c r="F264" s="1">
        <v>0</v>
      </c>
      <c r="G264" s="1">
        <v>0.28201846689999999</v>
      </c>
      <c r="H264" s="1">
        <v>2.880170256</v>
      </c>
      <c r="I264" s="1" t="s">
        <v>272</v>
      </c>
      <c r="J264" s="1" t="s">
        <v>272</v>
      </c>
      <c r="K264" s="1" t="s">
        <v>272</v>
      </c>
      <c r="L264" s="1" t="s">
        <v>272</v>
      </c>
      <c r="M264" s="1" t="s">
        <v>272</v>
      </c>
      <c r="N264" s="1" t="s">
        <v>272</v>
      </c>
      <c r="O264" s="1" t="s">
        <v>272</v>
      </c>
      <c r="P264" s="1" t="s">
        <v>272</v>
      </c>
      <c r="Q264" s="2">
        <f t="shared" si="5"/>
        <v>5</v>
      </c>
      <c r="R264" s="1">
        <f t="shared" si="6"/>
        <v>-9.3326313999997981E-2</v>
      </c>
      <c r="S264" s="1" t="str">
        <f t="shared" si="7"/>
        <v>null</v>
      </c>
      <c r="T264" s="1" t="str">
        <f t="shared" si="8"/>
        <v>null</v>
      </c>
      <c r="U264" s="1">
        <f t="shared" si="9"/>
        <v>97</v>
      </c>
    </row>
    <row r="265" spans="1:21">
      <c r="A265" s="1" t="s">
        <v>167</v>
      </c>
      <c r="B265" s="1">
        <v>2020</v>
      </c>
      <c r="C265" s="1">
        <v>272.81298829999997</v>
      </c>
      <c r="D265" s="1">
        <v>45.750999450000002</v>
      </c>
      <c r="E265" s="1">
        <v>96.371179710000007</v>
      </c>
      <c r="F265" s="1">
        <v>0</v>
      </c>
      <c r="G265" s="1">
        <v>3.6288202950000001</v>
      </c>
      <c r="H265" s="1" t="s">
        <v>272</v>
      </c>
      <c r="I265" s="1" t="s">
        <v>272</v>
      </c>
      <c r="J265" s="1" t="s">
        <v>272</v>
      </c>
      <c r="K265" s="1" t="s">
        <v>272</v>
      </c>
      <c r="L265" s="1" t="s">
        <v>272</v>
      </c>
      <c r="M265" s="1" t="s">
        <v>272</v>
      </c>
      <c r="N265" s="1" t="s">
        <v>272</v>
      </c>
      <c r="O265" s="1" t="s">
        <v>272</v>
      </c>
      <c r="P265" s="1" t="s">
        <v>272</v>
      </c>
      <c r="Q265" s="2" t="str">
        <f t="shared" si="5"/>
        <v/>
      </c>
      <c r="R265" s="1" t="str">
        <f t="shared" si="6"/>
        <v/>
      </c>
      <c r="S265" s="1" t="str">
        <f t="shared" si="7"/>
        <v/>
      </c>
      <c r="T265" s="1" t="str">
        <f t="shared" si="8"/>
        <v/>
      </c>
      <c r="U265" s="1">
        <f t="shared" si="9"/>
        <v>96</v>
      </c>
    </row>
    <row r="266" spans="1:21">
      <c r="A266" s="1" t="s">
        <v>168</v>
      </c>
      <c r="B266" s="1">
        <v>2015</v>
      </c>
      <c r="C266" s="1">
        <v>121858.25</v>
      </c>
      <c r="D266" s="1">
        <v>79.284996030000002</v>
      </c>
      <c r="E266" s="1">
        <v>98.025443539999998</v>
      </c>
      <c r="F266" s="1">
        <v>0</v>
      </c>
      <c r="G266" s="1">
        <v>1.4123609640000001</v>
      </c>
      <c r="H266" s="1">
        <v>0.56219549209999997</v>
      </c>
      <c r="I266" s="1">
        <v>93.286694030000007</v>
      </c>
      <c r="J266" s="1">
        <v>0</v>
      </c>
      <c r="K266" s="1">
        <v>4.3109388519999996</v>
      </c>
      <c r="L266" s="1">
        <v>2.4023671210000002</v>
      </c>
      <c r="M266" s="1">
        <v>99.263552899999993</v>
      </c>
      <c r="N266" s="1">
        <v>0</v>
      </c>
      <c r="O266" s="1">
        <v>0.65503800599999995</v>
      </c>
      <c r="P266" s="1">
        <v>8.140909465E-2</v>
      </c>
      <c r="Q266" s="2">
        <f t="shared" si="5"/>
        <v>5</v>
      </c>
      <c r="R266" s="1">
        <f t="shared" si="6"/>
        <v>0.33082494800000006</v>
      </c>
      <c r="S266" s="1">
        <f t="shared" si="7"/>
        <v>1.0100749799999988</v>
      </c>
      <c r="T266" s="1">
        <f t="shared" si="8"/>
        <v>0.14728942000000131</v>
      </c>
      <c r="U266" s="1">
        <f t="shared" si="9"/>
        <v>98</v>
      </c>
    </row>
    <row r="267" spans="1:21">
      <c r="A267" s="1" t="s">
        <v>168</v>
      </c>
      <c r="B267" s="1">
        <v>2020</v>
      </c>
      <c r="C267" s="1">
        <v>128932.75</v>
      </c>
      <c r="D267" s="1">
        <v>80.730995179999994</v>
      </c>
      <c r="E267" s="1">
        <v>99.679568279999998</v>
      </c>
      <c r="F267" s="1">
        <v>0</v>
      </c>
      <c r="G267" s="1">
        <v>0.3204317169</v>
      </c>
      <c r="H267" s="1">
        <v>0</v>
      </c>
      <c r="I267" s="1">
        <v>98.337068930000001</v>
      </c>
      <c r="J267" s="1">
        <v>0</v>
      </c>
      <c r="K267" s="1">
        <v>1.6629310669999999</v>
      </c>
      <c r="L267" s="1">
        <v>0</v>
      </c>
      <c r="M267" s="1">
        <v>100</v>
      </c>
      <c r="N267" s="1">
        <v>0</v>
      </c>
      <c r="O267" s="1">
        <v>0</v>
      </c>
      <c r="P267" s="1">
        <v>0</v>
      </c>
      <c r="Q267" s="2" t="str">
        <f t="shared" si="5"/>
        <v/>
      </c>
      <c r="R267" s="1" t="str">
        <f t="shared" si="6"/>
        <v/>
      </c>
      <c r="S267" s="1" t="str">
        <f t="shared" si="7"/>
        <v/>
      </c>
      <c r="T267" s="1" t="str">
        <f t="shared" si="8"/>
        <v/>
      </c>
      <c r="U267" s="1">
        <f t="shared" si="9"/>
        <v>100</v>
      </c>
    </row>
    <row r="268" spans="1:21">
      <c r="A268" s="1" t="s">
        <v>169</v>
      </c>
      <c r="B268" s="1">
        <v>2015</v>
      </c>
      <c r="C268" s="1">
        <v>108.8860016</v>
      </c>
      <c r="D268" s="1">
        <v>22.455999370000001</v>
      </c>
      <c r="E268" s="1">
        <v>88.308156679999996</v>
      </c>
      <c r="F268" s="1">
        <v>0</v>
      </c>
      <c r="G268" s="1">
        <v>11.69184332</v>
      </c>
      <c r="H268" s="1" t="s">
        <v>272</v>
      </c>
      <c r="I268" s="1" t="s">
        <v>272</v>
      </c>
      <c r="J268" s="1" t="s">
        <v>272</v>
      </c>
      <c r="K268" s="1" t="s">
        <v>272</v>
      </c>
      <c r="L268" s="1" t="s">
        <v>272</v>
      </c>
      <c r="M268" s="1" t="s">
        <v>272</v>
      </c>
      <c r="N268" s="1" t="s">
        <v>272</v>
      </c>
      <c r="O268" s="1" t="s">
        <v>272</v>
      </c>
      <c r="P268" s="1" t="s">
        <v>272</v>
      </c>
      <c r="Q268" s="2">
        <f t="shared" si="5"/>
        <v>4</v>
      </c>
      <c r="R268" s="1">
        <f t="shared" si="6"/>
        <v>0</v>
      </c>
      <c r="S268" s="1" t="str">
        <f t="shared" si="7"/>
        <v>null</v>
      </c>
      <c r="T268" s="1" t="str">
        <f t="shared" si="8"/>
        <v>null</v>
      </c>
      <c r="U268" s="1">
        <f t="shared" si="9"/>
        <v>88</v>
      </c>
    </row>
    <row r="269" spans="1:21">
      <c r="A269" s="1" t="s">
        <v>169</v>
      </c>
      <c r="B269" s="1">
        <v>2019</v>
      </c>
      <c r="C269" s="1">
        <v>113.810997</v>
      </c>
      <c r="D269" s="1">
        <v>22.812000269999999</v>
      </c>
      <c r="E269" s="1">
        <v>88.308156679999996</v>
      </c>
      <c r="F269" s="1">
        <v>0</v>
      </c>
      <c r="G269" s="1">
        <v>11.69184332</v>
      </c>
      <c r="H269" s="1" t="s">
        <v>272</v>
      </c>
      <c r="I269" s="1" t="s">
        <v>272</v>
      </c>
      <c r="J269" s="1" t="s">
        <v>272</v>
      </c>
      <c r="K269" s="1" t="s">
        <v>272</v>
      </c>
      <c r="L269" s="1" t="s">
        <v>272</v>
      </c>
      <c r="M269" s="1" t="s">
        <v>272</v>
      </c>
      <c r="N269" s="1" t="s">
        <v>272</v>
      </c>
      <c r="O269" s="1" t="s">
        <v>272</v>
      </c>
      <c r="P269" s="1" t="s">
        <v>272</v>
      </c>
      <c r="Q269" s="2" t="str">
        <f t="shared" si="5"/>
        <v/>
      </c>
      <c r="R269" s="1" t="str">
        <f t="shared" si="6"/>
        <v/>
      </c>
      <c r="S269" s="1" t="str">
        <f t="shared" si="7"/>
        <v/>
      </c>
      <c r="T269" s="1" t="str">
        <f t="shared" si="8"/>
        <v/>
      </c>
      <c r="U269" s="1">
        <f t="shared" si="9"/>
        <v>88</v>
      </c>
    </row>
    <row r="270" spans="1:21">
      <c r="A270" s="1" t="s">
        <v>170</v>
      </c>
      <c r="B270" s="1">
        <v>2015</v>
      </c>
      <c r="C270" s="1">
        <v>37.722999569999999</v>
      </c>
      <c r="D270" s="1">
        <v>100</v>
      </c>
      <c r="E270" s="1">
        <v>100</v>
      </c>
      <c r="F270" s="1">
        <v>0</v>
      </c>
      <c r="G270" s="1">
        <v>0</v>
      </c>
      <c r="H270" s="1">
        <v>0</v>
      </c>
      <c r="I270" s="1" t="s">
        <v>272</v>
      </c>
      <c r="J270" s="1" t="s">
        <v>272</v>
      </c>
      <c r="K270" s="1" t="s">
        <v>272</v>
      </c>
      <c r="L270" s="1" t="s">
        <v>272</v>
      </c>
      <c r="M270" s="1">
        <v>100</v>
      </c>
      <c r="N270" s="1">
        <v>0</v>
      </c>
      <c r="O270" s="1">
        <v>0</v>
      </c>
      <c r="P270" s="1">
        <v>0</v>
      </c>
      <c r="Q270" s="2">
        <f t="shared" si="5"/>
        <v>5</v>
      </c>
      <c r="R270" s="1">
        <f t="shared" si="6"/>
        <v>0</v>
      </c>
      <c r="S270" s="1" t="str">
        <f t="shared" si="7"/>
        <v>null</v>
      </c>
      <c r="T270" s="1">
        <f t="shared" si="8"/>
        <v>0</v>
      </c>
      <c r="U270" s="1">
        <f t="shared" si="9"/>
        <v>100</v>
      </c>
    </row>
    <row r="271" spans="1:21">
      <c r="A271" s="1" t="s">
        <v>170</v>
      </c>
      <c r="B271" s="1">
        <v>2020</v>
      </c>
      <c r="C271" s="1">
        <v>39.243999479999999</v>
      </c>
      <c r="D271" s="1">
        <v>100</v>
      </c>
      <c r="E271" s="1">
        <v>100</v>
      </c>
      <c r="F271" s="1">
        <v>0</v>
      </c>
      <c r="G271" s="1">
        <v>0</v>
      </c>
      <c r="H271" s="1">
        <v>0</v>
      </c>
      <c r="I271" s="1" t="s">
        <v>272</v>
      </c>
      <c r="J271" s="1" t="s">
        <v>272</v>
      </c>
      <c r="K271" s="1" t="s">
        <v>272</v>
      </c>
      <c r="L271" s="1" t="s">
        <v>272</v>
      </c>
      <c r="M271" s="1">
        <v>100</v>
      </c>
      <c r="N271" s="1">
        <v>0</v>
      </c>
      <c r="O271" s="1">
        <v>0</v>
      </c>
      <c r="P271" s="1">
        <v>0</v>
      </c>
      <c r="Q271" s="2" t="str">
        <f t="shared" si="5"/>
        <v/>
      </c>
      <c r="R271" s="1" t="str">
        <f t="shared" si="6"/>
        <v/>
      </c>
      <c r="S271" s="1" t="str">
        <f t="shared" si="7"/>
        <v/>
      </c>
      <c r="T271" s="1" t="str">
        <f t="shared" si="8"/>
        <v/>
      </c>
      <c r="U271" s="1">
        <f t="shared" si="9"/>
        <v>100</v>
      </c>
    </row>
    <row r="272" spans="1:21">
      <c r="A272" s="1" t="s">
        <v>171</v>
      </c>
      <c r="B272" s="1">
        <v>2015</v>
      </c>
      <c r="C272" s="1">
        <v>2998.4331050000001</v>
      </c>
      <c r="D272" s="1">
        <v>68.229995729999999</v>
      </c>
      <c r="E272" s="1">
        <v>80.813012090000001</v>
      </c>
      <c r="F272" s="1">
        <v>3.905181378</v>
      </c>
      <c r="G272" s="1">
        <v>7.5786445809999998</v>
      </c>
      <c r="H272" s="1">
        <v>7.7031619500000001</v>
      </c>
      <c r="I272" s="1">
        <v>52.093888010000001</v>
      </c>
      <c r="J272" s="1">
        <v>5.3335891499999999</v>
      </c>
      <c r="K272" s="1">
        <v>18.718643360000002</v>
      </c>
      <c r="L272" s="1">
        <v>23.85387948</v>
      </c>
      <c r="M272" s="1">
        <v>94.185527239999999</v>
      </c>
      <c r="N272" s="1">
        <v>3.240070405</v>
      </c>
      <c r="O272" s="1">
        <v>2.3915155440000002</v>
      </c>
      <c r="P272" s="1">
        <v>0.1828868106</v>
      </c>
      <c r="Q272" s="2">
        <f t="shared" si="5"/>
        <v>5</v>
      </c>
      <c r="R272" s="1">
        <f t="shared" si="6"/>
        <v>0.93652263600000085</v>
      </c>
      <c r="S272" s="1">
        <f t="shared" si="7"/>
        <v>1.7953726259999996</v>
      </c>
      <c r="T272" s="1">
        <f t="shared" si="8"/>
        <v>0.4920876679999992</v>
      </c>
      <c r="U272" s="1">
        <f t="shared" si="9"/>
        <v>81</v>
      </c>
    </row>
    <row r="273" spans="1:21">
      <c r="A273" s="1" t="s">
        <v>171</v>
      </c>
      <c r="B273" s="1">
        <v>2020</v>
      </c>
      <c r="C273" s="1">
        <v>3278.2919919999999</v>
      </c>
      <c r="D273" s="1">
        <v>68.656997680000003</v>
      </c>
      <c r="E273" s="1">
        <v>85.495625270000005</v>
      </c>
      <c r="F273" s="1">
        <v>2.1464289299999999</v>
      </c>
      <c r="G273" s="1">
        <v>6.6333667140000001</v>
      </c>
      <c r="H273" s="1">
        <v>5.7245790809999999</v>
      </c>
      <c r="I273" s="1">
        <v>61.070751139999999</v>
      </c>
      <c r="J273" s="1">
        <v>3.0841705720000001</v>
      </c>
      <c r="K273" s="1">
        <v>17.580781160000001</v>
      </c>
      <c r="L273" s="1">
        <v>18.264297129999999</v>
      </c>
      <c r="M273" s="1">
        <v>96.645965579999995</v>
      </c>
      <c r="N273" s="1">
        <v>1.718335079</v>
      </c>
      <c r="O273" s="1">
        <v>1.635699341</v>
      </c>
      <c r="P273" s="1">
        <v>0</v>
      </c>
      <c r="Q273" s="2" t="str">
        <f t="shared" si="5"/>
        <v/>
      </c>
      <c r="R273" s="1" t="str">
        <f t="shared" si="6"/>
        <v/>
      </c>
      <c r="S273" s="1" t="str">
        <f t="shared" si="7"/>
        <v/>
      </c>
      <c r="T273" s="1" t="str">
        <f t="shared" si="8"/>
        <v/>
      </c>
      <c r="U273" s="1">
        <f t="shared" si="9"/>
        <v>85</v>
      </c>
    </row>
    <row r="274" spans="1:21">
      <c r="A274" s="1" t="s">
        <v>172</v>
      </c>
      <c r="B274" s="1">
        <v>2015</v>
      </c>
      <c r="C274" s="1">
        <v>626.9569702</v>
      </c>
      <c r="D274" s="1">
        <v>65.805999760000006</v>
      </c>
      <c r="E274" s="1">
        <v>97.391295369999995</v>
      </c>
      <c r="F274" s="1">
        <v>1.68690191</v>
      </c>
      <c r="G274" s="1">
        <v>0.88144584619999999</v>
      </c>
      <c r="H274" s="1">
        <v>4.035686954E-2</v>
      </c>
      <c r="I274" s="1">
        <v>95.96066218</v>
      </c>
      <c r="J274" s="1">
        <v>1.539303155</v>
      </c>
      <c r="K274" s="1">
        <v>2.3820114100000001</v>
      </c>
      <c r="L274" s="1">
        <v>0.1180232558</v>
      </c>
      <c r="M274" s="1">
        <v>98.134678449999996</v>
      </c>
      <c r="N274" s="1">
        <v>1.763596913</v>
      </c>
      <c r="O274" s="1">
        <v>0.10172463599999999</v>
      </c>
      <c r="P274" s="1">
        <v>0</v>
      </c>
      <c r="Q274" s="2">
        <f t="shared" si="5"/>
        <v>5</v>
      </c>
      <c r="R274" s="1">
        <f t="shared" si="6"/>
        <v>0.29312423000000082</v>
      </c>
      <c r="S274" s="1">
        <f t="shared" si="7"/>
        <v>0.44024507199999902</v>
      </c>
      <c r="T274" s="1">
        <f t="shared" si="8"/>
        <v>0.21141222800000037</v>
      </c>
      <c r="U274" s="1">
        <f t="shared" si="9"/>
        <v>97</v>
      </c>
    </row>
    <row r="275" spans="1:21">
      <c r="A275" s="1" t="s">
        <v>172</v>
      </c>
      <c r="B275" s="1">
        <v>2020</v>
      </c>
      <c r="C275" s="1">
        <v>628.06201169999997</v>
      </c>
      <c r="D275" s="1">
        <v>67.488006589999998</v>
      </c>
      <c r="E275" s="1">
        <v>98.856916519999999</v>
      </c>
      <c r="F275" s="1">
        <v>0.54547882039999995</v>
      </c>
      <c r="G275" s="1">
        <v>0.59231201099999997</v>
      </c>
      <c r="H275" s="1">
        <v>5.2926508940000002E-3</v>
      </c>
      <c r="I275" s="1">
        <v>98.161887539999995</v>
      </c>
      <c r="J275" s="1">
        <v>0</v>
      </c>
      <c r="K275" s="1">
        <v>1.821833386</v>
      </c>
      <c r="L275" s="1">
        <v>1.6279069770000001E-2</v>
      </c>
      <c r="M275" s="1">
        <v>99.191739589999997</v>
      </c>
      <c r="N275" s="1">
        <v>0.80826041280000005</v>
      </c>
      <c r="O275" s="1">
        <v>0</v>
      </c>
      <c r="P275" s="1">
        <v>0</v>
      </c>
      <c r="Q275" s="2" t="str">
        <f t="shared" si="5"/>
        <v/>
      </c>
      <c r="R275" s="1" t="str">
        <f t="shared" si="6"/>
        <v/>
      </c>
      <c r="S275" s="1" t="str">
        <f t="shared" si="7"/>
        <v/>
      </c>
      <c r="T275" s="1" t="str">
        <f t="shared" si="8"/>
        <v/>
      </c>
      <c r="U275" s="1">
        <f t="shared" si="9"/>
        <v>99</v>
      </c>
    </row>
    <row r="276" spans="1:21">
      <c r="A276" s="1" t="s">
        <v>173</v>
      </c>
      <c r="B276" s="1">
        <v>2015</v>
      </c>
      <c r="C276" s="1">
        <v>4.9660000799999997</v>
      </c>
      <c r="D276" s="1">
        <v>9.0410003660000005</v>
      </c>
      <c r="E276" s="1">
        <v>98.070820560000001</v>
      </c>
      <c r="F276" s="1">
        <v>0</v>
      </c>
      <c r="G276" s="1">
        <v>1.9291794390000001</v>
      </c>
      <c r="H276" s="1">
        <v>0</v>
      </c>
      <c r="I276" s="1" t="s">
        <v>272</v>
      </c>
      <c r="J276" s="1" t="s">
        <v>272</v>
      </c>
      <c r="K276" s="1" t="s">
        <v>272</v>
      </c>
      <c r="L276" s="1" t="s">
        <v>272</v>
      </c>
      <c r="M276" s="1" t="s">
        <v>272</v>
      </c>
      <c r="N276" s="1" t="s">
        <v>272</v>
      </c>
      <c r="O276" s="1" t="s">
        <v>272</v>
      </c>
      <c r="P276" s="1" t="s">
        <v>272</v>
      </c>
      <c r="Q276" s="2">
        <f t="shared" si="5"/>
        <v>5</v>
      </c>
      <c r="R276" s="1">
        <f t="shared" si="6"/>
        <v>1.3324119999992945E-3</v>
      </c>
      <c r="S276" s="1" t="str">
        <f t="shared" si="7"/>
        <v>null</v>
      </c>
      <c r="T276" s="1" t="str">
        <f t="shared" si="8"/>
        <v>null</v>
      </c>
      <c r="U276" s="1">
        <f t="shared" si="9"/>
        <v>98</v>
      </c>
    </row>
    <row r="277" spans="1:21">
      <c r="A277" s="1" t="s">
        <v>173</v>
      </c>
      <c r="B277" s="1">
        <v>2020</v>
      </c>
      <c r="C277" s="1">
        <v>4.9990000720000003</v>
      </c>
      <c r="D277" s="1">
        <v>9.1149997710000008</v>
      </c>
      <c r="E277" s="1">
        <v>98.077482619999998</v>
      </c>
      <c r="F277" s="1">
        <v>0</v>
      </c>
      <c r="G277" s="1">
        <v>1.922517378</v>
      </c>
      <c r="H277" s="1">
        <v>0</v>
      </c>
      <c r="I277" s="1" t="s">
        <v>272</v>
      </c>
      <c r="J277" s="1" t="s">
        <v>272</v>
      </c>
      <c r="K277" s="1" t="s">
        <v>272</v>
      </c>
      <c r="L277" s="1" t="s">
        <v>272</v>
      </c>
      <c r="M277" s="1" t="s">
        <v>272</v>
      </c>
      <c r="N277" s="1" t="s">
        <v>272</v>
      </c>
      <c r="O277" s="1" t="s">
        <v>272</v>
      </c>
      <c r="P277" s="1" t="s">
        <v>272</v>
      </c>
      <c r="Q277" s="2" t="str">
        <f t="shared" si="5"/>
        <v/>
      </c>
      <c r="R277" s="1" t="str">
        <f t="shared" si="6"/>
        <v/>
      </c>
      <c r="S277" s="1" t="str">
        <f t="shared" si="7"/>
        <v/>
      </c>
      <c r="T277" s="1" t="str">
        <f t="shared" si="8"/>
        <v/>
      </c>
      <c r="U277" s="1">
        <f t="shared" si="9"/>
        <v>98</v>
      </c>
    </row>
    <row r="278" spans="1:21">
      <c r="A278" s="1" t="s">
        <v>174</v>
      </c>
      <c r="B278" s="1">
        <v>2015</v>
      </c>
      <c r="C278" s="1">
        <v>34663.609380000002</v>
      </c>
      <c r="D278" s="1">
        <v>60.808998109999997</v>
      </c>
      <c r="E278" s="1">
        <v>83.75113288</v>
      </c>
      <c r="F278" s="1">
        <v>5.9371884149999996</v>
      </c>
      <c r="G278" s="1">
        <v>8.5178818580000009</v>
      </c>
      <c r="H278" s="1">
        <v>1.793796851</v>
      </c>
      <c r="I278" s="1">
        <v>64.172528740000004</v>
      </c>
      <c r="J278" s="1">
        <v>12.25581871</v>
      </c>
      <c r="K278" s="1">
        <v>19.029579640000001</v>
      </c>
      <c r="L278" s="1">
        <v>4.5420729140000002</v>
      </c>
      <c r="M278" s="1">
        <v>96.369415020000005</v>
      </c>
      <c r="N278" s="1">
        <v>1.864872571</v>
      </c>
      <c r="O278" s="1">
        <v>1.743161481</v>
      </c>
      <c r="P278" s="1">
        <v>2.255092798E-2</v>
      </c>
      <c r="Q278" s="2">
        <f t="shared" si="5"/>
        <v>5</v>
      </c>
      <c r="R278" s="1">
        <f t="shared" si="6"/>
        <v>1.3302423599999997</v>
      </c>
      <c r="S278" s="1">
        <f t="shared" si="7"/>
        <v>2.6347200439999994</v>
      </c>
      <c r="T278" s="1">
        <f t="shared" si="8"/>
        <v>0.30546619799999919</v>
      </c>
      <c r="U278" s="1">
        <f t="shared" si="9"/>
        <v>84</v>
      </c>
    </row>
    <row r="279" spans="1:21">
      <c r="A279" s="1" t="s">
        <v>174</v>
      </c>
      <c r="B279" s="1">
        <v>2020</v>
      </c>
      <c r="C279" s="1">
        <v>36910.558590000001</v>
      </c>
      <c r="D279" s="1">
        <v>63.531997680000003</v>
      </c>
      <c r="E279" s="1">
        <v>90.402344679999999</v>
      </c>
      <c r="F279" s="1">
        <v>5.2635496010000002</v>
      </c>
      <c r="G279" s="1">
        <v>2.8776725000000001</v>
      </c>
      <c r="H279" s="1">
        <v>1.456433219</v>
      </c>
      <c r="I279" s="1">
        <v>77.346128960000001</v>
      </c>
      <c r="J279" s="1">
        <v>12.03707816</v>
      </c>
      <c r="K279" s="1">
        <v>6.6230633729999999</v>
      </c>
      <c r="L279" s="1">
        <v>3.9937295019999999</v>
      </c>
      <c r="M279" s="1">
        <v>97.896746010000001</v>
      </c>
      <c r="N279" s="1">
        <v>1.375477117</v>
      </c>
      <c r="O279" s="1">
        <v>0.72777687589999995</v>
      </c>
      <c r="P279" s="1">
        <v>0</v>
      </c>
      <c r="Q279" s="2" t="str">
        <f t="shared" si="5"/>
        <v/>
      </c>
      <c r="R279" s="1" t="str">
        <f t="shared" si="6"/>
        <v/>
      </c>
      <c r="S279" s="1" t="str">
        <f t="shared" si="7"/>
        <v/>
      </c>
      <c r="T279" s="1" t="str">
        <f t="shared" si="8"/>
        <v/>
      </c>
      <c r="U279" s="1">
        <f t="shared" si="9"/>
        <v>90</v>
      </c>
    </row>
    <row r="280" spans="1:21">
      <c r="A280" s="1" t="s">
        <v>175</v>
      </c>
      <c r="B280" s="1">
        <v>2015</v>
      </c>
      <c r="C280" s="1">
        <v>27042.001950000002</v>
      </c>
      <c r="D280" s="1">
        <v>34.400001529999997</v>
      </c>
      <c r="E280" s="1">
        <v>51.176175209999997</v>
      </c>
      <c r="F280" s="1">
        <v>10.3714084</v>
      </c>
      <c r="G280" s="1">
        <v>26.513493149999999</v>
      </c>
      <c r="H280" s="1">
        <v>11.938923239999999</v>
      </c>
      <c r="I280" s="1">
        <v>35.97137876</v>
      </c>
      <c r="J280" s="1">
        <v>12.36707992</v>
      </c>
      <c r="K280" s="1">
        <v>34.814873949999999</v>
      </c>
      <c r="L280" s="1">
        <v>16.846667360000001</v>
      </c>
      <c r="M280" s="1">
        <v>80.171365829999999</v>
      </c>
      <c r="N280" s="1">
        <v>6.5657095710000002</v>
      </c>
      <c r="O280" s="1">
        <v>10.68295442</v>
      </c>
      <c r="P280" s="1">
        <v>2.5799701810000002</v>
      </c>
      <c r="Q280" s="2">
        <f t="shared" si="5"/>
        <v>5</v>
      </c>
      <c r="R280" s="1">
        <f t="shared" si="6"/>
        <v>2.4386500840000012</v>
      </c>
      <c r="S280" s="1">
        <f t="shared" si="7"/>
        <v>2.5790615479999999</v>
      </c>
      <c r="T280" s="1">
        <f t="shared" si="8"/>
        <v>1.5627364180000001</v>
      </c>
      <c r="U280" s="1">
        <f t="shared" si="9"/>
        <v>51</v>
      </c>
    </row>
    <row r="281" spans="1:21">
      <c r="A281" s="1" t="s">
        <v>175</v>
      </c>
      <c r="B281" s="1">
        <v>2020</v>
      </c>
      <c r="C281" s="1">
        <v>31255.435549999998</v>
      </c>
      <c r="D281" s="1">
        <v>37.073997499999997</v>
      </c>
      <c r="E281" s="1">
        <v>63.369425630000002</v>
      </c>
      <c r="F281" s="1">
        <v>9.9757845070000002</v>
      </c>
      <c r="G281" s="1">
        <v>16.726145110000001</v>
      </c>
      <c r="H281" s="1">
        <v>9.9286447590000009</v>
      </c>
      <c r="I281" s="1">
        <v>48.8666865</v>
      </c>
      <c r="J281" s="1">
        <v>12.64088359</v>
      </c>
      <c r="K281" s="1">
        <v>23.686256400000001</v>
      </c>
      <c r="L281" s="1">
        <v>14.80617352</v>
      </c>
      <c r="M281" s="1">
        <v>87.98504792</v>
      </c>
      <c r="N281" s="1">
        <v>5.4522910270000002</v>
      </c>
      <c r="O281" s="1">
        <v>4.9126846439999996</v>
      </c>
      <c r="P281" s="1">
        <v>1.649976404</v>
      </c>
      <c r="Q281" s="2" t="str">
        <f t="shared" si="5"/>
        <v/>
      </c>
      <c r="R281" s="1" t="str">
        <f t="shared" si="6"/>
        <v/>
      </c>
      <c r="S281" s="1" t="str">
        <f t="shared" si="7"/>
        <v/>
      </c>
      <c r="T281" s="1" t="str">
        <f t="shared" si="8"/>
        <v/>
      </c>
      <c r="U281" s="1">
        <f t="shared" si="9"/>
        <v>63</v>
      </c>
    </row>
    <row r="282" spans="1:21">
      <c r="A282" s="1" t="s">
        <v>176</v>
      </c>
      <c r="B282" s="1">
        <v>2015</v>
      </c>
      <c r="C282" s="1">
        <v>52680.722659999999</v>
      </c>
      <c r="D282" s="1">
        <v>29.857999800000002</v>
      </c>
      <c r="E282" s="1">
        <v>73.587470499999995</v>
      </c>
      <c r="F282" s="1">
        <v>6.8355322689999998</v>
      </c>
      <c r="G282" s="1">
        <v>8.269037119</v>
      </c>
      <c r="H282" s="1">
        <v>11.30796011</v>
      </c>
      <c r="I282" s="1">
        <v>67.249613539999999</v>
      </c>
      <c r="J282" s="1">
        <v>8.0422803540000007</v>
      </c>
      <c r="K282" s="1">
        <v>10.1459869</v>
      </c>
      <c r="L282" s="1">
        <v>14.562119210000001</v>
      </c>
      <c r="M282" s="1">
        <v>88.476276290000001</v>
      </c>
      <c r="N282" s="1">
        <v>4.0006563789999996</v>
      </c>
      <c r="O282" s="1">
        <v>3.859732696</v>
      </c>
      <c r="P282" s="1">
        <v>3.6633346320000002</v>
      </c>
      <c r="Q282" s="2">
        <f t="shared" si="5"/>
        <v>5</v>
      </c>
      <c r="R282" s="1">
        <f t="shared" si="6"/>
        <v>2.0261442820000015</v>
      </c>
      <c r="S282" s="1">
        <f t="shared" si="7"/>
        <v>2.2345902300000007</v>
      </c>
      <c r="T282" s="1">
        <f t="shared" si="8"/>
        <v>1.3903219540000009</v>
      </c>
      <c r="U282" s="1">
        <f t="shared" si="9"/>
        <v>74</v>
      </c>
    </row>
    <row r="283" spans="1:21">
      <c r="A283" s="1" t="s">
        <v>176</v>
      </c>
      <c r="B283" s="1">
        <v>2020</v>
      </c>
      <c r="C283" s="1">
        <v>54409.792970000002</v>
      </c>
      <c r="D283" s="1">
        <v>31.14100075</v>
      </c>
      <c r="E283" s="1">
        <v>83.718191910000002</v>
      </c>
      <c r="F283" s="1">
        <v>1.595436949</v>
      </c>
      <c r="G283" s="1">
        <v>5.1094247800000003</v>
      </c>
      <c r="H283" s="1">
        <v>9.5769463619999993</v>
      </c>
      <c r="I283" s="1">
        <v>78.422564690000002</v>
      </c>
      <c r="J283" s="1">
        <v>2.3169621419999999</v>
      </c>
      <c r="K283" s="1">
        <v>6.5923936940000001</v>
      </c>
      <c r="L283" s="1">
        <v>12.66807947</v>
      </c>
      <c r="M283" s="1">
        <v>95.427886060000006</v>
      </c>
      <c r="N283" s="1">
        <v>0</v>
      </c>
      <c r="O283" s="1">
        <v>1.8302830059999999</v>
      </c>
      <c r="P283" s="1">
        <v>2.741830931</v>
      </c>
      <c r="Q283" s="2" t="str">
        <f t="shared" si="5"/>
        <v/>
      </c>
      <c r="R283" s="1" t="str">
        <f t="shared" si="6"/>
        <v/>
      </c>
      <c r="S283" s="1" t="str">
        <f t="shared" si="7"/>
        <v/>
      </c>
      <c r="T283" s="1" t="str">
        <f t="shared" si="8"/>
        <v/>
      </c>
      <c r="U283" s="1">
        <f t="shared" si="9"/>
        <v>84</v>
      </c>
    </row>
    <row r="284" spans="1:21">
      <c r="A284" s="1" t="s">
        <v>177</v>
      </c>
      <c r="B284" s="1">
        <v>2015</v>
      </c>
      <c r="C284" s="1">
        <v>2314.9008789999998</v>
      </c>
      <c r="D284" s="1">
        <v>46.90000534</v>
      </c>
      <c r="E284" s="1">
        <v>82.524135150000006</v>
      </c>
      <c r="F284" s="1">
        <v>7.2754761539999997</v>
      </c>
      <c r="G284" s="1">
        <v>4.4164614110000002</v>
      </c>
      <c r="H284" s="1">
        <v>5.7839272810000004</v>
      </c>
      <c r="I284" s="1">
        <v>70.141031380000001</v>
      </c>
      <c r="J284" s="1">
        <v>11.72007222</v>
      </c>
      <c r="K284" s="1">
        <v>7.6143896370000004</v>
      </c>
      <c r="L284" s="1">
        <v>10.52450676</v>
      </c>
      <c r="M284" s="1">
        <v>96.544235619999995</v>
      </c>
      <c r="N284" s="1">
        <v>2.2433222979999998</v>
      </c>
      <c r="O284" s="1">
        <v>0.79577988889999995</v>
      </c>
      <c r="P284" s="1">
        <v>0.41666219110000002</v>
      </c>
      <c r="Q284" s="2">
        <f t="shared" si="5"/>
        <v>5</v>
      </c>
      <c r="R284" s="1">
        <f t="shared" si="6"/>
        <v>0.34918022599999859</v>
      </c>
      <c r="S284" s="1">
        <f t="shared" si="7"/>
        <v>0.22302721000000075</v>
      </c>
      <c r="T284" s="1">
        <f t="shared" si="8"/>
        <v>-5.5454053999997657E-2</v>
      </c>
      <c r="U284" s="1">
        <f t="shared" si="9"/>
        <v>83</v>
      </c>
    </row>
    <row r="285" spans="1:21">
      <c r="A285" s="1" t="s">
        <v>177</v>
      </c>
      <c r="B285" s="1">
        <v>2020</v>
      </c>
      <c r="C285" s="1">
        <v>2540.9160160000001</v>
      </c>
      <c r="D285" s="1">
        <v>52.033000950000002</v>
      </c>
      <c r="E285" s="1">
        <v>84.270036279999999</v>
      </c>
      <c r="F285" s="1">
        <v>7.0876275099999999</v>
      </c>
      <c r="G285" s="1">
        <v>3.740143722</v>
      </c>
      <c r="H285" s="1">
        <v>4.9021924849999996</v>
      </c>
      <c r="I285" s="1">
        <v>71.256167430000005</v>
      </c>
      <c r="J285" s="1">
        <v>11.97218925</v>
      </c>
      <c r="K285" s="1">
        <v>7.0818037589999996</v>
      </c>
      <c r="L285" s="1">
        <v>9.6898395629999996</v>
      </c>
      <c r="M285" s="1">
        <v>96.266965350000007</v>
      </c>
      <c r="N285" s="1">
        <v>2.5847589649999998</v>
      </c>
      <c r="O285" s="1">
        <v>0.65961026379999999</v>
      </c>
      <c r="P285" s="1">
        <v>0.4886654211</v>
      </c>
      <c r="Q285" s="2" t="str">
        <f t="shared" si="5"/>
        <v/>
      </c>
      <c r="R285" s="1" t="str">
        <f t="shared" si="6"/>
        <v/>
      </c>
      <c r="S285" s="1" t="str">
        <f t="shared" si="7"/>
        <v/>
      </c>
      <c r="T285" s="1" t="str">
        <f t="shared" si="8"/>
        <v/>
      </c>
      <c r="U285" s="1">
        <f t="shared" si="9"/>
        <v>84</v>
      </c>
    </row>
    <row r="286" spans="1:21">
      <c r="A286" s="1" t="s">
        <v>178</v>
      </c>
      <c r="B286" s="1">
        <v>2015</v>
      </c>
      <c r="C286" s="1">
        <v>10.373999599999999</v>
      </c>
      <c r="D286" s="1">
        <v>100</v>
      </c>
      <c r="E286" s="1">
        <v>100</v>
      </c>
      <c r="F286" s="1">
        <v>0</v>
      </c>
      <c r="G286" s="1">
        <v>0</v>
      </c>
      <c r="H286" s="1">
        <v>0</v>
      </c>
      <c r="I286" s="1" t="s">
        <v>272</v>
      </c>
      <c r="J286" s="1" t="s">
        <v>272</v>
      </c>
      <c r="K286" s="1" t="s">
        <v>272</v>
      </c>
      <c r="L286" s="1" t="s">
        <v>272</v>
      </c>
      <c r="M286" s="1">
        <v>100</v>
      </c>
      <c r="N286" s="1">
        <v>0</v>
      </c>
      <c r="O286" s="1">
        <v>0</v>
      </c>
      <c r="P286" s="1">
        <v>0</v>
      </c>
      <c r="Q286" s="2">
        <f t="shared" si="5"/>
        <v>5</v>
      </c>
      <c r="R286" s="1">
        <f t="shared" si="6"/>
        <v>0</v>
      </c>
      <c r="S286" s="1" t="str">
        <f t="shared" si="7"/>
        <v>null</v>
      </c>
      <c r="T286" s="1">
        <f t="shared" si="8"/>
        <v>0</v>
      </c>
      <c r="U286" s="1">
        <f t="shared" si="9"/>
        <v>100</v>
      </c>
    </row>
    <row r="287" spans="1:21">
      <c r="A287" s="1" t="s">
        <v>178</v>
      </c>
      <c r="B287" s="1">
        <v>2020</v>
      </c>
      <c r="C287" s="1">
        <v>10.833999629999999</v>
      </c>
      <c r="D287" s="1">
        <v>100</v>
      </c>
      <c r="E287" s="1">
        <v>100</v>
      </c>
      <c r="F287" s="1">
        <v>0</v>
      </c>
      <c r="G287" s="1">
        <v>0</v>
      </c>
      <c r="H287" s="1">
        <v>0</v>
      </c>
      <c r="I287" s="1" t="s">
        <v>272</v>
      </c>
      <c r="J287" s="1" t="s">
        <v>272</v>
      </c>
      <c r="K287" s="1" t="s">
        <v>272</v>
      </c>
      <c r="L287" s="1" t="s">
        <v>272</v>
      </c>
      <c r="M287" s="1">
        <v>100</v>
      </c>
      <c r="N287" s="1">
        <v>0</v>
      </c>
      <c r="O287" s="1">
        <v>0</v>
      </c>
      <c r="P287" s="1">
        <v>0</v>
      </c>
      <c r="Q287" s="2" t="str">
        <f t="shared" si="5"/>
        <v/>
      </c>
      <c r="R287" s="1" t="str">
        <f t="shared" si="6"/>
        <v/>
      </c>
      <c r="S287" s="1" t="str">
        <f t="shared" si="7"/>
        <v/>
      </c>
      <c r="T287" s="1" t="str">
        <f t="shared" si="8"/>
        <v/>
      </c>
      <c r="U287" s="1">
        <f t="shared" si="9"/>
        <v>100</v>
      </c>
    </row>
    <row r="288" spans="1:21">
      <c r="A288" s="1" t="s">
        <v>179</v>
      </c>
      <c r="B288" s="1">
        <v>2015</v>
      </c>
      <c r="C288" s="1">
        <v>27015.033200000002</v>
      </c>
      <c r="D288" s="1">
        <v>18.556999210000001</v>
      </c>
      <c r="E288" s="1">
        <v>87.808467590000006</v>
      </c>
      <c r="F288" s="1">
        <v>3.1679044589999998</v>
      </c>
      <c r="G288" s="1">
        <v>7.2642085280000002</v>
      </c>
      <c r="H288" s="1">
        <v>1.759419423</v>
      </c>
      <c r="I288" s="1">
        <v>87.241979639999997</v>
      </c>
      <c r="J288" s="1">
        <v>3.3102712580000002</v>
      </c>
      <c r="K288" s="1">
        <v>7.5313174839999997</v>
      </c>
      <c r="L288" s="1">
        <v>1.9164316180000001</v>
      </c>
      <c r="M288" s="1">
        <v>90.294671100000002</v>
      </c>
      <c r="N288" s="1">
        <v>2.5430847519999999</v>
      </c>
      <c r="O288" s="1">
        <v>6.091920182</v>
      </c>
      <c r="P288" s="1">
        <v>1.07032397</v>
      </c>
      <c r="Q288" s="2">
        <f t="shared" si="5"/>
        <v>5</v>
      </c>
      <c r="R288" s="1">
        <f t="shared" si="6"/>
        <v>0.45321483999999829</v>
      </c>
      <c r="S288" s="1">
        <f t="shared" si="7"/>
        <v>0.59225840200000168</v>
      </c>
      <c r="T288" s="1">
        <f t="shared" si="8"/>
        <v>-0.14340758799999948</v>
      </c>
      <c r="U288" s="1">
        <f t="shared" si="9"/>
        <v>88</v>
      </c>
    </row>
    <row r="289" spans="1:21">
      <c r="A289" s="1" t="s">
        <v>179</v>
      </c>
      <c r="B289" s="1">
        <v>2020</v>
      </c>
      <c r="C289" s="1">
        <v>29136.808590000001</v>
      </c>
      <c r="D289" s="1">
        <v>20.57600021</v>
      </c>
      <c r="E289" s="1">
        <v>90.074541789999998</v>
      </c>
      <c r="F289" s="1">
        <v>3.979825725</v>
      </c>
      <c r="G289" s="1">
        <v>4.699081176</v>
      </c>
      <c r="H289" s="1">
        <v>1.246551314</v>
      </c>
      <c r="I289" s="1">
        <v>90.203271650000005</v>
      </c>
      <c r="J289" s="1">
        <v>4.2073482459999996</v>
      </c>
      <c r="K289" s="1">
        <v>4.2690239510000003</v>
      </c>
      <c r="L289" s="1">
        <v>1.320356149</v>
      </c>
      <c r="M289" s="1">
        <v>89.577633160000005</v>
      </c>
      <c r="N289" s="1">
        <v>3.1015814110000002</v>
      </c>
      <c r="O289" s="1">
        <v>6.359123168</v>
      </c>
      <c r="P289" s="1">
        <v>0.96166225849999998</v>
      </c>
      <c r="Q289" s="2" t="str">
        <f t="shared" si="5"/>
        <v/>
      </c>
      <c r="R289" s="1" t="str">
        <f t="shared" si="6"/>
        <v/>
      </c>
      <c r="S289" s="1" t="str">
        <f t="shared" si="7"/>
        <v/>
      </c>
      <c r="T289" s="1" t="str">
        <f t="shared" si="8"/>
        <v/>
      </c>
      <c r="U289" s="1">
        <f t="shared" si="9"/>
        <v>90</v>
      </c>
    </row>
    <row r="290" spans="1:21">
      <c r="A290" s="1" t="s">
        <v>180</v>
      </c>
      <c r="B290" s="1">
        <v>2015</v>
      </c>
      <c r="C290" s="1">
        <v>16938.492190000001</v>
      </c>
      <c r="D290" s="1">
        <v>90.172996519999998</v>
      </c>
      <c r="E290" s="1">
        <v>99.999998559999995</v>
      </c>
      <c r="F290" s="1">
        <v>0</v>
      </c>
      <c r="G290" s="1">
        <v>1.441336238E-6</v>
      </c>
      <c r="H290" s="1">
        <v>0</v>
      </c>
      <c r="I290" s="1">
        <v>100</v>
      </c>
      <c r="J290" s="1">
        <v>0</v>
      </c>
      <c r="K290" s="1">
        <v>0</v>
      </c>
      <c r="L290" s="1">
        <v>0</v>
      </c>
      <c r="M290" s="1">
        <v>100</v>
      </c>
      <c r="N290" s="1">
        <v>0</v>
      </c>
      <c r="O290" s="1">
        <v>0</v>
      </c>
      <c r="P290" s="1">
        <v>0</v>
      </c>
      <c r="Q290" s="2">
        <f t="shared" si="5"/>
        <v>5</v>
      </c>
      <c r="R290" s="1">
        <f t="shared" si="6"/>
        <v>1.4600000213249588E-7</v>
      </c>
      <c r="S290" s="1">
        <f t="shared" si="7"/>
        <v>0</v>
      </c>
      <c r="T290" s="1">
        <f t="shared" si="8"/>
        <v>0</v>
      </c>
      <c r="U290" s="1">
        <f t="shared" si="9"/>
        <v>100</v>
      </c>
    </row>
    <row r="291" spans="1:21">
      <c r="A291" s="1" t="s">
        <v>180</v>
      </c>
      <c r="B291" s="1">
        <v>2020</v>
      </c>
      <c r="C291" s="1">
        <v>17134.873049999998</v>
      </c>
      <c r="D291" s="1">
        <v>92.236000059999995</v>
      </c>
      <c r="E291" s="1">
        <v>99.999999290000005</v>
      </c>
      <c r="F291" s="1">
        <v>0</v>
      </c>
      <c r="G291" s="1">
        <v>7.1240862099999999E-7</v>
      </c>
      <c r="H291" s="1">
        <v>0</v>
      </c>
      <c r="I291" s="1">
        <v>100</v>
      </c>
      <c r="J291" s="1">
        <v>0</v>
      </c>
      <c r="K291" s="1">
        <v>0</v>
      </c>
      <c r="L291" s="1">
        <v>0</v>
      </c>
      <c r="M291" s="1">
        <v>100</v>
      </c>
      <c r="N291" s="1">
        <v>0</v>
      </c>
      <c r="O291" s="1">
        <v>0</v>
      </c>
      <c r="P291" s="1">
        <v>0</v>
      </c>
      <c r="Q291" s="2" t="str">
        <f t="shared" si="5"/>
        <v/>
      </c>
      <c r="R291" s="1" t="str">
        <f t="shared" si="6"/>
        <v/>
      </c>
      <c r="S291" s="1" t="str">
        <f t="shared" si="7"/>
        <v/>
      </c>
      <c r="T291" s="1" t="str">
        <f t="shared" si="8"/>
        <v/>
      </c>
      <c r="U291" s="1">
        <f t="shared" si="9"/>
        <v>100</v>
      </c>
    </row>
    <row r="292" spans="1:21">
      <c r="A292" s="1" t="s">
        <v>181</v>
      </c>
      <c r="B292" s="1">
        <v>2015</v>
      </c>
      <c r="C292" s="1">
        <v>271.06201170000003</v>
      </c>
      <c r="D292" s="1">
        <v>69.379005430000007</v>
      </c>
      <c r="E292" s="1">
        <v>98.138558489999994</v>
      </c>
      <c r="F292" s="1">
        <v>0</v>
      </c>
      <c r="G292" s="1">
        <v>1.861441508</v>
      </c>
      <c r="H292" s="1">
        <v>0</v>
      </c>
      <c r="I292" s="1" t="s">
        <v>272</v>
      </c>
      <c r="J292" s="1" t="s">
        <v>272</v>
      </c>
      <c r="K292" s="1" t="s">
        <v>272</v>
      </c>
      <c r="L292" s="1" t="s">
        <v>272</v>
      </c>
      <c r="M292" s="1" t="s">
        <v>272</v>
      </c>
      <c r="N292" s="1" t="s">
        <v>272</v>
      </c>
      <c r="O292" s="1" t="s">
        <v>272</v>
      </c>
      <c r="P292" s="1" t="s">
        <v>272</v>
      </c>
      <c r="Q292" s="2">
        <f t="shared" si="5"/>
        <v>5</v>
      </c>
      <c r="R292" s="1">
        <f t="shared" si="6"/>
        <v>0.23335241600000245</v>
      </c>
      <c r="S292" s="1" t="str">
        <f t="shared" si="7"/>
        <v>null</v>
      </c>
      <c r="T292" s="1" t="str">
        <f t="shared" si="8"/>
        <v>null</v>
      </c>
      <c r="U292" s="1">
        <f t="shared" si="9"/>
        <v>98</v>
      </c>
    </row>
    <row r="293" spans="1:21">
      <c r="A293" s="1" t="s">
        <v>181</v>
      </c>
      <c r="B293" s="1">
        <v>2020</v>
      </c>
      <c r="C293" s="1">
        <v>285.4909973</v>
      </c>
      <c r="D293" s="1">
        <v>71.517997739999998</v>
      </c>
      <c r="E293" s="1">
        <v>99.305320570000006</v>
      </c>
      <c r="F293" s="1">
        <v>0</v>
      </c>
      <c r="G293" s="1">
        <v>0.69467942780000003</v>
      </c>
      <c r="H293" s="1">
        <v>0</v>
      </c>
      <c r="I293" s="1" t="s">
        <v>272</v>
      </c>
      <c r="J293" s="1" t="s">
        <v>272</v>
      </c>
      <c r="K293" s="1" t="s">
        <v>272</v>
      </c>
      <c r="L293" s="1" t="s">
        <v>272</v>
      </c>
      <c r="M293" s="1" t="s">
        <v>272</v>
      </c>
      <c r="N293" s="1" t="s">
        <v>272</v>
      </c>
      <c r="O293" s="1" t="s">
        <v>272</v>
      </c>
      <c r="P293" s="1" t="s">
        <v>272</v>
      </c>
      <c r="Q293" s="2" t="str">
        <f t="shared" si="5"/>
        <v/>
      </c>
      <c r="R293" s="1" t="str">
        <f t="shared" si="6"/>
        <v/>
      </c>
      <c r="S293" s="1" t="str">
        <f t="shared" si="7"/>
        <v/>
      </c>
      <c r="T293" s="1" t="str">
        <f t="shared" si="8"/>
        <v/>
      </c>
      <c r="U293" s="1">
        <f t="shared" si="9"/>
        <v>99</v>
      </c>
    </row>
    <row r="294" spans="1:21">
      <c r="A294" s="1" t="s">
        <v>182</v>
      </c>
      <c r="B294" s="1">
        <v>2015</v>
      </c>
      <c r="C294" s="1">
        <v>4614.5268550000001</v>
      </c>
      <c r="D294" s="1">
        <v>86.340995789999994</v>
      </c>
      <c r="E294" s="1">
        <v>99.999997350000001</v>
      </c>
      <c r="F294" s="1">
        <v>0</v>
      </c>
      <c r="G294" s="1">
        <v>2.6453484029999998E-6</v>
      </c>
      <c r="H294" s="1">
        <v>0</v>
      </c>
      <c r="I294" s="1">
        <v>100</v>
      </c>
      <c r="J294" s="1">
        <v>0</v>
      </c>
      <c r="K294" s="1">
        <v>0</v>
      </c>
      <c r="L294" s="1">
        <v>0</v>
      </c>
      <c r="M294" s="1">
        <v>100</v>
      </c>
      <c r="N294" s="1">
        <v>0</v>
      </c>
      <c r="O294" s="1">
        <v>0</v>
      </c>
      <c r="P294" s="1">
        <v>0</v>
      </c>
      <c r="Q294" s="2">
        <f t="shared" si="5"/>
        <v>5</v>
      </c>
      <c r="R294" s="1">
        <f t="shared" si="6"/>
        <v>7.8999999857387589E-7</v>
      </c>
      <c r="S294" s="1">
        <f t="shared" si="7"/>
        <v>0</v>
      </c>
      <c r="T294" s="1">
        <f t="shared" si="8"/>
        <v>0</v>
      </c>
      <c r="U294" s="1">
        <f t="shared" si="9"/>
        <v>100</v>
      </c>
    </row>
    <row r="295" spans="1:21">
      <c r="A295" s="1" t="s">
        <v>182</v>
      </c>
      <c r="B295" s="1">
        <v>2020</v>
      </c>
      <c r="C295" s="1">
        <v>4822.2329099999997</v>
      </c>
      <c r="D295" s="1">
        <v>86.698997500000004</v>
      </c>
      <c r="E295" s="1">
        <v>100.00000129999999</v>
      </c>
      <c r="F295" s="1">
        <v>0</v>
      </c>
      <c r="G295" s="1">
        <v>0</v>
      </c>
      <c r="H295" s="1">
        <v>0</v>
      </c>
      <c r="I295" s="1">
        <v>100</v>
      </c>
      <c r="J295" s="1">
        <v>0</v>
      </c>
      <c r="K295" s="1">
        <v>0</v>
      </c>
      <c r="L295" s="1">
        <v>0</v>
      </c>
      <c r="M295" s="1">
        <v>100</v>
      </c>
      <c r="N295" s="1">
        <v>0</v>
      </c>
      <c r="O295" s="1">
        <v>0</v>
      </c>
      <c r="P295" s="1">
        <v>0</v>
      </c>
      <c r="Q295" s="2" t="str">
        <f t="shared" si="5"/>
        <v/>
      </c>
      <c r="R295" s="1" t="str">
        <f t="shared" si="6"/>
        <v/>
      </c>
      <c r="S295" s="1" t="str">
        <f t="shared" si="7"/>
        <v/>
      </c>
      <c r="T295" s="1" t="str">
        <f t="shared" si="8"/>
        <v/>
      </c>
      <c r="U295" s="1">
        <f t="shared" si="9"/>
        <v>100</v>
      </c>
    </row>
    <row r="296" spans="1:21">
      <c r="A296" s="1" t="s">
        <v>183</v>
      </c>
      <c r="B296" s="1">
        <v>2015</v>
      </c>
      <c r="C296" s="1">
        <v>6223.2338870000003</v>
      </c>
      <c r="D296" s="1">
        <v>57.894996640000002</v>
      </c>
      <c r="E296" s="1">
        <v>81.35312854</v>
      </c>
      <c r="F296" s="1">
        <v>1.4259273880000001</v>
      </c>
      <c r="G296" s="1">
        <v>13.835758999999999</v>
      </c>
      <c r="H296" s="1">
        <v>3.3851850699999999</v>
      </c>
      <c r="I296" s="1">
        <v>59.50465784</v>
      </c>
      <c r="J296" s="1">
        <v>3.2389618649999998</v>
      </c>
      <c r="K296" s="1">
        <v>29.55960602</v>
      </c>
      <c r="L296" s="1">
        <v>7.6967742709999998</v>
      </c>
      <c r="M296" s="1">
        <v>97.242754880000007</v>
      </c>
      <c r="N296" s="1">
        <v>0.1073710103</v>
      </c>
      <c r="O296" s="1">
        <v>2.4003566219999999</v>
      </c>
      <c r="P296" s="1">
        <v>0.24951748460000001</v>
      </c>
      <c r="Q296" s="2">
        <f t="shared" si="5"/>
        <v>5</v>
      </c>
      <c r="R296" s="1">
        <f t="shared" si="6"/>
        <v>7.11250519999993E-2</v>
      </c>
      <c r="S296" s="1">
        <f t="shared" si="7"/>
        <v>-7.9442242000000357E-2</v>
      </c>
      <c r="T296" s="1">
        <f t="shared" si="8"/>
        <v>3.2840345999997564E-2</v>
      </c>
      <c r="U296" s="1">
        <f t="shared" si="9"/>
        <v>81</v>
      </c>
    </row>
    <row r="297" spans="1:21">
      <c r="A297" s="1" t="s">
        <v>183</v>
      </c>
      <c r="B297" s="1">
        <v>2020</v>
      </c>
      <c r="C297" s="1">
        <v>6624.5541990000002</v>
      </c>
      <c r="D297" s="1">
        <v>59.012001040000001</v>
      </c>
      <c r="E297" s="1">
        <v>81.708753799999997</v>
      </c>
      <c r="F297" s="1">
        <v>1.506645682</v>
      </c>
      <c r="G297" s="1">
        <v>13.530531140000001</v>
      </c>
      <c r="H297" s="1">
        <v>3.2540693780000001</v>
      </c>
      <c r="I297" s="1">
        <v>59.107446629999998</v>
      </c>
      <c r="J297" s="1">
        <v>3.5209742849999999</v>
      </c>
      <c r="K297" s="1">
        <v>29.780173680000001</v>
      </c>
      <c r="L297" s="1">
        <v>7.5914054000000002</v>
      </c>
      <c r="M297" s="1">
        <v>97.406956609999995</v>
      </c>
      <c r="N297" s="1">
        <v>0.10755231429999999</v>
      </c>
      <c r="O297" s="1">
        <v>2.244007656</v>
      </c>
      <c r="P297" s="1">
        <v>0.24148342289999999</v>
      </c>
      <c r="Q297" s="2" t="str">
        <f t="shared" si="5"/>
        <v/>
      </c>
      <c r="R297" s="1" t="str">
        <f t="shared" si="6"/>
        <v/>
      </c>
      <c r="S297" s="1" t="str">
        <f t="shared" si="7"/>
        <v/>
      </c>
      <c r="T297" s="1" t="str">
        <f t="shared" si="8"/>
        <v/>
      </c>
      <c r="U297" s="1">
        <f t="shared" si="9"/>
        <v>82</v>
      </c>
    </row>
    <row r="298" spans="1:21">
      <c r="A298" s="1" t="s">
        <v>184</v>
      </c>
      <c r="B298" s="1">
        <v>2015</v>
      </c>
      <c r="C298" s="1">
        <v>20001.662110000001</v>
      </c>
      <c r="D298" s="1">
        <v>16.24699974</v>
      </c>
      <c r="E298" s="1">
        <v>45.482458059999999</v>
      </c>
      <c r="F298" s="1">
        <v>16.128836960000001</v>
      </c>
      <c r="G298" s="1">
        <v>34.719560010000002</v>
      </c>
      <c r="H298" s="1">
        <v>3.6691449719999998</v>
      </c>
      <c r="I298" s="1">
        <v>37.329941650000002</v>
      </c>
      <c r="J298" s="1">
        <v>17.64359486</v>
      </c>
      <c r="K298" s="1">
        <v>40.888487750000003</v>
      </c>
      <c r="L298" s="1">
        <v>4.1379757509999999</v>
      </c>
      <c r="M298" s="1">
        <v>87.508539040000002</v>
      </c>
      <c r="N298" s="1">
        <v>8.3202861959999996</v>
      </c>
      <c r="O298" s="1">
        <v>2.918844344</v>
      </c>
      <c r="P298" s="1">
        <v>1.252330425</v>
      </c>
      <c r="Q298" s="2">
        <f t="shared" si="5"/>
        <v>5</v>
      </c>
      <c r="R298" s="1">
        <f t="shared" si="6"/>
        <v>0.28586788200000085</v>
      </c>
      <c r="S298" s="1">
        <f t="shared" si="7"/>
        <v>0.36484353399999919</v>
      </c>
      <c r="T298" s="1">
        <f t="shared" si="8"/>
        <v>-0.33893985600000176</v>
      </c>
      <c r="U298" s="1">
        <f t="shared" si="9"/>
        <v>45</v>
      </c>
    </row>
    <row r="299" spans="1:21">
      <c r="A299" s="1" t="s">
        <v>184</v>
      </c>
      <c r="B299" s="1">
        <v>2020</v>
      </c>
      <c r="C299" s="1">
        <v>24206.636719999999</v>
      </c>
      <c r="D299" s="1">
        <v>16.625999449999998</v>
      </c>
      <c r="E299" s="1">
        <v>46.911797470000003</v>
      </c>
      <c r="F299" s="1">
        <v>21.653898699999999</v>
      </c>
      <c r="G299" s="1">
        <v>27.027512439999999</v>
      </c>
      <c r="H299" s="1">
        <v>4.4067913919999997</v>
      </c>
      <c r="I299" s="1">
        <v>39.154159319999998</v>
      </c>
      <c r="J299" s="1">
        <v>23.987740389999999</v>
      </c>
      <c r="K299" s="1">
        <v>31.991506480000002</v>
      </c>
      <c r="L299" s="1">
        <v>4.8665938129999997</v>
      </c>
      <c r="M299" s="1">
        <v>85.813839759999993</v>
      </c>
      <c r="N299" s="1">
        <v>9.9504408289999997</v>
      </c>
      <c r="O299" s="1">
        <v>2.1346877800000001</v>
      </c>
      <c r="P299" s="1">
        <v>2.1010316339999999</v>
      </c>
      <c r="Q299" s="2" t="str">
        <f t="shared" si="5"/>
        <v/>
      </c>
      <c r="R299" s="1" t="str">
        <f t="shared" si="6"/>
        <v/>
      </c>
      <c r="S299" s="1" t="str">
        <f t="shared" si="7"/>
        <v/>
      </c>
      <c r="T299" s="1" t="str">
        <f t="shared" si="8"/>
        <v/>
      </c>
      <c r="U299" s="1">
        <f t="shared" si="9"/>
        <v>47</v>
      </c>
    </row>
    <row r="300" spans="1:21">
      <c r="A300" s="1" t="s">
        <v>185</v>
      </c>
      <c r="B300" s="1">
        <v>2015</v>
      </c>
      <c r="C300" s="1">
        <v>181137.45310000001</v>
      </c>
      <c r="D300" s="1">
        <v>47.837997440000002</v>
      </c>
      <c r="E300" s="1">
        <v>68.779755460000004</v>
      </c>
      <c r="F300" s="1">
        <v>6.7135509960000004</v>
      </c>
      <c r="G300" s="1">
        <v>14.733762459999999</v>
      </c>
      <c r="H300" s="1">
        <v>9.7729310859999998</v>
      </c>
      <c r="I300" s="1">
        <v>53.492449000000001</v>
      </c>
      <c r="J300" s="1">
        <v>7.1064402710000003</v>
      </c>
      <c r="K300" s="1">
        <v>23.107160100000002</v>
      </c>
      <c r="L300" s="1">
        <v>16.29395062</v>
      </c>
      <c r="M300" s="1">
        <v>85.448858319999999</v>
      </c>
      <c r="N300" s="1">
        <v>6.2851490559999998</v>
      </c>
      <c r="O300" s="1">
        <v>5.6035061180000003</v>
      </c>
      <c r="P300" s="1">
        <v>2.6624865010000001</v>
      </c>
      <c r="Q300" s="2">
        <f t="shared" si="5"/>
        <v>5</v>
      </c>
      <c r="R300" s="1">
        <f t="shared" si="6"/>
        <v>1.7658595840000004</v>
      </c>
      <c r="S300" s="1">
        <f t="shared" si="7"/>
        <v>1.6331522059999997</v>
      </c>
      <c r="T300" s="1">
        <f t="shared" si="8"/>
        <v>1.381769374000001</v>
      </c>
      <c r="U300" s="1">
        <f t="shared" si="9"/>
        <v>69</v>
      </c>
    </row>
    <row r="301" spans="1:21">
      <c r="A301" s="1" t="s">
        <v>185</v>
      </c>
      <c r="B301" s="1">
        <v>2020</v>
      </c>
      <c r="C301" s="1">
        <v>206139.5938</v>
      </c>
      <c r="D301" s="1">
        <v>51.958000179999999</v>
      </c>
      <c r="E301" s="1">
        <v>77.609053380000006</v>
      </c>
      <c r="F301" s="1">
        <v>4.9793993429999999</v>
      </c>
      <c r="G301" s="1">
        <v>11.79691148</v>
      </c>
      <c r="H301" s="1">
        <v>5.6146357939999998</v>
      </c>
      <c r="I301" s="1">
        <v>61.658210029999999</v>
      </c>
      <c r="J301" s="1">
        <v>7.1289245829999999</v>
      </c>
      <c r="K301" s="1">
        <v>20.924875350000001</v>
      </c>
      <c r="L301" s="1">
        <v>10.28799004</v>
      </c>
      <c r="M301" s="1">
        <v>92.357705190000004</v>
      </c>
      <c r="N301" s="1">
        <v>2.9918806500000001</v>
      </c>
      <c r="O301" s="1">
        <v>3.356908786</v>
      </c>
      <c r="P301" s="1">
        <v>1.2935053700000001</v>
      </c>
      <c r="Q301" s="2" t="str">
        <f t="shared" si="5"/>
        <v/>
      </c>
      <c r="R301" s="1" t="str">
        <f t="shared" si="6"/>
        <v/>
      </c>
      <c r="S301" s="1" t="str">
        <f t="shared" si="7"/>
        <v/>
      </c>
      <c r="T301" s="1" t="str">
        <f t="shared" si="8"/>
        <v/>
      </c>
      <c r="U301" s="1">
        <f t="shared" si="9"/>
        <v>78</v>
      </c>
    </row>
    <row r="302" spans="1:21">
      <c r="A302" s="1" t="s">
        <v>186</v>
      </c>
      <c r="B302" s="1">
        <v>2015</v>
      </c>
      <c r="C302" s="1">
        <v>1.6100000139999999</v>
      </c>
      <c r="D302" s="1">
        <v>42.568000789999999</v>
      </c>
      <c r="E302" s="1">
        <v>97.606139409999997</v>
      </c>
      <c r="F302" s="1">
        <v>0</v>
      </c>
      <c r="G302" s="1">
        <v>2.393860594</v>
      </c>
      <c r="H302" s="1">
        <v>0</v>
      </c>
      <c r="I302" s="1" t="s">
        <v>272</v>
      </c>
      <c r="J302" s="1" t="s">
        <v>272</v>
      </c>
      <c r="K302" s="1" t="s">
        <v>272</v>
      </c>
      <c r="L302" s="1" t="s">
        <v>272</v>
      </c>
      <c r="M302" s="1" t="s">
        <v>272</v>
      </c>
      <c r="N302" s="1" t="s">
        <v>272</v>
      </c>
      <c r="O302" s="1" t="s">
        <v>272</v>
      </c>
      <c r="P302" s="1" t="s">
        <v>272</v>
      </c>
      <c r="Q302" s="2">
        <f t="shared" si="5"/>
        <v>5</v>
      </c>
      <c r="R302" s="1">
        <f t="shared" si="6"/>
        <v>-0.1190526460000001</v>
      </c>
      <c r="S302" s="1" t="str">
        <f t="shared" si="7"/>
        <v>null</v>
      </c>
      <c r="T302" s="1" t="str">
        <f t="shared" si="8"/>
        <v>null</v>
      </c>
      <c r="U302" s="1">
        <f t="shared" si="9"/>
        <v>98</v>
      </c>
    </row>
    <row r="303" spans="1:21">
      <c r="A303" s="1" t="s">
        <v>186</v>
      </c>
      <c r="B303" s="1">
        <v>2020</v>
      </c>
      <c r="C303" s="1">
        <v>1.618000031</v>
      </c>
      <c r="D303" s="1">
        <v>46.202003480000002</v>
      </c>
      <c r="E303" s="1">
        <v>97.010876179999997</v>
      </c>
      <c r="F303" s="1">
        <v>0</v>
      </c>
      <c r="G303" s="1">
        <v>2.9891238219999998</v>
      </c>
      <c r="H303" s="1">
        <v>0</v>
      </c>
      <c r="I303" s="1" t="s">
        <v>272</v>
      </c>
      <c r="J303" s="1" t="s">
        <v>272</v>
      </c>
      <c r="K303" s="1" t="s">
        <v>272</v>
      </c>
      <c r="L303" s="1" t="s">
        <v>272</v>
      </c>
      <c r="M303" s="1" t="s">
        <v>272</v>
      </c>
      <c r="N303" s="1" t="s">
        <v>272</v>
      </c>
      <c r="O303" s="1" t="s">
        <v>272</v>
      </c>
      <c r="P303" s="1" t="s">
        <v>272</v>
      </c>
      <c r="Q303" s="2" t="str">
        <f t="shared" si="5"/>
        <v/>
      </c>
      <c r="R303" s="1" t="str">
        <f t="shared" si="6"/>
        <v/>
      </c>
      <c r="S303" s="1" t="str">
        <f t="shared" si="7"/>
        <v/>
      </c>
      <c r="T303" s="1" t="str">
        <f t="shared" si="8"/>
        <v/>
      </c>
      <c r="U303" s="1">
        <f t="shared" si="9"/>
        <v>97</v>
      </c>
    </row>
    <row r="304" spans="1:21">
      <c r="A304" s="1" t="s">
        <v>187</v>
      </c>
      <c r="B304" s="1">
        <v>2015</v>
      </c>
      <c r="C304" s="1">
        <v>2079.334961</v>
      </c>
      <c r="D304" s="1">
        <v>57.407997129999998</v>
      </c>
      <c r="E304" s="1">
        <v>97.472332829999999</v>
      </c>
      <c r="F304" s="1">
        <v>1.8859917129999999</v>
      </c>
      <c r="G304" s="1">
        <v>0.59247317450000003</v>
      </c>
      <c r="H304" s="1">
        <v>4.9202279760000002E-2</v>
      </c>
      <c r="I304" s="1">
        <v>97.633233129999994</v>
      </c>
      <c r="J304" s="1">
        <v>1.2224645000000001</v>
      </c>
      <c r="K304" s="1">
        <v>1.0287823730000001</v>
      </c>
      <c r="L304" s="1">
        <v>0.11552</v>
      </c>
      <c r="M304" s="1">
        <v>97.352958079999993</v>
      </c>
      <c r="N304" s="1">
        <v>2.37827419</v>
      </c>
      <c r="O304" s="1">
        <v>0.2687677275</v>
      </c>
      <c r="P304" s="1">
        <v>0</v>
      </c>
      <c r="Q304" s="2">
        <f t="shared" si="5"/>
        <v>5</v>
      </c>
      <c r="R304" s="1">
        <f t="shared" si="6"/>
        <v>5.4096591999999076E-2</v>
      </c>
      <c r="S304" s="1">
        <f t="shared" si="7"/>
        <v>-3.2903711999998107E-2</v>
      </c>
      <c r="T304" s="1">
        <f t="shared" si="8"/>
        <v>0.11688898200000039</v>
      </c>
      <c r="U304" s="1">
        <f t="shared" si="9"/>
        <v>97</v>
      </c>
    </row>
    <row r="305" spans="1:21">
      <c r="A305" s="1" t="s">
        <v>187</v>
      </c>
      <c r="B305" s="1">
        <v>2020</v>
      </c>
      <c r="C305" s="1">
        <v>2083.3798830000001</v>
      </c>
      <c r="D305" s="1">
        <v>58.481998439999998</v>
      </c>
      <c r="E305" s="1">
        <v>97.742815789999995</v>
      </c>
      <c r="F305" s="1">
        <v>1.6349941400000001</v>
      </c>
      <c r="G305" s="1">
        <v>0.57422847619999995</v>
      </c>
      <c r="H305" s="1">
        <v>4.796159706E-2</v>
      </c>
      <c r="I305" s="1">
        <v>97.468714570000003</v>
      </c>
      <c r="J305" s="1">
        <v>1.505202232</v>
      </c>
      <c r="K305" s="1">
        <v>0.91056319819999998</v>
      </c>
      <c r="L305" s="1">
        <v>0.11552</v>
      </c>
      <c r="M305" s="1">
        <v>97.937402989999995</v>
      </c>
      <c r="N305" s="1">
        <v>1.7271369539999999</v>
      </c>
      <c r="O305" s="1">
        <v>0.33546005629999998</v>
      </c>
      <c r="P305" s="1">
        <v>0</v>
      </c>
      <c r="Q305" s="2" t="str">
        <f t="shared" si="5"/>
        <v/>
      </c>
      <c r="R305" s="1" t="str">
        <f t="shared" si="6"/>
        <v/>
      </c>
      <c r="S305" s="1" t="str">
        <f t="shared" si="7"/>
        <v/>
      </c>
      <c r="T305" s="1" t="str">
        <f t="shared" si="8"/>
        <v/>
      </c>
      <c r="U305" s="1">
        <f t="shared" si="9"/>
        <v>98</v>
      </c>
    </row>
    <row r="306" spans="1:21">
      <c r="A306" s="1" t="s">
        <v>188</v>
      </c>
      <c r="B306" s="1">
        <v>2015</v>
      </c>
      <c r="C306" s="1">
        <v>55.778999329999998</v>
      </c>
      <c r="D306" s="1">
        <v>91.356994630000003</v>
      </c>
      <c r="E306" s="1">
        <v>99.980183389999993</v>
      </c>
      <c r="F306" s="1">
        <v>0</v>
      </c>
      <c r="G306" s="1">
        <v>1.9816611519999999E-2</v>
      </c>
      <c r="H306" s="1">
        <v>0</v>
      </c>
      <c r="I306" s="1" t="s">
        <v>272</v>
      </c>
      <c r="J306" s="1" t="s">
        <v>272</v>
      </c>
      <c r="K306" s="1" t="s">
        <v>272</v>
      </c>
      <c r="L306" s="1" t="s">
        <v>272</v>
      </c>
      <c r="M306" s="1" t="s">
        <v>272</v>
      </c>
      <c r="N306" s="1" t="s">
        <v>272</v>
      </c>
      <c r="O306" s="1" t="s">
        <v>272</v>
      </c>
      <c r="P306" s="1" t="s">
        <v>272</v>
      </c>
      <c r="Q306" s="2">
        <f t="shared" si="5"/>
        <v>5</v>
      </c>
      <c r="R306" s="1">
        <f t="shared" si="6"/>
        <v>3.9633220000013123E-3</v>
      </c>
      <c r="S306" s="1" t="str">
        <f t="shared" si="7"/>
        <v>null</v>
      </c>
      <c r="T306" s="1" t="str">
        <f t="shared" si="8"/>
        <v>null</v>
      </c>
      <c r="U306" s="1">
        <f t="shared" si="9"/>
        <v>100</v>
      </c>
    </row>
    <row r="307" spans="1:21">
      <c r="A307" s="1" t="s">
        <v>188</v>
      </c>
      <c r="B307" s="1">
        <v>2020</v>
      </c>
      <c r="C307" s="1">
        <v>57.556999210000001</v>
      </c>
      <c r="D307" s="1">
        <v>91.797996519999998</v>
      </c>
      <c r="E307" s="1">
        <v>100</v>
      </c>
      <c r="F307" s="1">
        <v>0</v>
      </c>
      <c r="G307" s="1">
        <v>0</v>
      </c>
      <c r="H307" s="1">
        <v>0</v>
      </c>
      <c r="I307" s="1" t="s">
        <v>272</v>
      </c>
      <c r="J307" s="1" t="s">
        <v>272</v>
      </c>
      <c r="K307" s="1" t="s">
        <v>272</v>
      </c>
      <c r="L307" s="1" t="s">
        <v>272</v>
      </c>
      <c r="M307" s="1" t="s">
        <v>272</v>
      </c>
      <c r="N307" s="1" t="s">
        <v>272</v>
      </c>
      <c r="O307" s="1" t="s">
        <v>272</v>
      </c>
      <c r="P307" s="1" t="s">
        <v>272</v>
      </c>
      <c r="Q307" s="2" t="str">
        <f t="shared" si="5"/>
        <v/>
      </c>
      <c r="R307" s="1" t="str">
        <f t="shared" si="6"/>
        <v/>
      </c>
      <c r="S307" s="1" t="str">
        <f t="shared" si="7"/>
        <v/>
      </c>
      <c r="T307" s="1" t="str">
        <f t="shared" si="8"/>
        <v/>
      </c>
      <c r="U307" s="1">
        <f t="shared" si="9"/>
        <v>100</v>
      </c>
    </row>
    <row r="308" spans="1:21">
      <c r="A308" s="1" t="s">
        <v>189</v>
      </c>
      <c r="B308" s="1">
        <v>2015</v>
      </c>
      <c r="C308" s="1">
        <v>5199.8271480000003</v>
      </c>
      <c r="D308" s="1">
        <v>81.090995789999994</v>
      </c>
      <c r="E308" s="1">
        <v>100.0000012</v>
      </c>
      <c r="F308" s="1">
        <v>0</v>
      </c>
      <c r="G308" s="1">
        <v>0</v>
      </c>
      <c r="H308" s="1">
        <v>0</v>
      </c>
      <c r="I308" s="1">
        <v>100</v>
      </c>
      <c r="J308" s="1">
        <v>0</v>
      </c>
      <c r="K308" s="1">
        <v>0</v>
      </c>
      <c r="L308" s="1">
        <v>0</v>
      </c>
      <c r="M308" s="1">
        <v>100</v>
      </c>
      <c r="N308" s="1">
        <v>0</v>
      </c>
      <c r="O308" s="1">
        <v>0</v>
      </c>
      <c r="P308" s="1">
        <v>0</v>
      </c>
      <c r="Q308" s="2">
        <f t="shared" si="5"/>
        <v>5</v>
      </c>
      <c r="R308" s="1">
        <f t="shared" si="6"/>
        <v>-1.1400000005323819E-6</v>
      </c>
      <c r="S308" s="1">
        <f t="shared" si="7"/>
        <v>0</v>
      </c>
      <c r="T308" s="1">
        <f t="shared" si="8"/>
        <v>0</v>
      </c>
      <c r="U308" s="1">
        <f t="shared" si="9"/>
        <v>100</v>
      </c>
    </row>
    <row r="309" spans="1:21">
      <c r="A309" s="1" t="s">
        <v>189</v>
      </c>
      <c r="B309" s="1">
        <v>2020</v>
      </c>
      <c r="C309" s="1">
        <v>5421.2421880000002</v>
      </c>
      <c r="D309" s="1">
        <v>82.973991389999995</v>
      </c>
      <c r="E309" s="1">
        <v>99.999995499999997</v>
      </c>
      <c r="F309" s="1">
        <v>0</v>
      </c>
      <c r="G309" s="1">
        <v>4.5034074529999998E-6</v>
      </c>
      <c r="H309" s="1">
        <v>0</v>
      </c>
      <c r="I309" s="1">
        <v>100</v>
      </c>
      <c r="J309" s="1">
        <v>0</v>
      </c>
      <c r="K309" s="1">
        <v>0</v>
      </c>
      <c r="L309" s="1">
        <v>0</v>
      </c>
      <c r="M309" s="1">
        <v>100</v>
      </c>
      <c r="N309" s="1">
        <v>0</v>
      </c>
      <c r="O309" s="1">
        <v>0</v>
      </c>
      <c r="P309" s="1">
        <v>0</v>
      </c>
      <c r="Q309" s="2" t="str">
        <f t="shared" si="5"/>
        <v/>
      </c>
      <c r="R309" s="1" t="str">
        <f t="shared" si="6"/>
        <v/>
      </c>
      <c r="S309" s="1" t="str">
        <f t="shared" si="7"/>
        <v/>
      </c>
      <c r="T309" s="1" t="str">
        <f t="shared" si="8"/>
        <v/>
      </c>
      <c r="U309" s="1">
        <f t="shared" si="9"/>
        <v>100</v>
      </c>
    </row>
    <row r="310" spans="1:21">
      <c r="A310" s="1" t="s">
        <v>190</v>
      </c>
      <c r="B310" s="1">
        <v>2015</v>
      </c>
      <c r="C310" s="1">
        <v>4267.3408200000003</v>
      </c>
      <c r="D310" s="1">
        <v>81.349998470000003</v>
      </c>
      <c r="E310" s="1">
        <v>90.238485639999993</v>
      </c>
      <c r="F310" s="1">
        <v>8.2088027879999999</v>
      </c>
      <c r="G310" s="1">
        <v>1.473142599</v>
      </c>
      <c r="H310" s="1">
        <v>7.9568975099999995E-2</v>
      </c>
      <c r="I310" s="1">
        <v>74.366908460000005</v>
      </c>
      <c r="J310" s="1">
        <v>21.097672360000001</v>
      </c>
      <c r="K310" s="1">
        <v>4.3867318319999997</v>
      </c>
      <c r="L310" s="1">
        <v>0.14868735080000001</v>
      </c>
      <c r="M310" s="1">
        <v>93.877145080000005</v>
      </c>
      <c r="N310" s="1">
        <v>5.2539479289999997</v>
      </c>
      <c r="O310" s="1">
        <v>0.80518384210000005</v>
      </c>
      <c r="P310" s="1">
        <v>6.3723150359999994E-2</v>
      </c>
      <c r="Q310" s="2">
        <f t="shared" si="5"/>
        <v>5</v>
      </c>
      <c r="R310" s="1">
        <f t="shared" si="6"/>
        <v>0.38590781000000052</v>
      </c>
      <c r="S310" s="1">
        <f t="shared" si="7"/>
        <v>0.37677429000000018</v>
      </c>
      <c r="T310" s="1">
        <f t="shared" si="8"/>
        <v>0.1645709839999995</v>
      </c>
      <c r="U310" s="1">
        <f t="shared" si="9"/>
        <v>90</v>
      </c>
    </row>
    <row r="311" spans="1:21">
      <c r="A311" s="1" t="s">
        <v>190</v>
      </c>
      <c r="B311" s="1">
        <v>2020</v>
      </c>
      <c r="C311" s="1">
        <v>5106.6220700000003</v>
      </c>
      <c r="D311" s="1">
        <v>86.275993349999993</v>
      </c>
      <c r="E311" s="1">
        <v>92.168024689999996</v>
      </c>
      <c r="F311" s="1">
        <v>7.5414198929999996</v>
      </c>
      <c r="G311" s="1">
        <v>0.26040520360000002</v>
      </c>
      <c r="H311" s="1">
        <v>3.0150217449999999E-2</v>
      </c>
      <c r="I311" s="1">
        <v>76.250779910000006</v>
      </c>
      <c r="J311" s="1">
        <v>21.632121130000002</v>
      </c>
      <c r="K311" s="1">
        <v>1.897409218</v>
      </c>
      <c r="L311" s="1">
        <v>0.21968973750000001</v>
      </c>
      <c r="M311" s="1">
        <v>94.7</v>
      </c>
      <c r="N311" s="1">
        <v>5.3</v>
      </c>
      <c r="O311" s="1">
        <v>0</v>
      </c>
      <c r="P311" s="1">
        <v>0</v>
      </c>
      <c r="Q311" s="2" t="str">
        <f t="shared" si="5"/>
        <v/>
      </c>
      <c r="R311" s="1" t="str">
        <f t="shared" si="6"/>
        <v/>
      </c>
      <c r="S311" s="1" t="str">
        <f t="shared" si="7"/>
        <v/>
      </c>
      <c r="T311" s="1" t="str">
        <f t="shared" si="8"/>
        <v/>
      </c>
      <c r="U311" s="1">
        <f t="shared" si="9"/>
        <v>92</v>
      </c>
    </row>
    <row r="312" spans="1:21">
      <c r="A312" s="1" t="s">
        <v>191</v>
      </c>
      <c r="B312" s="1">
        <v>2015</v>
      </c>
      <c r="C312" s="1">
        <v>199426.95310000001</v>
      </c>
      <c r="D312" s="1">
        <v>36.026000979999999</v>
      </c>
      <c r="E312" s="1">
        <v>89.454982340000001</v>
      </c>
      <c r="F312" s="1">
        <v>3.6559530200000001</v>
      </c>
      <c r="G312" s="1">
        <v>4.4216911899999998</v>
      </c>
      <c r="H312" s="1">
        <v>2.4673734469999999</v>
      </c>
      <c r="I312" s="1">
        <v>87.15095676</v>
      </c>
      <c r="J312" s="1">
        <v>3.9565638390000002</v>
      </c>
      <c r="K312" s="1">
        <v>5.2364128790000004</v>
      </c>
      <c r="L312" s="1">
        <v>3.6560665229999998</v>
      </c>
      <c r="M312" s="1">
        <v>93.546408839999998</v>
      </c>
      <c r="N312" s="1">
        <v>3.1221364330000001</v>
      </c>
      <c r="O312" s="1">
        <v>2.9749303889999998</v>
      </c>
      <c r="P312" s="1">
        <v>0.35652434</v>
      </c>
      <c r="Q312" s="2">
        <f t="shared" si="5"/>
        <v>5</v>
      </c>
      <c r="R312" s="1">
        <f t="shared" si="6"/>
        <v>0.13879654799999913</v>
      </c>
      <c r="S312" s="1">
        <f t="shared" si="7"/>
        <v>0.28978079999999978</v>
      </c>
      <c r="T312" s="1">
        <f t="shared" si="8"/>
        <v>-0.15567179800000019</v>
      </c>
      <c r="U312" s="1">
        <f t="shared" si="9"/>
        <v>89</v>
      </c>
    </row>
    <row r="313" spans="1:21">
      <c r="A313" s="1" t="s">
        <v>191</v>
      </c>
      <c r="B313" s="1">
        <v>2020</v>
      </c>
      <c r="C313" s="1">
        <v>220892.32810000001</v>
      </c>
      <c r="D313" s="1">
        <v>37.165000919999997</v>
      </c>
      <c r="E313" s="1">
        <v>90.148965079999996</v>
      </c>
      <c r="F313" s="1">
        <v>3.8222795249999999</v>
      </c>
      <c r="G313" s="1">
        <v>4.4133075740000001</v>
      </c>
      <c r="H313" s="1">
        <v>1.61544782</v>
      </c>
      <c r="I313" s="1">
        <v>88.599860759999999</v>
      </c>
      <c r="J313" s="1">
        <v>3.852278117</v>
      </c>
      <c r="K313" s="1">
        <v>5.1745965089999997</v>
      </c>
      <c r="L313" s="1">
        <v>2.3732646169999998</v>
      </c>
      <c r="M313" s="1">
        <v>92.768049849999997</v>
      </c>
      <c r="N313" s="1">
        <v>3.7715611619999998</v>
      </c>
      <c r="O313" s="1">
        <v>3.126184571</v>
      </c>
      <c r="P313" s="1">
        <v>0.33420442230000003</v>
      </c>
      <c r="Q313" s="2" t="str">
        <f t="shared" si="5"/>
        <v/>
      </c>
      <c r="R313" s="1" t="str">
        <f t="shared" si="6"/>
        <v/>
      </c>
      <c r="S313" s="1" t="str">
        <f t="shared" si="7"/>
        <v/>
      </c>
      <c r="T313" s="1" t="str">
        <f t="shared" si="8"/>
        <v/>
      </c>
      <c r="U313" s="1">
        <f t="shared" si="9"/>
        <v>90</v>
      </c>
    </row>
    <row r="314" spans="1:21">
      <c r="A314" s="1" t="s">
        <v>192</v>
      </c>
      <c r="B314" s="1">
        <v>2015</v>
      </c>
      <c r="C314" s="1">
        <v>17.665000920000001</v>
      </c>
      <c r="D314" s="1">
        <v>78.158996579999993</v>
      </c>
      <c r="E314" s="1">
        <v>99.630150850000007</v>
      </c>
      <c r="F314" s="1">
        <v>0</v>
      </c>
      <c r="G314" s="1">
        <v>0.36984914990000001</v>
      </c>
      <c r="H314" s="1">
        <v>0</v>
      </c>
      <c r="I314" s="1">
        <v>99.61387148</v>
      </c>
      <c r="J314" s="1">
        <v>0</v>
      </c>
      <c r="K314" s="1">
        <v>0.38612851729999997</v>
      </c>
      <c r="L314" s="1">
        <v>0</v>
      </c>
      <c r="M314" s="1">
        <v>99.634701730000003</v>
      </c>
      <c r="N314" s="1">
        <v>0</v>
      </c>
      <c r="O314" s="1">
        <v>0.36529827059999997</v>
      </c>
      <c r="P314" s="1">
        <v>0</v>
      </c>
      <c r="Q314" s="2">
        <f t="shared" si="5"/>
        <v>5</v>
      </c>
      <c r="R314" s="1">
        <f t="shared" si="6"/>
        <v>5.4789299999981724E-3</v>
      </c>
      <c r="S314" s="1">
        <f t="shared" si="7"/>
        <v>2.8622709999999073E-2</v>
      </c>
      <c r="T314" s="1">
        <f t="shared" si="8"/>
        <v>-9.9948000001859325E-5</v>
      </c>
      <c r="U314" s="1">
        <f t="shared" si="9"/>
        <v>100</v>
      </c>
    </row>
    <row r="315" spans="1:21">
      <c r="A315" s="1" t="s">
        <v>192</v>
      </c>
      <c r="B315" s="1">
        <v>2020</v>
      </c>
      <c r="C315" s="1">
        <v>18.091999049999998</v>
      </c>
      <c r="D315" s="1">
        <v>80.987998959999999</v>
      </c>
      <c r="E315" s="1">
        <v>99.657545499999998</v>
      </c>
      <c r="F315" s="1">
        <v>0</v>
      </c>
      <c r="G315" s="1">
        <v>0.34245449839999997</v>
      </c>
      <c r="H315" s="1">
        <v>0</v>
      </c>
      <c r="I315" s="1">
        <v>99.756985029999996</v>
      </c>
      <c r="J315" s="1">
        <v>0</v>
      </c>
      <c r="K315" s="1">
        <v>0.2430149677</v>
      </c>
      <c r="L315" s="1">
        <v>0</v>
      </c>
      <c r="M315" s="1">
        <v>99.634201989999994</v>
      </c>
      <c r="N315" s="1">
        <v>0</v>
      </c>
      <c r="O315" s="1">
        <v>0.36579800779999999</v>
      </c>
      <c r="P315" s="1">
        <v>0</v>
      </c>
      <c r="Q315" s="2" t="str">
        <f t="shared" si="5"/>
        <v/>
      </c>
      <c r="R315" s="1" t="str">
        <f t="shared" si="6"/>
        <v/>
      </c>
      <c r="S315" s="1" t="str">
        <f t="shared" si="7"/>
        <v/>
      </c>
      <c r="T315" s="1" t="str">
        <f t="shared" si="8"/>
        <v/>
      </c>
      <c r="U315" s="1">
        <f t="shared" si="9"/>
        <v>100</v>
      </c>
    </row>
    <row r="316" spans="1:21">
      <c r="A316" s="1" t="s">
        <v>193</v>
      </c>
      <c r="B316" s="1">
        <v>2015</v>
      </c>
      <c r="C316" s="1">
        <v>3968.48999</v>
      </c>
      <c r="D316" s="1">
        <v>66.695999150000006</v>
      </c>
      <c r="E316" s="1">
        <v>92.904365609999999</v>
      </c>
      <c r="F316" s="1">
        <v>1.845644171</v>
      </c>
      <c r="G316" s="1">
        <v>3.160016841</v>
      </c>
      <c r="H316" s="1">
        <v>2.08997338</v>
      </c>
      <c r="I316" s="1">
        <v>83.679579529999998</v>
      </c>
      <c r="J316" s="1">
        <v>1.737106037</v>
      </c>
      <c r="K316" s="1">
        <v>8.379298168</v>
      </c>
      <c r="L316" s="1">
        <v>6.2040162600000004</v>
      </c>
      <c r="M316" s="1">
        <v>97.510677389999998</v>
      </c>
      <c r="N316" s="1">
        <v>1.899841721</v>
      </c>
      <c r="O316" s="1">
        <v>0.55381483909999996</v>
      </c>
      <c r="P316" s="1">
        <v>3.5666046159999999E-2</v>
      </c>
      <c r="Q316" s="2">
        <f t="shared" si="5"/>
        <v>5</v>
      </c>
      <c r="R316" s="1">
        <f t="shared" si="6"/>
        <v>0.29363575000000142</v>
      </c>
      <c r="S316" s="1">
        <f t="shared" si="7"/>
        <v>0.52870074600000128</v>
      </c>
      <c r="T316" s="1">
        <f t="shared" si="8"/>
        <v>0.11564305600000183</v>
      </c>
      <c r="U316" s="1">
        <f t="shared" si="9"/>
        <v>93</v>
      </c>
    </row>
    <row r="317" spans="1:21">
      <c r="A317" s="1" t="s">
        <v>193</v>
      </c>
      <c r="B317" s="1">
        <v>2020</v>
      </c>
      <c r="C317" s="1">
        <v>4314.7680659999996</v>
      </c>
      <c r="D317" s="1">
        <v>68.414001459999994</v>
      </c>
      <c r="E317" s="1">
        <v>94.372544360000006</v>
      </c>
      <c r="F317" s="1">
        <v>1.8734805919999999</v>
      </c>
      <c r="G317" s="1">
        <v>2.2623042469999999</v>
      </c>
      <c r="H317" s="1">
        <v>1.491670799</v>
      </c>
      <c r="I317" s="1">
        <v>86.323083260000004</v>
      </c>
      <c r="J317" s="1">
        <v>1.791982583</v>
      </c>
      <c r="K317" s="1">
        <v>7.1623643420000001</v>
      </c>
      <c r="L317" s="1">
        <v>4.7225698109999996</v>
      </c>
      <c r="M317" s="1">
        <v>98.088892670000007</v>
      </c>
      <c r="N317" s="1">
        <v>1.9111073329999999</v>
      </c>
      <c r="O317" s="1">
        <v>0</v>
      </c>
      <c r="P317" s="1">
        <v>0</v>
      </c>
      <c r="Q317" s="2" t="str">
        <f t="shared" si="5"/>
        <v/>
      </c>
      <c r="R317" s="1" t="str">
        <f t="shared" si="6"/>
        <v/>
      </c>
      <c r="S317" s="1" t="str">
        <f t="shared" si="7"/>
        <v/>
      </c>
      <c r="T317" s="1" t="str">
        <f t="shared" si="8"/>
        <v/>
      </c>
      <c r="U317" s="1">
        <f t="shared" si="9"/>
        <v>94</v>
      </c>
    </row>
    <row r="318" spans="1:21">
      <c r="A318" s="1" t="s">
        <v>194</v>
      </c>
      <c r="B318" s="1">
        <v>2015</v>
      </c>
      <c r="C318" s="1">
        <v>8107.7719729999999</v>
      </c>
      <c r="D318" s="1">
        <v>13.01200008</v>
      </c>
      <c r="E318" s="1">
        <v>41.485508439999997</v>
      </c>
      <c r="F318" s="1">
        <v>1.8099530800000001</v>
      </c>
      <c r="G318" s="1">
        <v>21.261051999999999</v>
      </c>
      <c r="H318" s="1">
        <v>35.443486479999997</v>
      </c>
      <c r="I318" s="1">
        <v>34.990633000000003</v>
      </c>
      <c r="J318" s="1">
        <v>1.8047244330000001</v>
      </c>
      <c r="K318" s="1">
        <v>23.25354875</v>
      </c>
      <c r="L318" s="1">
        <v>39.951093819999997</v>
      </c>
      <c r="M318" s="1">
        <v>84.90514306</v>
      </c>
      <c r="N318" s="1">
        <v>1.844907912</v>
      </c>
      <c r="O318" s="1">
        <v>7.9407764350000001</v>
      </c>
      <c r="P318" s="1">
        <v>5.309172598</v>
      </c>
      <c r="Q318" s="2">
        <f t="shared" si="5"/>
        <v>5</v>
      </c>
      <c r="R318" s="1">
        <f t="shared" si="6"/>
        <v>0.77170181600000087</v>
      </c>
      <c r="S318" s="1">
        <f t="shared" si="7"/>
        <v>0.81614213399999902</v>
      </c>
      <c r="T318" s="1">
        <f t="shared" si="8"/>
        <v>0.2340257159999993</v>
      </c>
      <c r="U318" s="1">
        <f t="shared" si="9"/>
        <v>41</v>
      </c>
    </row>
    <row r="319" spans="1:21">
      <c r="A319" s="1" t="s">
        <v>194</v>
      </c>
      <c r="B319" s="1">
        <v>2020</v>
      </c>
      <c r="C319" s="1">
        <v>8947.0273440000001</v>
      </c>
      <c r="D319" s="1">
        <v>13.34500027</v>
      </c>
      <c r="E319" s="1">
        <v>45.344017520000001</v>
      </c>
      <c r="F319" s="1">
        <v>2.128564452</v>
      </c>
      <c r="G319" s="1">
        <v>22.157624949999999</v>
      </c>
      <c r="H319" s="1">
        <v>30.369793080000001</v>
      </c>
      <c r="I319" s="1">
        <v>39.071343669999997</v>
      </c>
      <c r="J319" s="1">
        <v>2.4298502929999999</v>
      </c>
      <c r="K319" s="1">
        <v>24.431800859999999</v>
      </c>
      <c r="L319" s="1">
        <v>34.067005170000002</v>
      </c>
      <c r="M319" s="1">
        <v>86.075271639999997</v>
      </c>
      <c r="N319" s="1">
        <v>0.17218226079999999</v>
      </c>
      <c r="O319" s="1">
        <v>7.3903855639999998</v>
      </c>
      <c r="P319" s="1">
        <v>6.3621605319999999</v>
      </c>
      <c r="Q319" s="2" t="str">
        <f t="shared" si="5"/>
        <v/>
      </c>
      <c r="R319" s="1" t="str">
        <f t="shared" si="6"/>
        <v/>
      </c>
      <c r="S319" s="1" t="str">
        <f t="shared" si="7"/>
        <v/>
      </c>
      <c r="T319" s="1" t="str">
        <f t="shared" si="8"/>
        <v/>
      </c>
      <c r="U319" s="1">
        <f t="shared" si="9"/>
        <v>45</v>
      </c>
    </row>
    <row r="320" spans="1:21">
      <c r="A320" s="1" t="s">
        <v>195</v>
      </c>
      <c r="B320" s="1">
        <v>2015</v>
      </c>
      <c r="C320" s="1">
        <v>6688.7460940000001</v>
      </c>
      <c r="D320" s="1">
        <v>60.75</v>
      </c>
      <c r="E320" s="1">
        <v>96.836214530000007</v>
      </c>
      <c r="F320" s="1">
        <v>0.32842400300000002</v>
      </c>
      <c r="G320" s="1">
        <v>2.7567681990000001</v>
      </c>
      <c r="H320" s="1">
        <v>7.8593266980000007E-2</v>
      </c>
      <c r="I320" s="1">
        <v>93.344700290000006</v>
      </c>
      <c r="J320" s="1">
        <v>0.69766643969999997</v>
      </c>
      <c r="K320" s="1">
        <v>5.757395646</v>
      </c>
      <c r="L320" s="1">
        <v>0.20023762880000001</v>
      </c>
      <c r="M320" s="1">
        <v>99.092048730000002</v>
      </c>
      <c r="N320" s="1">
        <v>8.9859971169999997E-2</v>
      </c>
      <c r="O320" s="1">
        <v>0.81809130100000005</v>
      </c>
      <c r="P320" s="1">
        <v>0</v>
      </c>
      <c r="Q320" s="2">
        <f t="shared" si="5"/>
        <v>5</v>
      </c>
      <c r="R320" s="1">
        <f t="shared" si="6"/>
        <v>0.55145035999999836</v>
      </c>
      <c r="S320" s="1">
        <f t="shared" si="7"/>
        <v>1.1533054479999976</v>
      </c>
      <c r="T320" s="1">
        <f t="shared" si="8"/>
        <v>0.15893996199999946</v>
      </c>
      <c r="U320" s="1">
        <f t="shared" si="9"/>
        <v>97</v>
      </c>
    </row>
    <row r="321" spans="1:21">
      <c r="A321" s="1" t="s">
        <v>195</v>
      </c>
      <c r="B321" s="1">
        <v>2020</v>
      </c>
      <c r="C321" s="1">
        <v>7132.5297849999997</v>
      </c>
      <c r="D321" s="1">
        <v>62.182994839999999</v>
      </c>
      <c r="E321" s="1">
        <v>99.593466329999998</v>
      </c>
      <c r="F321" s="1">
        <v>0.40653024389999998</v>
      </c>
      <c r="G321" s="1">
        <v>3.4229177000000001E-6</v>
      </c>
      <c r="H321" s="1">
        <v>0</v>
      </c>
      <c r="I321" s="1">
        <v>99.111227529999994</v>
      </c>
      <c r="J321" s="1">
        <v>0.88877246840000002</v>
      </c>
      <c r="K321" s="1">
        <v>0</v>
      </c>
      <c r="L321" s="1">
        <v>0</v>
      </c>
      <c r="M321" s="1">
        <v>99.886748539999999</v>
      </c>
      <c r="N321" s="1">
        <v>0.11325146429999999</v>
      </c>
      <c r="O321" s="1">
        <v>0</v>
      </c>
      <c r="P321" s="1">
        <v>0</v>
      </c>
      <c r="Q321" s="2" t="str">
        <f t="shared" si="5"/>
        <v/>
      </c>
      <c r="R321" s="1" t="str">
        <f t="shared" si="6"/>
        <v/>
      </c>
      <c r="S321" s="1" t="str">
        <f t="shared" si="7"/>
        <v/>
      </c>
      <c r="T321" s="1" t="str">
        <f t="shared" si="8"/>
        <v/>
      </c>
      <c r="U321" s="1">
        <f t="shared" si="9"/>
        <v>100</v>
      </c>
    </row>
    <row r="322" spans="1:21">
      <c r="A322" s="1" t="s">
        <v>196</v>
      </c>
      <c r="B322" s="1">
        <v>2015</v>
      </c>
      <c r="C322" s="1">
        <v>30470.738280000001</v>
      </c>
      <c r="D322" s="1">
        <v>77.357002260000002</v>
      </c>
      <c r="E322" s="1">
        <v>90.282003040000006</v>
      </c>
      <c r="F322" s="1">
        <v>0.93258347190000002</v>
      </c>
      <c r="G322" s="1">
        <v>5.7636260549999996</v>
      </c>
      <c r="H322" s="1">
        <v>3.0217874390000001</v>
      </c>
      <c r="I322" s="1">
        <v>73.287623839999995</v>
      </c>
      <c r="J322" s="1">
        <v>1.5230403370000001</v>
      </c>
      <c r="K322" s="1">
        <v>12.99206766</v>
      </c>
      <c r="L322" s="1">
        <v>12.197268169999999</v>
      </c>
      <c r="M322" s="1">
        <v>95.256387020000005</v>
      </c>
      <c r="N322" s="1">
        <v>0.75975208999999999</v>
      </c>
      <c r="O322" s="1">
        <v>3.6478085579999999</v>
      </c>
      <c r="P322" s="1">
        <v>0.33605232909999999</v>
      </c>
      <c r="Q322" s="2">
        <f t="shared" si="5"/>
        <v>5</v>
      </c>
      <c r="R322" s="1">
        <f t="shared" si="6"/>
        <v>0.57147263399999981</v>
      </c>
      <c r="S322" s="1">
        <f t="shared" si="7"/>
        <v>1.502362930000001</v>
      </c>
      <c r="T322" s="1">
        <f t="shared" si="8"/>
        <v>0.2606914119999999</v>
      </c>
      <c r="U322" s="1">
        <f t="shared" si="9"/>
        <v>90</v>
      </c>
    </row>
    <row r="323" spans="1:21">
      <c r="A323" s="1" t="s">
        <v>196</v>
      </c>
      <c r="B323" s="1">
        <v>2020</v>
      </c>
      <c r="C323" s="1">
        <v>32971.847659999999</v>
      </c>
      <c r="D323" s="1">
        <v>78.297004700000002</v>
      </c>
      <c r="E323" s="1">
        <v>93.139366210000006</v>
      </c>
      <c r="F323" s="1">
        <v>0.84955935110000003</v>
      </c>
      <c r="G323" s="1">
        <v>4.1504683489999996</v>
      </c>
      <c r="H323" s="1">
        <v>1.8606060870000001</v>
      </c>
      <c r="I323" s="1">
        <v>80.79943849</v>
      </c>
      <c r="J323" s="1">
        <v>1.5969437710000001</v>
      </c>
      <c r="K323" s="1">
        <v>9.6126911629999992</v>
      </c>
      <c r="L323" s="1">
        <v>7.9909265779999998</v>
      </c>
      <c r="M323" s="1">
        <v>96.559844080000005</v>
      </c>
      <c r="N323" s="1">
        <v>0.64239323559999995</v>
      </c>
      <c r="O323" s="1">
        <v>2.6364086929999999</v>
      </c>
      <c r="P323" s="1">
        <v>0.1613539953</v>
      </c>
      <c r="Q323" s="2" t="str">
        <f t="shared" si="5"/>
        <v/>
      </c>
      <c r="R323" s="1" t="str">
        <f t="shared" si="6"/>
        <v/>
      </c>
      <c r="S323" s="1" t="str">
        <f t="shared" si="7"/>
        <v/>
      </c>
      <c r="T323" s="1" t="str">
        <f t="shared" si="8"/>
        <v/>
      </c>
      <c r="U323" s="1">
        <f t="shared" si="9"/>
        <v>93</v>
      </c>
    </row>
    <row r="324" spans="1:21">
      <c r="A324" s="1" t="s">
        <v>197</v>
      </c>
      <c r="B324" s="1">
        <v>2015</v>
      </c>
      <c r="C324" s="1">
        <v>102113.2031</v>
      </c>
      <c r="D324" s="1">
        <v>46.284000399999996</v>
      </c>
      <c r="E324" s="1">
        <v>92.017701020000004</v>
      </c>
      <c r="F324" s="1">
        <v>2.9204293190000001</v>
      </c>
      <c r="G324" s="1">
        <v>4.5321384619999998</v>
      </c>
      <c r="H324" s="1">
        <v>0.52973119440000005</v>
      </c>
      <c r="I324" s="1">
        <v>88.208162329999993</v>
      </c>
      <c r="J324" s="1">
        <v>3.8258925420000001</v>
      </c>
      <c r="K324" s="1">
        <v>7.1112130369999997</v>
      </c>
      <c r="L324" s="1">
        <v>0.85473209370000003</v>
      </c>
      <c r="M324" s="1">
        <v>96.438952139999998</v>
      </c>
      <c r="N324" s="1">
        <v>1.8695723529999999</v>
      </c>
      <c r="O324" s="1">
        <v>1.5389318729999999</v>
      </c>
      <c r="P324" s="1">
        <v>0.15254363930000001</v>
      </c>
      <c r="Q324" s="2">
        <f t="shared" si="5"/>
        <v>5</v>
      </c>
      <c r="R324" s="1">
        <f t="shared" si="6"/>
        <v>0.41826670799999877</v>
      </c>
      <c r="S324" s="1">
        <f t="shared" si="7"/>
        <v>0.57075417800000139</v>
      </c>
      <c r="T324" s="1">
        <f t="shared" si="8"/>
        <v>0.21007607200000109</v>
      </c>
      <c r="U324" s="1">
        <f t="shared" si="9"/>
        <v>92</v>
      </c>
    </row>
    <row r="325" spans="1:21">
      <c r="A325" s="1" t="s">
        <v>197</v>
      </c>
      <c r="B325" s="1">
        <v>2020</v>
      </c>
      <c r="C325" s="1">
        <v>109581.08590000001</v>
      </c>
      <c r="D325" s="1">
        <v>47.407997129999998</v>
      </c>
      <c r="E325" s="1">
        <v>94.109034559999998</v>
      </c>
      <c r="F325" s="1">
        <v>2.8564861370000001</v>
      </c>
      <c r="G325" s="1">
        <v>3.0344793069999998</v>
      </c>
      <c r="H325" s="1">
        <v>0</v>
      </c>
      <c r="I325" s="1">
        <v>91.06193322</v>
      </c>
      <c r="J325" s="1">
        <v>3.9595204279999998</v>
      </c>
      <c r="K325" s="1">
        <v>4.978546347</v>
      </c>
      <c r="L325" s="1">
        <v>0</v>
      </c>
      <c r="M325" s="1">
        <v>97.489332500000003</v>
      </c>
      <c r="N325" s="1">
        <v>1.632836465</v>
      </c>
      <c r="O325" s="1">
        <v>0.87783103600000001</v>
      </c>
      <c r="P325" s="1">
        <v>0</v>
      </c>
      <c r="Q325" s="2" t="str">
        <f t="shared" si="5"/>
        <v/>
      </c>
      <c r="R325" s="1" t="str">
        <f t="shared" si="6"/>
        <v/>
      </c>
      <c r="S325" s="1" t="str">
        <f t="shared" si="7"/>
        <v/>
      </c>
      <c r="T325" s="1" t="str">
        <f t="shared" si="8"/>
        <v/>
      </c>
      <c r="U325" s="1">
        <f t="shared" si="9"/>
        <v>94</v>
      </c>
    </row>
    <row r="326" spans="1:21">
      <c r="A326" s="1" t="s">
        <v>198</v>
      </c>
      <c r="B326" s="1">
        <v>2015</v>
      </c>
      <c r="C326" s="1">
        <v>38034.074220000002</v>
      </c>
      <c r="D326" s="1">
        <v>60.27799606</v>
      </c>
      <c r="E326" s="1">
        <v>99.232069879999997</v>
      </c>
      <c r="F326" s="1">
        <v>0</v>
      </c>
      <c r="G326" s="1">
        <v>0.76793012459999999</v>
      </c>
      <c r="H326" s="1">
        <v>0</v>
      </c>
      <c r="I326" s="1">
        <v>98.537903229999998</v>
      </c>
      <c r="J326" s="1">
        <v>0</v>
      </c>
      <c r="K326" s="1">
        <v>1.4620967739999999</v>
      </c>
      <c r="L326" s="1">
        <v>0</v>
      </c>
      <c r="M326" s="1">
        <v>99.689516130000001</v>
      </c>
      <c r="N326" s="1">
        <v>0</v>
      </c>
      <c r="O326" s="1">
        <v>0.31048387100000002</v>
      </c>
      <c r="P326" s="1">
        <v>0</v>
      </c>
      <c r="Q326" s="2">
        <f t="shared" si="5"/>
        <v>5</v>
      </c>
      <c r="R326" s="1">
        <f t="shared" si="6"/>
        <v>0.1469043340000013</v>
      </c>
      <c r="S326" s="1">
        <f t="shared" si="7"/>
        <v>0.29241935400000046</v>
      </c>
      <c r="T326" s="1">
        <f t="shared" si="8"/>
        <v>5.0967742000000274E-2</v>
      </c>
      <c r="U326" s="1">
        <f t="shared" si="9"/>
        <v>99</v>
      </c>
    </row>
    <row r="327" spans="1:21">
      <c r="A327" s="1" t="s">
        <v>198</v>
      </c>
      <c r="B327" s="1">
        <v>2020</v>
      </c>
      <c r="C327" s="1">
        <v>37846.605470000002</v>
      </c>
      <c r="D327" s="1">
        <v>60.043003079999998</v>
      </c>
      <c r="E327" s="1">
        <v>99.966591550000004</v>
      </c>
      <c r="F327" s="1">
        <v>0</v>
      </c>
      <c r="G327" s="1">
        <v>3.3408445289999998E-2</v>
      </c>
      <c r="H327" s="1">
        <v>0</v>
      </c>
      <c r="I327" s="1">
        <v>100</v>
      </c>
      <c r="J327" s="1">
        <v>0</v>
      </c>
      <c r="K327" s="1">
        <v>0</v>
      </c>
      <c r="L327" s="1">
        <v>0</v>
      </c>
      <c r="M327" s="1">
        <v>99.944354840000003</v>
      </c>
      <c r="N327" s="1">
        <v>0</v>
      </c>
      <c r="O327" s="1">
        <v>5.5645161290000002E-2</v>
      </c>
      <c r="P327" s="1">
        <v>0</v>
      </c>
      <c r="Q327" s="2" t="str">
        <f t="shared" si="5"/>
        <v/>
      </c>
      <c r="R327" s="1" t="str">
        <f t="shared" si="6"/>
        <v/>
      </c>
      <c r="S327" s="1" t="str">
        <f t="shared" si="7"/>
        <v/>
      </c>
      <c r="T327" s="1" t="str">
        <f t="shared" si="8"/>
        <v/>
      </c>
      <c r="U327" s="1">
        <f t="shared" si="9"/>
        <v>100</v>
      </c>
    </row>
    <row r="328" spans="1:21">
      <c r="A328" s="1" t="s">
        <v>199</v>
      </c>
      <c r="B328" s="1">
        <v>2015</v>
      </c>
      <c r="C328" s="1">
        <v>10368.3457</v>
      </c>
      <c r="D328" s="1">
        <v>63.513999939999998</v>
      </c>
      <c r="E328" s="1">
        <v>99.904689840000003</v>
      </c>
      <c r="F328" s="1">
        <v>0</v>
      </c>
      <c r="G328" s="1">
        <v>9.5310157000000006E-2</v>
      </c>
      <c r="H328" s="1">
        <v>0</v>
      </c>
      <c r="I328" s="1">
        <v>99.738776090000002</v>
      </c>
      <c r="J328" s="1">
        <v>0</v>
      </c>
      <c r="K328" s="1">
        <v>0.26122391220000002</v>
      </c>
      <c r="L328" s="1">
        <v>0</v>
      </c>
      <c r="M328" s="1">
        <v>100</v>
      </c>
      <c r="N328" s="1">
        <v>0</v>
      </c>
      <c r="O328" s="1">
        <v>0</v>
      </c>
      <c r="P328" s="1">
        <v>0</v>
      </c>
      <c r="Q328" s="2">
        <f t="shared" si="5"/>
        <v>5</v>
      </c>
      <c r="R328" s="1">
        <f t="shared" si="6"/>
        <v>1.4607659999995803E-3</v>
      </c>
      <c r="S328" s="1">
        <f t="shared" si="7"/>
        <v>0</v>
      </c>
      <c r="T328" s="1">
        <f t="shared" si="8"/>
        <v>0</v>
      </c>
      <c r="U328" s="1">
        <f t="shared" si="9"/>
        <v>100</v>
      </c>
    </row>
    <row r="329" spans="1:21">
      <c r="A329" s="1" t="s">
        <v>199</v>
      </c>
      <c r="B329" s="1">
        <v>2020</v>
      </c>
      <c r="C329" s="1">
        <v>10196.70703</v>
      </c>
      <c r="D329" s="1">
        <v>66.309997559999999</v>
      </c>
      <c r="E329" s="1">
        <v>99.911993670000001</v>
      </c>
      <c r="F329" s="1">
        <v>0</v>
      </c>
      <c r="G329" s="1">
        <v>8.8006333689999994E-2</v>
      </c>
      <c r="H329" s="1">
        <v>0</v>
      </c>
      <c r="I329" s="1">
        <v>99.738776090000002</v>
      </c>
      <c r="J329" s="1">
        <v>0</v>
      </c>
      <c r="K329" s="1">
        <v>0.26122391220000002</v>
      </c>
      <c r="L329" s="1">
        <v>0</v>
      </c>
      <c r="M329" s="1">
        <v>100</v>
      </c>
      <c r="N329" s="1">
        <v>0</v>
      </c>
      <c r="O329" s="1">
        <v>0</v>
      </c>
      <c r="P329" s="1">
        <v>0</v>
      </c>
      <c r="Q329" s="2" t="str">
        <f t="shared" si="5"/>
        <v/>
      </c>
      <c r="R329" s="1" t="str">
        <f t="shared" si="6"/>
        <v/>
      </c>
      <c r="S329" s="1" t="str">
        <f t="shared" si="7"/>
        <v/>
      </c>
      <c r="T329" s="1" t="str">
        <f t="shared" si="8"/>
        <v/>
      </c>
      <c r="U329" s="1">
        <f t="shared" si="9"/>
        <v>100</v>
      </c>
    </row>
    <row r="330" spans="1:21">
      <c r="A330" s="1" t="s">
        <v>200</v>
      </c>
      <c r="B330" s="1">
        <v>2015</v>
      </c>
      <c r="C330" s="1">
        <v>3381.5119629999999</v>
      </c>
      <c r="D330" s="1">
        <v>93.624000550000005</v>
      </c>
      <c r="E330" s="1">
        <v>99.425449760000006</v>
      </c>
      <c r="F330" s="1">
        <v>0</v>
      </c>
      <c r="G330" s="1">
        <v>0.57455024300000002</v>
      </c>
      <c r="H330" s="1">
        <v>0</v>
      </c>
      <c r="I330" s="1" t="s">
        <v>272</v>
      </c>
      <c r="J330" s="1" t="s">
        <v>272</v>
      </c>
      <c r="K330" s="1" t="s">
        <v>272</v>
      </c>
      <c r="L330" s="1" t="s">
        <v>272</v>
      </c>
      <c r="M330" s="1" t="s">
        <v>272</v>
      </c>
      <c r="N330" s="1" t="s">
        <v>272</v>
      </c>
      <c r="O330" s="1" t="s">
        <v>272</v>
      </c>
      <c r="P330" s="1" t="s">
        <v>272</v>
      </c>
      <c r="Q330" s="2">
        <f t="shared" si="5"/>
        <v>5</v>
      </c>
      <c r="R330" s="1">
        <f t="shared" si="6"/>
        <v>0.11491004799999871</v>
      </c>
      <c r="S330" s="1" t="str">
        <f t="shared" si="7"/>
        <v>null</v>
      </c>
      <c r="T330" s="1" t="str">
        <f t="shared" si="8"/>
        <v>null</v>
      </c>
      <c r="U330" s="1">
        <f t="shared" si="9"/>
        <v>99</v>
      </c>
    </row>
    <row r="331" spans="1:21">
      <c r="A331" s="1" t="s">
        <v>200</v>
      </c>
      <c r="B331" s="1">
        <v>2020</v>
      </c>
      <c r="C331" s="1">
        <v>2860.8400879999999</v>
      </c>
      <c r="D331" s="1">
        <v>93.581001279999995</v>
      </c>
      <c r="E331" s="1">
        <v>100</v>
      </c>
      <c r="F331" s="1">
        <v>0</v>
      </c>
      <c r="G331" s="1">
        <v>0</v>
      </c>
      <c r="H331" s="1">
        <v>0</v>
      </c>
      <c r="I331" s="1" t="s">
        <v>272</v>
      </c>
      <c r="J331" s="1" t="s">
        <v>272</v>
      </c>
      <c r="K331" s="1" t="s">
        <v>272</v>
      </c>
      <c r="L331" s="1" t="s">
        <v>272</v>
      </c>
      <c r="M331" s="1" t="s">
        <v>272</v>
      </c>
      <c r="N331" s="1" t="s">
        <v>272</v>
      </c>
      <c r="O331" s="1" t="s">
        <v>272</v>
      </c>
      <c r="P331" s="1" t="s">
        <v>272</v>
      </c>
      <c r="Q331" s="2" t="str">
        <f t="shared" si="5"/>
        <v/>
      </c>
      <c r="R331" s="1" t="str">
        <f t="shared" si="6"/>
        <v/>
      </c>
      <c r="S331" s="1" t="str">
        <f t="shared" si="7"/>
        <v/>
      </c>
      <c r="T331" s="1" t="str">
        <f t="shared" si="8"/>
        <v/>
      </c>
      <c r="U331" s="1">
        <f t="shared" si="9"/>
        <v>100</v>
      </c>
    </row>
    <row r="332" spans="1:21">
      <c r="A332" s="1" t="s">
        <v>201</v>
      </c>
      <c r="B332" s="1">
        <v>2015</v>
      </c>
      <c r="C332" s="1">
        <v>2565.7080080000001</v>
      </c>
      <c r="D332" s="1">
        <v>98.944992069999998</v>
      </c>
      <c r="E332" s="1">
        <v>99.691501380000005</v>
      </c>
      <c r="F332" s="1">
        <v>0</v>
      </c>
      <c r="G332" s="1">
        <v>0.30849861699999997</v>
      </c>
      <c r="H332" s="1">
        <v>0</v>
      </c>
      <c r="I332" s="1" t="s">
        <v>272</v>
      </c>
      <c r="J332" s="1" t="s">
        <v>272</v>
      </c>
      <c r="K332" s="1" t="s">
        <v>272</v>
      </c>
      <c r="L332" s="1" t="s">
        <v>272</v>
      </c>
      <c r="M332" s="1" t="s">
        <v>272</v>
      </c>
      <c r="N332" s="1" t="s">
        <v>272</v>
      </c>
      <c r="O332" s="1" t="s">
        <v>272</v>
      </c>
      <c r="P332" s="1" t="s">
        <v>272</v>
      </c>
      <c r="Q332" s="2">
        <f t="shared" si="5"/>
        <v>5</v>
      </c>
      <c r="R332" s="1">
        <f t="shared" si="6"/>
        <v>-2.4679888000000004E-2</v>
      </c>
      <c r="S332" s="1" t="str">
        <f t="shared" si="7"/>
        <v>null</v>
      </c>
      <c r="T332" s="1" t="str">
        <f t="shared" si="8"/>
        <v>null</v>
      </c>
      <c r="U332" s="1">
        <f t="shared" si="9"/>
        <v>100</v>
      </c>
    </row>
    <row r="333" spans="1:21">
      <c r="A333" s="1" t="s">
        <v>201</v>
      </c>
      <c r="B333" s="1">
        <v>2020</v>
      </c>
      <c r="C333" s="1">
        <v>2881.0600589999999</v>
      </c>
      <c r="D333" s="1">
        <v>99.23500061</v>
      </c>
      <c r="E333" s="1">
        <v>99.568101940000005</v>
      </c>
      <c r="F333" s="1">
        <v>0</v>
      </c>
      <c r="G333" s="1">
        <v>0.4318980637</v>
      </c>
      <c r="H333" s="1">
        <v>0</v>
      </c>
      <c r="I333" s="1" t="s">
        <v>272</v>
      </c>
      <c r="J333" s="1" t="s">
        <v>272</v>
      </c>
      <c r="K333" s="1" t="s">
        <v>272</v>
      </c>
      <c r="L333" s="1" t="s">
        <v>272</v>
      </c>
      <c r="M333" s="1" t="s">
        <v>272</v>
      </c>
      <c r="N333" s="1" t="s">
        <v>272</v>
      </c>
      <c r="O333" s="1" t="s">
        <v>272</v>
      </c>
      <c r="P333" s="1" t="s">
        <v>272</v>
      </c>
      <c r="Q333" s="2" t="str">
        <f t="shared" si="5"/>
        <v/>
      </c>
      <c r="R333" s="1" t="str">
        <f t="shared" si="6"/>
        <v/>
      </c>
      <c r="S333" s="1" t="str">
        <f t="shared" si="7"/>
        <v/>
      </c>
      <c r="T333" s="1" t="str">
        <f t="shared" si="8"/>
        <v/>
      </c>
      <c r="U333" s="1">
        <f t="shared" si="9"/>
        <v>100</v>
      </c>
    </row>
    <row r="334" spans="1:21">
      <c r="A334" s="1" t="s">
        <v>202</v>
      </c>
      <c r="B334" s="1">
        <v>2015</v>
      </c>
      <c r="C334" s="1">
        <v>50823.085939999997</v>
      </c>
      <c r="D334" s="1">
        <v>81.634002690000003</v>
      </c>
      <c r="E334" s="1">
        <v>99.472746409999999</v>
      </c>
      <c r="F334" s="1">
        <v>0</v>
      </c>
      <c r="G334" s="1">
        <v>0.5272535907</v>
      </c>
      <c r="H334" s="1">
        <v>0</v>
      </c>
      <c r="I334" s="1" t="s">
        <v>272</v>
      </c>
      <c r="J334" s="1" t="s">
        <v>272</v>
      </c>
      <c r="K334" s="1" t="s">
        <v>272</v>
      </c>
      <c r="L334" s="1" t="s">
        <v>272</v>
      </c>
      <c r="M334" s="1" t="s">
        <v>272</v>
      </c>
      <c r="N334" s="1" t="s">
        <v>272</v>
      </c>
      <c r="O334" s="1" t="s">
        <v>272</v>
      </c>
      <c r="P334" s="1" t="s">
        <v>272</v>
      </c>
      <c r="Q334" s="2">
        <f t="shared" si="5"/>
        <v>5</v>
      </c>
      <c r="R334" s="1">
        <f t="shared" si="6"/>
        <v>9.1730047999999439E-2</v>
      </c>
      <c r="S334" s="1" t="str">
        <f t="shared" si="7"/>
        <v>null</v>
      </c>
      <c r="T334" s="1" t="str">
        <f t="shared" si="8"/>
        <v>null</v>
      </c>
      <c r="U334" s="1">
        <f t="shared" si="9"/>
        <v>99</v>
      </c>
    </row>
    <row r="335" spans="1:21">
      <c r="A335" s="1" t="s">
        <v>202</v>
      </c>
      <c r="B335" s="1">
        <v>2020</v>
      </c>
      <c r="C335" s="1">
        <v>51269.183590000001</v>
      </c>
      <c r="D335" s="1">
        <v>81.414001459999994</v>
      </c>
      <c r="E335" s="1">
        <v>99.931396649999996</v>
      </c>
      <c r="F335" s="1">
        <v>0</v>
      </c>
      <c r="G335" s="1">
        <v>6.8603352960000002E-2</v>
      </c>
      <c r="H335" s="1">
        <v>0</v>
      </c>
      <c r="I335" s="1" t="s">
        <v>272</v>
      </c>
      <c r="J335" s="1" t="s">
        <v>272</v>
      </c>
      <c r="K335" s="1" t="s">
        <v>272</v>
      </c>
      <c r="L335" s="1" t="s">
        <v>272</v>
      </c>
      <c r="M335" s="1" t="s">
        <v>272</v>
      </c>
      <c r="N335" s="1" t="s">
        <v>272</v>
      </c>
      <c r="O335" s="1" t="s">
        <v>272</v>
      </c>
      <c r="P335" s="1" t="s">
        <v>272</v>
      </c>
      <c r="Q335" s="2" t="str">
        <f t="shared" si="5"/>
        <v/>
      </c>
      <c r="R335" s="1" t="str">
        <f t="shared" si="6"/>
        <v/>
      </c>
      <c r="S335" s="1" t="str">
        <f t="shared" si="7"/>
        <v/>
      </c>
      <c r="T335" s="1" t="str">
        <f t="shared" si="8"/>
        <v/>
      </c>
      <c r="U335" s="1">
        <f t="shared" si="9"/>
        <v>100</v>
      </c>
    </row>
    <row r="336" spans="1:21">
      <c r="A336" s="1" t="s">
        <v>203</v>
      </c>
      <c r="B336" s="1">
        <v>2015</v>
      </c>
      <c r="C336" s="1">
        <v>4070.705078</v>
      </c>
      <c r="D336" s="1">
        <v>42.489997860000003</v>
      </c>
      <c r="E336" s="1">
        <v>88.576031900000004</v>
      </c>
      <c r="F336" s="1">
        <v>1.485629517</v>
      </c>
      <c r="G336" s="1">
        <v>9.9383385820000001</v>
      </c>
      <c r="H336" s="1">
        <v>0</v>
      </c>
      <c r="I336" s="1">
        <v>82.542490749999999</v>
      </c>
      <c r="J336" s="1">
        <v>1.4702224820000001</v>
      </c>
      <c r="K336" s="1">
        <v>15.987286770000001</v>
      </c>
      <c r="L336" s="1">
        <v>0</v>
      </c>
      <c r="M336" s="1">
        <v>96.742399399999996</v>
      </c>
      <c r="N336" s="1">
        <v>1.5064828610000001</v>
      </c>
      <c r="O336" s="1">
        <v>1.7511177389999999</v>
      </c>
      <c r="P336" s="1">
        <v>0</v>
      </c>
      <c r="Q336" s="2">
        <f t="shared" si="5"/>
        <v>5</v>
      </c>
      <c r="R336" s="1">
        <f t="shared" si="6"/>
        <v>0.39878606799999827</v>
      </c>
      <c r="S336" s="1">
        <f t="shared" si="7"/>
        <v>0.58770947399999895</v>
      </c>
      <c r="T336" s="1">
        <f t="shared" si="8"/>
        <v>0.12300901600000032</v>
      </c>
      <c r="U336" s="1">
        <f t="shared" si="9"/>
        <v>89</v>
      </c>
    </row>
    <row r="337" spans="1:21">
      <c r="A337" s="1" t="s">
        <v>203</v>
      </c>
      <c r="B337" s="1">
        <v>2020</v>
      </c>
      <c r="C337" s="1">
        <v>4033.9628910000001</v>
      </c>
      <c r="D337" s="1">
        <v>42.849002839999997</v>
      </c>
      <c r="E337" s="1">
        <v>90.569962239999995</v>
      </c>
      <c r="F337" s="1">
        <v>1.519776762</v>
      </c>
      <c r="G337" s="1">
        <v>7.910260997</v>
      </c>
      <c r="H337" s="1">
        <v>0</v>
      </c>
      <c r="I337" s="1">
        <v>85.481038119999994</v>
      </c>
      <c r="J337" s="1">
        <v>1.52256302</v>
      </c>
      <c r="K337" s="1">
        <v>12.996398859999999</v>
      </c>
      <c r="L337" s="1">
        <v>0</v>
      </c>
      <c r="M337" s="1">
        <v>97.357444479999998</v>
      </c>
      <c r="N337" s="1">
        <v>1.516060408</v>
      </c>
      <c r="O337" s="1">
        <v>1.1264951110000001</v>
      </c>
      <c r="P337" s="1">
        <v>0</v>
      </c>
      <c r="Q337" s="2" t="str">
        <f t="shared" si="5"/>
        <v/>
      </c>
      <c r="R337" s="1" t="str">
        <f t="shared" si="6"/>
        <v/>
      </c>
      <c r="S337" s="1" t="str">
        <f t="shared" si="7"/>
        <v/>
      </c>
      <c r="T337" s="1" t="str">
        <f t="shared" si="8"/>
        <v/>
      </c>
      <c r="U337" s="1">
        <f t="shared" si="9"/>
        <v>91</v>
      </c>
    </row>
    <row r="338" spans="1:21">
      <c r="A338" s="1" t="s">
        <v>204</v>
      </c>
      <c r="B338" s="1">
        <v>2015</v>
      </c>
      <c r="C338" s="1">
        <v>863.35900879999997</v>
      </c>
      <c r="D338" s="1">
        <v>99.339004520000003</v>
      </c>
      <c r="E338" s="1">
        <v>99.911530189999993</v>
      </c>
      <c r="F338" s="1">
        <v>0</v>
      </c>
      <c r="G338" s="1">
        <v>8.8469814100000002E-2</v>
      </c>
      <c r="H338" s="1">
        <v>0</v>
      </c>
      <c r="I338" s="1" t="s">
        <v>272</v>
      </c>
      <c r="J338" s="1" t="s">
        <v>272</v>
      </c>
      <c r="K338" s="1" t="s">
        <v>272</v>
      </c>
      <c r="L338" s="1" t="s">
        <v>272</v>
      </c>
      <c r="M338" s="1" t="s">
        <v>272</v>
      </c>
      <c r="N338" s="1" t="s">
        <v>272</v>
      </c>
      <c r="O338" s="1" t="s">
        <v>272</v>
      </c>
      <c r="P338" s="1" t="s">
        <v>272</v>
      </c>
      <c r="Q338" s="2">
        <f t="shared" si="5"/>
        <v>5</v>
      </c>
      <c r="R338" s="1">
        <f t="shared" si="6"/>
        <v>1.7693962000001305E-2</v>
      </c>
      <c r="S338" s="1" t="str">
        <f t="shared" si="7"/>
        <v>null</v>
      </c>
      <c r="T338" s="1" t="str">
        <f t="shared" si="8"/>
        <v>null</v>
      </c>
      <c r="U338" s="1">
        <f t="shared" si="9"/>
        <v>100</v>
      </c>
    </row>
    <row r="339" spans="1:21">
      <c r="A339" s="1" t="s">
        <v>204</v>
      </c>
      <c r="B339" s="1">
        <v>2020</v>
      </c>
      <c r="C339" s="1">
        <v>895.30798340000001</v>
      </c>
      <c r="D339" s="1">
        <v>99.659004210000006</v>
      </c>
      <c r="E339" s="1">
        <v>100</v>
      </c>
      <c r="F339" s="1">
        <v>0</v>
      </c>
      <c r="G339" s="1">
        <v>0</v>
      </c>
      <c r="H339" s="1">
        <v>0</v>
      </c>
      <c r="I339" s="1" t="s">
        <v>272</v>
      </c>
      <c r="J339" s="1" t="s">
        <v>272</v>
      </c>
      <c r="K339" s="1" t="s">
        <v>272</v>
      </c>
      <c r="L339" s="1" t="s">
        <v>272</v>
      </c>
      <c r="M339" s="1" t="s">
        <v>272</v>
      </c>
      <c r="N339" s="1" t="s">
        <v>272</v>
      </c>
      <c r="O339" s="1" t="s">
        <v>272</v>
      </c>
      <c r="P339" s="1" t="s">
        <v>272</v>
      </c>
      <c r="Q339" s="2" t="str">
        <f t="shared" si="5"/>
        <v/>
      </c>
      <c r="R339" s="1" t="str">
        <f t="shared" si="6"/>
        <v/>
      </c>
      <c r="S339" s="1" t="str">
        <f t="shared" si="7"/>
        <v/>
      </c>
      <c r="T339" s="1" t="str">
        <f t="shared" si="8"/>
        <v/>
      </c>
      <c r="U339" s="1">
        <f t="shared" si="9"/>
        <v>100</v>
      </c>
    </row>
    <row r="340" spans="1:21">
      <c r="A340" s="1" t="s">
        <v>205</v>
      </c>
      <c r="B340" s="1">
        <v>2015</v>
      </c>
      <c r="C340" s="1">
        <v>19925.181639999999</v>
      </c>
      <c r="D340" s="1">
        <v>53.886997219999998</v>
      </c>
      <c r="E340" s="1">
        <v>100</v>
      </c>
      <c r="F340" s="1">
        <v>0</v>
      </c>
      <c r="G340" s="1">
        <v>0</v>
      </c>
      <c r="H340" s="1">
        <v>0</v>
      </c>
      <c r="I340" s="1">
        <v>100</v>
      </c>
      <c r="J340" s="1">
        <v>0</v>
      </c>
      <c r="K340" s="1">
        <v>0</v>
      </c>
      <c r="L340" s="1">
        <v>0</v>
      </c>
      <c r="M340" s="1">
        <v>100</v>
      </c>
      <c r="N340" s="1">
        <v>0</v>
      </c>
      <c r="O340" s="1">
        <v>0</v>
      </c>
      <c r="P340" s="1">
        <v>0</v>
      </c>
      <c r="Q340" s="2">
        <f t="shared" si="5"/>
        <v>5</v>
      </c>
      <c r="R340" s="1">
        <f t="shared" si="6"/>
        <v>0</v>
      </c>
      <c r="S340" s="1">
        <f t="shared" si="7"/>
        <v>0</v>
      </c>
      <c r="T340" s="1">
        <f t="shared" si="8"/>
        <v>0</v>
      </c>
      <c r="U340" s="1">
        <f t="shared" si="9"/>
        <v>100</v>
      </c>
    </row>
    <row r="341" spans="1:21">
      <c r="A341" s="1" t="s">
        <v>205</v>
      </c>
      <c r="B341" s="1">
        <v>2020</v>
      </c>
      <c r="C341" s="1">
        <v>19237.681639999999</v>
      </c>
      <c r="D341" s="1">
        <v>54.194000240000001</v>
      </c>
      <c r="E341" s="1">
        <v>100</v>
      </c>
      <c r="F341" s="1">
        <v>0</v>
      </c>
      <c r="G341" s="1">
        <v>0</v>
      </c>
      <c r="H341" s="1">
        <v>0</v>
      </c>
      <c r="I341" s="1">
        <v>100</v>
      </c>
      <c r="J341" s="1">
        <v>0</v>
      </c>
      <c r="K341" s="1">
        <v>0</v>
      </c>
      <c r="L341" s="1">
        <v>0</v>
      </c>
      <c r="M341" s="1">
        <v>100</v>
      </c>
      <c r="N341" s="1">
        <v>0</v>
      </c>
      <c r="O341" s="1">
        <v>0</v>
      </c>
      <c r="P341" s="1">
        <v>0</v>
      </c>
      <c r="Q341" s="2" t="str">
        <f t="shared" si="5"/>
        <v/>
      </c>
      <c r="R341" s="1" t="str">
        <f t="shared" si="6"/>
        <v/>
      </c>
      <c r="S341" s="1" t="str">
        <f t="shared" si="7"/>
        <v/>
      </c>
      <c r="T341" s="1" t="str">
        <f t="shared" si="8"/>
        <v/>
      </c>
      <c r="U341" s="1">
        <f t="shared" si="9"/>
        <v>100</v>
      </c>
    </row>
    <row r="342" spans="1:21">
      <c r="A342" s="1" t="s">
        <v>206</v>
      </c>
      <c r="B342" s="1">
        <v>2015</v>
      </c>
      <c r="C342" s="1">
        <v>144985.0625</v>
      </c>
      <c r="D342" s="1">
        <v>74.049995420000002</v>
      </c>
      <c r="E342" s="1">
        <v>96.527155429999993</v>
      </c>
      <c r="F342" s="1">
        <v>0.62448653440000002</v>
      </c>
      <c r="G342" s="1">
        <v>2.848358036</v>
      </c>
      <c r="H342" s="1" t="s">
        <v>272</v>
      </c>
      <c r="I342" s="1">
        <v>90.110109010000002</v>
      </c>
      <c r="J342" s="1">
        <v>1.558364042</v>
      </c>
      <c r="K342" s="1">
        <v>8.3315269460000003</v>
      </c>
      <c r="L342" s="1" t="s">
        <v>272</v>
      </c>
      <c r="M342" s="1">
        <v>98.775934890000002</v>
      </c>
      <c r="N342" s="1">
        <v>0.29721946310000003</v>
      </c>
      <c r="O342" s="1">
        <v>0.72684564200000001</v>
      </c>
      <c r="P342" s="1">
        <v>0.2</v>
      </c>
      <c r="Q342" s="2">
        <f t="shared" si="5"/>
        <v>5</v>
      </c>
      <c r="R342" s="1">
        <f t="shared" si="6"/>
        <v>9.307852800000091E-2</v>
      </c>
      <c r="S342" s="1">
        <f t="shared" si="7"/>
        <v>0.2867985900000008</v>
      </c>
      <c r="T342" s="1">
        <f t="shared" si="8"/>
        <v>1.1332944000000112E-2</v>
      </c>
      <c r="U342" s="1">
        <f t="shared" si="9"/>
        <v>97</v>
      </c>
    </row>
    <row r="343" spans="1:21">
      <c r="A343" s="1" t="s">
        <v>206</v>
      </c>
      <c r="B343" s="1">
        <v>2020</v>
      </c>
      <c r="C343" s="1">
        <v>145934.45310000001</v>
      </c>
      <c r="D343" s="1">
        <v>74.754005430000007</v>
      </c>
      <c r="E343" s="1">
        <v>96.992548069999998</v>
      </c>
      <c r="F343" s="1">
        <v>0.62199637659999996</v>
      </c>
      <c r="G343" s="1">
        <v>2.3854555500000001</v>
      </c>
      <c r="H343" s="1" t="s">
        <v>272</v>
      </c>
      <c r="I343" s="1">
        <v>91.544101960000006</v>
      </c>
      <c r="J343" s="1">
        <v>1.5831635129999999</v>
      </c>
      <c r="K343" s="1">
        <v>6.8727345309999999</v>
      </c>
      <c r="L343" s="1" t="s">
        <v>272</v>
      </c>
      <c r="M343" s="1">
        <v>98.832599610000003</v>
      </c>
      <c r="N343" s="1">
        <v>0.29738996870000001</v>
      </c>
      <c r="O343" s="1">
        <v>0.67001042359999996</v>
      </c>
      <c r="P343" s="1">
        <v>0.2</v>
      </c>
      <c r="Q343" s="2" t="str">
        <f t="shared" si="5"/>
        <v/>
      </c>
      <c r="R343" s="1" t="str">
        <f t="shared" si="6"/>
        <v/>
      </c>
      <c r="S343" s="1" t="str">
        <f t="shared" si="7"/>
        <v/>
      </c>
      <c r="T343" s="1" t="str">
        <f t="shared" si="8"/>
        <v/>
      </c>
      <c r="U343" s="1">
        <f t="shared" si="9"/>
        <v>97</v>
      </c>
    </row>
    <row r="344" spans="1:21">
      <c r="A344" s="1" t="s">
        <v>207</v>
      </c>
      <c r="B344" s="1">
        <v>2015</v>
      </c>
      <c r="C344" s="1">
        <v>11369.066409999999</v>
      </c>
      <c r="D344" s="1">
        <v>17.003999709999999</v>
      </c>
      <c r="E344" s="1">
        <v>57.121774019999997</v>
      </c>
      <c r="F344" s="1">
        <v>22.154046149999999</v>
      </c>
      <c r="G344" s="1">
        <v>13.45013172</v>
      </c>
      <c r="H344" s="1">
        <v>7.2740481099999998</v>
      </c>
      <c r="I344" s="1">
        <v>52.352709560000001</v>
      </c>
      <c r="J344" s="1">
        <v>24.60883866</v>
      </c>
      <c r="K344" s="1">
        <v>14.980603540000001</v>
      </c>
      <c r="L344" s="1">
        <v>8.0578482410000003</v>
      </c>
      <c r="M344" s="1">
        <v>80.399437379999995</v>
      </c>
      <c r="N344" s="1">
        <v>10.172282620000001</v>
      </c>
      <c r="O344" s="1">
        <v>5.9799351659999997</v>
      </c>
      <c r="P344" s="1">
        <v>3.4483448280000002</v>
      </c>
      <c r="Q344" s="2">
        <f t="shared" si="5"/>
        <v>5</v>
      </c>
      <c r="R344" s="1">
        <f t="shared" si="6"/>
        <v>0.65854542600000054</v>
      </c>
      <c r="S344" s="1">
        <f t="shared" si="7"/>
        <v>0.65795173399999951</v>
      </c>
      <c r="T344" s="1">
        <f t="shared" si="8"/>
        <v>0.52363238400000112</v>
      </c>
      <c r="U344" s="1">
        <f t="shared" si="9"/>
        <v>57</v>
      </c>
    </row>
    <row r="345" spans="1:21">
      <c r="A345" s="1" t="s">
        <v>207</v>
      </c>
      <c r="B345" s="1">
        <v>2020</v>
      </c>
      <c r="C345" s="1">
        <v>12952.208979999999</v>
      </c>
      <c r="D345" s="1">
        <v>17.432001110000002</v>
      </c>
      <c r="E345" s="1">
        <v>60.41450115</v>
      </c>
      <c r="F345" s="1">
        <v>22.3207193</v>
      </c>
      <c r="G345" s="1">
        <v>13.15480415</v>
      </c>
      <c r="H345" s="1">
        <v>4.1099754009999998</v>
      </c>
      <c r="I345" s="1">
        <v>55.642468229999999</v>
      </c>
      <c r="J345" s="1">
        <v>25.08014133</v>
      </c>
      <c r="K345" s="1">
        <v>14.778867719999999</v>
      </c>
      <c r="L345" s="1">
        <v>4.4985227139999999</v>
      </c>
      <c r="M345" s="1">
        <v>83.017599300000001</v>
      </c>
      <c r="N345" s="1">
        <v>9.2505062509999991</v>
      </c>
      <c r="O345" s="1">
        <v>5.4623030569999997</v>
      </c>
      <c r="P345" s="1">
        <v>2.2695913939999999</v>
      </c>
      <c r="Q345" s="2" t="str">
        <f t="shared" si="5"/>
        <v/>
      </c>
      <c r="R345" s="1" t="str">
        <f t="shared" si="6"/>
        <v/>
      </c>
      <c r="S345" s="1" t="str">
        <f t="shared" si="7"/>
        <v/>
      </c>
      <c r="T345" s="1" t="str">
        <f t="shared" si="8"/>
        <v/>
      </c>
      <c r="U345" s="1">
        <f t="shared" si="9"/>
        <v>60</v>
      </c>
    </row>
    <row r="346" spans="1:21">
      <c r="A346" s="1" t="s">
        <v>209</v>
      </c>
      <c r="B346" s="1">
        <v>2015</v>
      </c>
      <c r="C346" s="1">
        <v>9.6959999999999997</v>
      </c>
      <c r="D346" s="1">
        <v>100</v>
      </c>
      <c r="E346" s="1">
        <v>99.964919269999996</v>
      </c>
      <c r="F346" s="1">
        <v>0</v>
      </c>
      <c r="G346" s="1">
        <v>3.5080726299999997E-2</v>
      </c>
      <c r="H346" s="1">
        <v>0</v>
      </c>
      <c r="I346" s="1" t="s">
        <v>272</v>
      </c>
      <c r="J346" s="1" t="s">
        <v>272</v>
      </c>
      <c r="K346" s="1" t="s">
        <v>272</v>
      </c>
      <c r="L346" s="1" t="s">
        <v>272</v>
      </c>
      <c r="M346" s="1">
        <v>99.964919269999996</v>
      </c>
      <c r="N346" s="1">
        <v>0</v>
      </c>
      <c r="O346" s="1">
        <v>3.5080726299999997E-2</v>
      </c>
      <c r="P346" s="1">
        <v>0</v>
      </c>
      <c r="Q346" s="2">
        <f t="shared" si="5"/>
        <v>5</v>
      </c>
      <c r="R346" s="1">
        <f t="shared" si="6"/>
        <v>7.0161460000008448E-3</v>
      </c>
      <c r="S346" s="1" t="str">
        <f t="shared" si="7"/>
        <v>null</v>
      </c>
      <c r="T346" s="1">
        <f t="shared" si="8"/>
        <v>7.0161460000008448E-3</v>
      </c>
      <c r="U346" s="1">
        <f t="shared" si="9"/>
        <v>100</v>
      </c>
    </row>
    <row r="347" spans="1:21">
      <c r="A347" s="1" t="s">
        <v>209</v>
      </c>
      <c r="B347" s="1">
        <v>2020</v>
      </c>
      <c r="C347" s="1">
        <v>9.8849999999999998</v>
      </c>
      <c r="D347" s="1">
        <v>100</v>
      </c>
      <c r="E347" s="1">
        <v>100</v>
      </c>
      <c r="F347" s="1">
        <v>0</v>
      </c>
      <c r="G347" s="1">
        <v>0</v>
      </c>
      <c r="H347" s="1">
        <v>0</v>
      </c>
      <c r="I347" s="1" t="s">
        <v>272</v>
      </c>
      <c r="J347" s="1" t="s">
        <v>272</v>
      </c>
      <c r="K347" s="1" t="s">
        <v>272</v>
      </c>
      <c r="L347" s="1" t="s">
        <v>272</v>
      </c>
      <c r="M347" s="1">
        <v>100</v>
      </c>
      <c r="N347" s="1">
        <v>0</v>
      </c>
      <c r="O347" s="1">
        <v>0</v>
      </c>
      <c r="P347" s="1">
        <v>0</v>
      </c>
      <c r="Q347" s="2" t="str">
        <f t="shared" si="5"/>
        <v/>
      </c>
      <c r="R347" s="1" t="str">
        <f t="shared" si="6"/>
        <v/>
      </c>
      <c r="S347" s="1" t="str">
        <f t="shared" si="7"/>
        <v/>
      </c>
      <c r="T347" s="1" t="str">
        <f t="shared" si="8"/>
        <v/>
      </c>
      <c r="U347" s="1">
        <f t="shared" si="9"/>
        <v>100</v>
      </c>
    </row>
    <row r="348" spans="1:21">
      <c r="A348" s="1" t="s">
        <v>211</v>
      </c>
      <c r="B348" s="1">
        <v>2015</v>
      </c>
      <c r="C348" s="1">
        <v>5.8689999579999999</v>
      </c>
      <c r="D348" s="1">
        <v>39.539997100000001</v>
      </c>
      <c r="E348" s="1">
        <v>98.95</v>
      </c>
      <c r="F348" s="1">
        <v>0</v>
      </c>
      <c r="G348" s="1">
        <v>1.05</v>
      </c>
      <c r="H348" s="1">
        <v>0</v>
      </c>
      <c r="I348" s="1" t="s">
        <v>272</v>
      </c>
      <c r="J348" s="1" t="s">
        <v>272</v>
      </c>
      <c r="K348" s="1" t="s">
        <v>272</v>
      </c>
      <c r="L348" s="1" t="s">
        <v>272</v>
      </c>
      <c r="M348" s="1" t="s">
        <v>272</v>
      </c>
      <c r="N348" s="1" t="s">
        <v>272</v>
      </c>
      <c r="O348" s="1" t="s">
        <v>272</v>
      </c>
      <c r="P348" s="1" t="s">
        <v>272</v>
      </c>
      <c r="Q348" s="2">
        <f t="shared" si="5"/>
        <v>5</v>
      </c>
      <c r="R348" s="1">
        <f t="shared" si="6"/>
        <v>2.9999999999998295E-2</v>
      </c>
      <c r="S348" s="1" t="str">
        <f t="shared" si="7"/>
        <v>null</v>
      </c>
      <c r="T348" s="1" t="str">
        <f t="shared" si="8"/>
        <v>null</v>
      </c>
      <c r="U348" s="1">
        <f t="shared" si="9"/>
        <v>99</v>
      </c>
    </row>
    <row r="349" spans="1:21">
      <c r="A349" s="1" t="s">
        <v>211</v>
      </c>
      <c r="B349" s="1">
        <v>2020</v>
      </c>
      <c r="C349" s="1">
        <v>6.0710000989999999</v>
      </c>
      <c r="D349" s="1">
        <v>40.082000729999997</v>
      </c>
      <c r="E349" s="1">
        <v>99.1</v>
      </c>
      <c r="F349" s="1">
        <v>0</v>
      </c>
      <c r="G349" s="1">
        <v>0.9</v>
      </c>
      <c r="H349" s="1">
        <v>0</v>
      </c>
      <c r="I349" s="1" t="s">
        <v>272</v>
      </c>
      <c r="J349" s="1" t="s">
        <v>272</v>
      </c>
      <c r="K349" s="1" t="s">
        <v>272</v>
      </c>
      <c r="L349" s="1" t="s">
        <v>272</v>
      </c>
      <c r="M349" s="1" t="s">
        <v>272</v>
      </c>
      <c r="N349" s="1" t="s">
        <v>272</v>
      </c>
      <c r="O349" s="1" t="s">
        <v>272</v>
      </c>
      <c r="P349" s="1" t="s">
        <v>272</v>
      </c>
      <c r="Q349" s="2" t="str">
        <f t="shared" si="5"/>
        <v/>
      </c>
      <c r="R349" s="1" t="str">
        <f t="shared" si="6"/>
        <v/>
      </c>
      <c r="S349" s="1" t="str">
        <f t="shared" si="7"/>
        <v/>
      </c>
      <c r="T349" s="1" t="str">
        <f t="shared" si="8"/>
        <v/>
      </c>
      <c r="U349" s="1">
        <f t="shared" si="9"/>
        <v>99</v>
      </c>
    </row>
    <row r="350" spans="1:21">
      <c r="A350" s="1" t="s">
        <v>213</v>
      </c>
      <c r="B350" s="1">
        <v>2015</v>
      </c>
      <c r="C350" s="1">
        <v>51.203998570000003</v>
      </c>
      <c r="D350" s="1">
        <v>30.82700157</v>
      </c>
      <c r="E350" s="1">
        <v>98.611854129999998</v>
      </c>
      <c r="F350" s="1">
        <v>0</v>
      </c>
      <c r="G350" s="1">
        <v>1.3881458680000001</v>
      </c>
      <c r="H350" s="1">
        <v>0</v>
      </c>
      <c r="I350" s="1" t="s">
        <v>272</v>
      </c>
      <c r="J350" s="1" t="s">
        <v>272</v>
      </c>
      <c r="K350" s="1" t="s">
        <v>272</v>
      </c>
      <c r="L350" s="1" t="s">
        <v>272</v>
      </c>
      <c r="M350" s="1" t="s">
        <v>272</v>
      </c>
      <c r="N350" s="1" t="s">
        <v>272</v>
      </c>
      <c r="O350" s="1" t="s">
        <v>272</v>
      </c>
      <c r="P350" s="1" t="s">
        <v>272</v>
      </c>
      <c r="Q350" s="2">
        <f t="shared" si="5"/>
        <v>2</v>
      </c>
      <c r="R350" s="1">
        <f t="shared" si="6"/>
        <v>0</v>
      </c>
      <c r="S350" s="1" t="str">
        <f t="shared" si="7"/>
        <v>null</v>
      </c>
      <c r="T350" s="1" t="str">
        <f t="shared" si="8"/>
        <v>null</v>
      </c>
      <c r="U350" s="1">
        <f t="shared" si="9"/>
        <v>99</v>
      </c>
    </row>
    <row r="351" spans="1:21">
      <c r="A351" s="1" t="s">
        <v>213</v>
      </c>
      <c r="B351" s="1">
        <v>2017</v>
      </c>
      <c r="C351" s="1">
        <v>52.0359993</v>
      </c>
      <c r="D351" s="1">
        <v>30.772996899999999</v>
      </c>
      <c r="E351" s="1">
        <v>98.611854129999998</v>
      </c>
      <c r="F351" s="1">
        <v>0</v>
      </c>
      <c r="G351" s="1">
        <v>1.3881458680000001</v>
      </c>
      <c r="H351" s="1">
        <v>0</v>
      </c>
      <c r="I351" s="1" t="s">
        <v>272</v>
      </c>
      <c r="J351" s="1" t="s">
        <v>272</v>
      </c>
      <c r="K351" s="1" t="s">
        <v>272</v>
      </c>
      <c r="L351" s="1" t="s">
        <v>272</v>
      </c>
      <c r="M351" s="1" t="s">
        <v>272</v>
      </c>
      <c r="N351" s="1" t="s">
        <v>272</v>
      </c>
      <c r="O351" s="1" t="s">
        <v>272</v>
      </c>
      <c r="P351" s="1" t="s">
        <v>272</v>
      </c>
      <c r="Q351" s="2" t="str">
        <f t="shared" si="5"/>
        <v/>
      </c>
      <c r="R351" s="1" t="str">
        <f t="shared" si="6"/>
        <v/>
      </c>
      <c r="S351" s="1" t="str">
        <f t="shared" si="7"/>
        <v/>
      </c>
      <c r="T351" s="1" t="str">
        <f t="shared" si="8"/>
        <v/>
      </c>
      <c r="U351" s="1">
        <f t="shared" si="9"/>
        <v>99</v>
      </c>
    </row>
    <row r="352" spans="1:21">
      <c r="A352" s="1" t="s">
        <v>214</v>
      </c>
      <c r="B352" s="1">
        <v>2015</v>
      </c>
      <c r="C352" s="1">
        <v>179.1309967</v>
      </c>
      <c r="D352" s="1">
        <v>18.51499939</v>
      </c>
      <c r="E352" s="1">
        <v>95.568094279999997</v>
      </c>
      <c r="F352" s="1">
        <v>1.790210415</v>
      </c>
      <c r="G352" s="1">
        <v>2.6416953030000001</v>
      </c>
      <c r="H352" s="1">
        <v>0</v>
      </c>
      <c r="I352" s="1">
        <v>95.312261239999998</v>
      </c>
      <c r="J352" s="1">
        <v>1.707252381</v>
      </c>
      <c r="K352" s="1">
        <v>2.9804863780000002</v>
      </c>
      <c r="L352" s="1">
        <v>0</v>
      </c>
      <c r="M352" s="1">
        <v>96.694033180000005</v>
      </c>
      <c r="N352" s="1">
        <v>2.1553111029999998</v>
      </c>
      <c r="O352" s="1">
        <v>1.1506557129999999</v>
      </c>
      <c r="P352" s="1">
        <v>0</v>
      </c>
      <c r="Q352" s="2">
        <f t="shared" si="5"/>
        <v>5</v>
      </c>
      <c r="R352" s="1">
        <f t="shared" si="6"/>
        <v>0.26395005800000038</v>
      </c>
      <c r="S352" s="1">
        <f t="shared" si="7"/>
        <v>0.30035251799999968</v>
      </c>
      <c r="T352" s="1">
        <f t="shared" si="8"/>
        <v>0.10235780200000022</v>
      </c>
      <c r="U352" s="1">
        <f t="shared" si="9"/>
        <v>96</v>
      </c>
    </row>
    <row r="353" spans="1:21">
      <c r="A353" s="1" t="s">
        <v>214</v>
      </c>
      <c r="B353" s="1">
        <v>2020</v>
      </c>
      <c r="C353" s="1">
        <v>183.62899780000001</v>
      </c>
      <c r="D353" s="1">
        <v>18.8409996</v>
      </c>
      <c r="E353" s="1">
        <v>96.887844569999999</v>
      </c>
      <c r="F353" s="1">
        <v>1.815652166</v>
      </c>
      <c r="G353" s="1">
        <v>1.296503269</v>
      </c>
      <c r="H353" s="1">
        <v>0</v>
      </c>
      <c r="I353" s="1">
        <v>96.814023829999996</v>
      </c>
      <c r="J353" s="1">
        <v>1.7341522549999999</v>
      </c>
      <c r="K353" s="1">
        <v>1.4518239180000001</v>
      </c>
      <c r="L353" s="1">
        <v>0</v>
      </c>
      <c r="M353" s="1">
        <v>97.205822190000006</v>
      </c>
      <c r="N353" s="1">
        <v>2.166718886</v>
      </c>
      <c r="O353" s="1">
        <v>0.6274589237</v>
      </c>
      <c r="P353" s="1">
        <v>0</v>
      </c>
      <c r="Q353" s="2" t="str">
        <f t="shared" si="5"/>
        <v/>
      </c>
      <c r="R353" s="1" t="str">
        <f t="shared" si="6"/>
        <v/>
      </c>
      <c r="S353" s="1" t="str">
        <f t="shared" si="7"/>
        <v/>
      </c>
      <c r="T353" s="1" t="str">
        <f t="shared" si="8"/>
        <v/>
      </c>
      <c r="U353" s="1">
        <f t="shared" si="9"/>
        <v>97</v>
      </c>
    </row>
    <row r="354" spans="1:21">
      <c r="A354" s="1" t="s">
        <v>215</v>
      </c>
      <c r="B354" s="1">
        <v>2015</v>
      </c>
      <c r="C354" s="1">
        <v>35.865000000000002</v>
      </c>
      <c r="D354" s="1">
        <v>100</v>
      </c>
      <c r="E354" s="1">
        <v>99.999774200000004</v>
      </c>
      <c r="F354" s="1">
        <v>0</v>
      </c>
      <c r="G354" s="1">
        <v>2.2580388819999999E-4</v>
      </c>
      <c r="H354" s="1">
        <v>0</v>
      </c>
      <c r="I354" s="1" t="s">
        <v>272</v>
      </c>
      <c r="J354" s="1" t="s">
        <v>272</v>
      </c>
      <c r="K354" s="1" t="s">
        <v>272</v>
      </c>
      <c r="L354" s="1" t="s">
        <v>272</v>
      </c>
      <c r="M354" s="1">
        <v>99.999774200000004</v>
      </c>
      <c r="N354" s="1">
        <v>0</v>
      </c>
      <c r="O354" s="1">
        <v>2.2580388819999999E-4</v>
      </c>
      <c r="P354" s="1">
        <v>0</v>
      </c>
      <c r="Q354" s="2">
        <f t="shared" si="5"/>
        <v>5</v>
      </c>
      <c r="R354" s="1">
        <f t="shared" si="6"/>
        <v>-1.0056200000008175E-4</v>
      </c>
      <c r="S354" s="1" t="str">
        <f t="shared" si="7"/>
        <v>null</v>
      </c>
      <c r="T354" s="1">
        <f t="shared" si="8"/>
        <v>-1.0056200000008175E-4</v>
      </c>
      <c r="U354" s="1">
        <f t="shared" si="9"/>
        <v>100</v>
      </c>
    </row>
    <row r="355" spans="1:21">
      <c r="A355" s="1" t="s">
        <v>215</v>
      </c>
      <c r="B355" s="1">
        <v>2020</v>
      </c>
      <c r="C355" s="1">
        <v>38.658999999999999</v>
      </c>
      <c r="D355" s="1">
        <v>100</v>
      </c>
      <c r="E355" s="1">
        <v>99.999271390000004</v>
      </c>
      <c r="F355" s="1">
        <v>0</v>
      </c>
      <c r="G355" s="1">
        <v>7.2861055070000001E-4</v>
      </c>
      <c r="H355" s="1">
        <v>0</v>
      </c>
      <c r="I355" s="1" t="s">
        <v>272</v>
      </c>
      <c r="J355" s="1" t="s">
        <v>272</v>
      </c>
      <c r="K355" s="1" t="s">
        <v>272</v>
      </c>
      <c r="L355" s="1" t="s">
        <v>272</v>
      </c>
      <c r="M355" s="1">
        <v>99.999271390000004</v>
      </c>
      <c r="N355" s="1">
        <v>0</v>
      </c>
      <c r="O355" s="1">
        <v>7.2861055070000001E-4</v>
      </c>
      <c r="P355" s="1">
        <v>0</v>
      </c>
      <c r="Q355" s="2" t="str">
        <f t="shared" si="5"/>
        <v/>
      </c>
      <c r="R355" s="1" t="str">
        <f t="shared" si="6"/>
        <v/>
      </c>
      <c r="S355" s="1" t="str">
        <f t="shared" si="7"/>
        <v/>
      </c>
      <c r="T355" s="1" t="str">
        <f t="shared" si="8"/>
        <v/>
      </c>
      <c r="U355" s="1">
        <f t="shared" si="9"/>
        <v>100</v>
      </c>
    </row>
    <row r="356" spans="1:21">
      <c r="A356" s="1" t="s">
        <v>216</v>
      </c>
      <c r="B356" s="1">
        <v>2015</v>
      </c>
      <c r="C356" s="1">
        <v>5.9920001029999996</v>
      </c>
      <c r="D356" s="1">
        <v>89.888999940000005</v>
      </c>
      <c r="E356" s="1">
        <v>91.4</v>
      </c>
      <c r="F356" s="1">
        <v>0</v>
      </c>
      <c r="G356" s="1">
        <v>8.6</v>
      </c>
      <c r="H356" s="1">
        <v>0</v>
      </c>
      <c r="I356" s="1" t="s">
        <v>272</v>
      </c>
      <c r="J356" s="1" t="s">
        <v>272</v>
      </c>
      <c r="K356" s="1" t="s">
        <v>272</v>
      </c>
      <c r="L356" s="1" t="s">
        <v>272</v>
      </c>
      <c r="M356" s="1" t="s">
        <v>272</v>
      </c>
      <c r="N356" s="1" t="s">
        <v>272</v>
      </c>
      <c r="O356" s="1" t="s">
        <v>272</v>
      </c>
      <c r="P356" s="1" t="s">
        <v>272</v>
      </c>
      <c r="Q356" s="2">
        <f t="shared" si="5"/>
        <v>5</v>
      </c>
      <c r="R356" s="1">
        <f t="shared" si="6"/>
        <v>0</v>
      </c>
      <c r="S356" s="1" t="str">
        <f t="shared" si="7"/>
        <v>null</v>
      </c>
      <c r="T356" s="1" t="str">
        <f t="shared" si="8"/>
        <v>null</v>
      </c>
      <c r="U356" s="1">
        <f t="shared" si="9"/>
        <v>91</v>
      </c>
    </row>
    <row r="357" spans="1:21">
      <c r="A357" s="1" t="s">
        <v>216</v>
      </c>
      <c r="B357" s="1">
        <v>2020</v>
      </c>
      <c r="C357" s="1">
        <v>5.795000076</v>
      </c>
      <c r="D357" s="1">
        <v>89.96199799</v>
      </c>
      <c r="E357" s="1">
        <v>91.4</v>
      </c>
      <c r="F357" s="1">
        <v>0</v>
      </c>
      <c r="G357" s="1">
        <v>8.6</v>
      </c>
      <c r="H357" s="1">
        <v>0</v>
      </c>
      <c r="I357" s="1" t="s">
        <v>272</v>
      </c>
      <c r="J357" s="1" t="s">
        <v>272</v>
      </c>
      <c r="K357" s="1" t="s">
        <v>272</v>
      </c>
      <c r="L357" s="1" t="s">
        <v>272</v>
      </c>
      <c r="M357" s="1" t="s">
        <v>272</v>
      </c>
      <c r="N357" s="1" t="s">
        <v>272</v>
      </c>
      <c r="O357" s="1" t="s">
        <v>272</v>
      </c>
      <c r="P357" s="1" t="s">
        <v>272</v>
      </c>
      <c r="Q357" s="2" t="str">
        <f t="shared" si="5"/>
        <v/>
      </c>
      <c r="R357" s="1" t="str">
        <f t="shared" si="6"/>
        <v/>
      </c>
      <c r="S357" s="1" t="str">
        <f t="shared" si="7"/>
        <v/>
      </c>
      <c r="T357" s="1" t="str">
        <f t="shared" si="8"/>
        <v/>
      </c>
      <c r="U357" s="1">
        <f t="shared" si="9"/>
        <v>91</v>
      </c>
    </row>
    <row r="358" spans="1:21">
      <c r="A358" s="1" t="s">
        <v>217</v>
      </c>
      <c r="B358" s="1">
        <v>2015</v>
      </c>
      <c r="C358" s="1">
        <v>109.13500209999999</v>
      </c>
      <c r="D358" s="1">
        <v>50.963996889999997</v>
      </c>
      <c r="E358" s="1">
        <v>95.145219900000001</v>
      </c>
      <c r="F358" s="1">
        <v>0</v>
      </c>
      <c r="G358" s="1">
        <v>4.0700937030000004</v>
      </c>
      <c r="H358" s="1">
        <v>0.78468639699999998</v>
      </c>
      <c r="I358" s="1" t="s">
        <v>272</v>
      </c>
      <c r="J358" s="1" t="s">
        <v>272</v>
      </c>
      <c r="K358" s="1" t="s">
        <v>272</v>
      </c>
      <c r="L358" s="1" t="s">
        <v>272</v>
      </c>
      <c r="M358" s="1" t="s">
        <v>272</v>
      </c>
      <c r="N358" s="1" t="s">
        <v>272</v>
      </c>
      <c r="O358" s="1" t="s">
        <v>272</v>
      </c>
      <c r="P358" s="1" t="s">
        <v>272</v>
      </c>
      <c r="Q358" s="2">
        <f t="shared" si="5"/>
        <v>3</v>
      </c>
      <c r="R358" s="1">
        <f t="shared" si="6"/>
        <v>0</v>
      </c>
      <c r="S358" s="1" t="str">
        <f t="shared" si="7"/>
        <v>null</v>
      </c>
      <c r="T358" s="1" t="str">
        <f t="shared" si="8"/>
        <v>null</v>
      </c>
      <c r="U358" s="1">
        <f t="shared" si="9"/>
        <v>95</v>
      </c>
    </row>
    <row r="359" spans="1:21">
      <c r="A359" s="1" t="s">
        <v>217</v>
      </c>
      <c r="B359" s="1">
        <v>2018</v>
      </c>
      <c r="C359" s="1">
        <v>110.2099991</v>
      </c>
      <c r="D359" s="1">
        <v>52.197998050000002</v>
      </c>
      <c r="E359" s="1">
        <v>95.145219900000001</v>
      </c>
      <c r="F359" s="1">
        <v>0</v>
      </c>
      <c r="G359" s="1">
        <v>4.8547801000000002</v>
      </c>
      <c r="H359" s="1" t="s">
        <v>272</v>
      </c>
      <c r="I359" s="1" t="s">
        <v>272</v>
      </c>
      <c r="J359" s="1" t="s">
        <v>272</v>
      </c>
      <c r="K359" s="1" t="s">
        <v>272</v>
      </c>
      <c r="L359" s="1" t="s">
        <v>272</v>
      </c>
      <c r="M359" s="1" t="s">
        <v>272</v>
      </c>
      <c r="N359" s="1" t="s">
        <v>272</v>
      </c>
      <c r="O359" s="1" t="s">
        <v>272</v>
      </c>
      <c r="P359" s="1" t="s">
        <v>272</v>
      </c>
      <c r="Q359" s="2" t="str">
        <f t="shared" si="5"/>
        <v/>
      </c>
      <c r="R359" s="1" t="str">
        <f t="shared" si="6"/>
        <v/>
      </c>
      <c r="S359" s="1" t="str">
        <f t="shared" si="7"/>
        <v/>
      </c>
      <c r="T359" s="1" t="str">
        <f t="shared" si="8"/>
        <v/>
      </c>
      <c r="U359" s="1">
        <f t="shared" si="9"/>
        <v>95</v>
      </c>
    </row>
    <row r="360" spans="1:21">
      <c r="A360" s="1" t="s">
        <v>218</v>
      </c>
      <c r="B360" s="1">
        <v>2015</v>
      </c>
      <c r="C360" s="1">
        <v>193.5099945</v>
      </c>
      <c r="D360" s="1">
        <v>18.914001460000001</v>
      </c>
      <c r="E360" s="1">
        <v>91.321397360000006</v>
      </c>
      <c r="F360" s="1">
        <v>6.4992812960000004</v>
      </c>
      <c r="G360" s="1">
        <v>1.929815904</v>
      </c>
      <c r="H360" s="1">
        <v>0.24950544129999999</v>
      </c>
      <c r="I360" s="1">
        <v>91.386415650000004</v>
      </c>
      <c r="J360" s="1">
        <v>6.194005024</v>
      </c>
      <c r="K360" s="1">
        <v>2.1485295340000001</v>
      </c>
      <c r="L360" s="1">
        <v>0.2710497959</v>
      </c>
      <c r="M360" s="1">
        <v>91.042648679999999</v>
      </c>
      <c r="N360" s="1">
        <v>7.8080270609999998</v>
      </c>
      <c r="O360" s="1">
        <v>0.9921814015</v>
      </c>
      <c r="P360" s="1">
        <v>0.15714285710000001</v>
      </c>
      <c r="Q360" s="2">
        <f t="shared" si="5"/>
        <v>5</v>
      </c>
      <c r="R360" s="1">
        <f t="shared" si="6"/>
        <v>0.10326543799999968</v>
      </c>
      <c r="S360" s="1">
        <f t="shared" si="7"/>
        <v>7.8781444000000533E-2</v>
      </c>
      <c r="T360" s="1">
        <f t="shared" si="8"/>
        <v>0.21170826400000067</v>
      </c>
      <c r="U360" s="1">
        <f t="shared" si="9"/>
        <v>91</v>
      </c>
    </row>
    <row r="361" spans="1:21">
      <c r="A361" s="1" t="s">
        <v>218</v>
      </c>
      <c r="B361" s="1">
        <v>2020</v>
      </c>
      <c r="C361" s="1">
        <v>198.4100037</v>
      </c>
      <c r="D361" s="1">
        <v>17.888999940000001</v>
      </c>
      <c r="E361" s="1">
        <v>91.837724550000004</v>
      </c>
      <c r="F361" s="1">
        <v>6.5208999519999997</v>
      </c>
      <c r="G361" s="1">
        <v>1.4186234280000001</v>
      </c>
      <c r="H361" s="1">
        <v>0.22275206789999999</v>
      </c>
      <c r="I361" s="1">
        <v>91.780322870000006</v>
      </c>
      <c r="J361" s="1">
        <v>6.2207033389999999</v>
      </c>
      <c r="K361" s="1">
        <v>1.7276921599999999</v>
      </c>
      <c r="L361" s="1">
        <v>0.2712816327</v>
      </c>
      <c r="M361" s="1">
        <v>92.101190000000003</v>
      </c>
      <c r="N361" s="1">
        <v>7.8988100000000001</v>
      </c>
      <c r="O361" s="1">
        <v>0</v>
      </c>
      <c r="P361" s="1">
        <v>0</v>
      </c>
      <c r="Q361" s="2" t="str">
        <f t="shared" si="5"/>
        <v/>
      </c>
      <c r="R361" s="1" t="str">
        <f t="shared" si="6"/>
        <v/>
      </c>
      <c r="S361" s="1" t="str">
        <f t="shared" si="7"/>
        <v/>
      </c>
      <c r="T361" s="1" t="str">
        <f t="shared" si="8"/>
        <v/>
      </c>
      <c r="U361" s="1">
        <f t="shared" si="9"/>
        <v>92</v>
      </c>
    </row>
    <row r="362" spans="1:21">
      <c r="A362" s="1" t="s">
        <v>219</v>
      </c>
      <c r="B362" s="1">
        <v>2015</v>
      </c>
      <c r="C362" s="1">
        <v>33.270000459999999</v>
      </c>
      <c r="D362" s="1">
        <v>96.738998409999994</v>
      </c>
      <c r="E362" s="1">
        <v>100</v>
      </c>
      <c r="F362" s="1">
        <v>0</v>
      </c>
      <c r="G362" s="1">
        <v>0</v>
      </c>
      <c r="H362" s="1">
        <v>0</v>
      </c>
      <c r="I362" s="1" t="s">
        <v>272</v>
      </c>
      <c r="J362" s="1" t="s">
        <v>272</v>
      </c>
      <c r="K362" s="1" t="s">
        <v>272</v>
      </c>
      <c r="L362" s="1" t="s">
        <v>272</v>
      </c>
      <c r="M362" s="1" t="s">
        <v>272</v>
      </c>
      <c r="N362" s="1" t="s">
        <v>272</v>
      </c>
      <c r="O362" s="1" t="s">
        <v>272</v>
      </c>
      <c r="P362" s="1" t="s">
        <v>272</v>
      </c>
      <c r="Q362" s="2">
        <f t="shared" si="5"/>
        <v>5</v>
      </c>
      <c r="R362" s="1">
        <f t="shared" si="6"/>
        <v>0</v>
      </c>
      <c r="S362" s="1" t="str">
        <f t="shared" si="7"/>
        <v>null</v>
      </c>
      <c r="T362" s="1" t="str">
        <f t="shared" si="8"/>
        <v>null</v>
      </c>
      <c r="U362" s="1">
        <f t="shared" si="9"/>
        <v>100</v>
      </c>
    </row>
    <row r="363" spans="1:21">
      <c r="A363" s="1" t="s">
        <v>219</v>
      </c>
      <c r="B363" s="1">
        <v>2020</v>
      </c>
      <c r="C363" s="1">
        <v>33.937999730000001</v>
      </c>
      <c r="D363" s="1">
        <v>97.499000550000005</v>
      </c>
      <c r="E363" s="1">
        <v>100</v>
      </c>
      <c r="F363" s="1">
        <v>0</v>
      </c>
      <c r="G363" s="1">
        <v>0</v>
      </c>
      <c r="H363" s="1">
        <v>0</v>
      </c>
      <c r="I363" s="1" t="s">
        <v>272</v>
      </c>
      <c r="J363" s="1" t="s">
        <v>272</v>
      </c>
      <c r="K363" s="1" t="s">
        <v>272</v>
      </c>
      <c r="L363" s="1" t="s">
        <v>272</v>
      </c>
      <c r="M363" s="1" t="s">
        <v>272</v>
      </c>
      <c r="N363" s="1" t="s">
        <v>272</v>
      </c>
      <c r="O363" s="1" t="s">
        <v>272</v>
      </c>
      <c r="P363" s="1" t="s">
        <v>272</v>
      </c>
      <c r="Q363" s="2" t="str">
        <f t="shared" si="5"/>
        <v/>
      </c>
      <c r="R363" s="1" t="str">
        <f t="shared" si="6"/>
        <v/>
      </c>
      <c r="S363" s="1" t="str">
        <f t="shared" si="7"/>
        <v/>
      </c>
      <c r="T363" s="1" t="str">
        <f t="shared" si="8"/>
        <v/>
      </c>
      <c r="U363" s="1">
        <f t="shared" si="9"/>
        <v>100</v>
      </c>
    </row>
    <row r="364" spans="1:21">
      <c r="A364" s="1" t="s">
        <v>220</v>
      </c>
      <c r="B364" s="1">
        <v>2015</v>
      </c>
      <c r="C364" s="1">
        <v>199.43899540000001</v>
      </c>
      <c r="D364" s="1">
        <v>70.174003600000006</v>
      </c>
      <c r="E364" s="1">
        <v>77.124229790000001</v>
      </c>
      <c r="F364" s="1">
        <v>18.34430682</v>
      </c>
      <c r="G364" s="1">
        <v>1.8595771210000001</v>
      </c>
      <c r="H364" s="1">
        <v>2.6718862689999998</v>
      </c>
      <c r="I364" s="1">
        <v>71.282716640000004</v>
      </c>
      <c r="J364" s="1">
        <v>17.07304495</v>
      </c>
      <c r="K364" s="1">
        <v>4.1184792559999996</v>
      </c>
      <c r="L364" s="1">
        <v>7.5257591550000003</v>
      </c>
      <c r="M364" s="1">
        <v>79.607040999999995</v>
      </c>
      <c r="N364" s="1">
        <v>18.884629660000002</v>
      </c>
      <c r="O364" s="1">
        <v>0.89948056340000004</v>
      </c>
      <c r="P364" s="1">
        <v>0.60884877739999999</v>
      </c>
      <c r="Q364" s="2">
        <f t="shared" si="5"/>
        <v>5</v>
      </c>
      <c r="R364" s="1">
        <f t="shared" si="6"/>
        <v>0.22044507399999985</v>
      </c>
      <c r="S364" s="1">
        <f t="shared" si="7"/>
        <v>0.6035795699999994</v>
      </c>
      <c r="T364" s="1">
        <f t="shared" si="8"/>
        <v>-5.2996199999995495E-3</v>
      </c>
      <c r="U364" s="1">
        <f t="shared" si="9"/>
        <v>77</v>
      </c>
    </row>
    <row r="365" spans="1:21">
      <c r="A365" s="1" t="s">
        <v>220</v>
      </c>
      <c r="B365" s="1">
        <v>2020</v>
      </c>
      <c r="C365" s="1">
        <v>219.16099550000001</v>
      </c>
      <c r="D365" s="1">
        <v>74.354003910000003</v>
      </c>
      <c r="E365" s="1">
        <v>78.22645516</v>
      </c>
      <c r="F365" s="1">
        <v>20.237982980000002</v>
      </c>
      <c r="G365" s="1">
        <v>0.44351992839999999</v>
      </c>
      <c r="H365" s="1">
        <v>1.0920419299999999</v>
      </c>
      <c r="I365" s="1">
        <v>74.300614490000001</v>
      </c>
      <c r="J365" s="1">
        <v>19.711842579999999</v>
      </c>
      <c r="K365" s="1">
        <v>1.7294057039999999</v>
      </c>
      <c r="L365" s="1">
        <v>4.2581372279999998</v>
      </c>
      <c r="M365" s="1">
        <v>79.580542899999998</v>
      </c>
      <c r="N365" s="1">
        <v>20.419457099999999</v>
      </c>
      <c r="O365" s="1">
        <v>0</v>
      </c>
      <c r="P365" s="1">
        <v>0</v>
      </c>
      <c r="Q365" s="2" t="str">
        <f t="shared" si="5"/>
        <v/>
      </c>
      <c r="R365" s="1" t="str">
        <f t="shared" si="6"/>
        <v/>
      </c>
      <c r="S365" s="1" t="str">
        <f t="shared" si="7"/>
        <v/>
      </c>
      <c r="T365" s="1" t="str">
        <f t="shared" si="8"/>
        <v/>
      </c>
      <c r="U365" s="1">
        <f t="shared" si="9"/>
        <v>78</v>
      </c>
    </row>
    <row r="366" spans="1:21">
      <c r="A366" s="1" t="s">
        <v>221</v>
      </c>
      <c r="B366" s="1">
        <v>2015</v>
      </c>
      <c r="C366" s="1">
        <v>31717.675780000001</v>
      </c>
      <c r="D366" s="1">
        <v>83.180000309999997</v>
      </c>
      <c r="E366" s="1">
        <v>99.548026379999996</v>
      </c>
      <c r="F366" s="1">
        <v>0</v>
      </c>
      <c r="G366" s="1">
        <v>0.45197361660000002</v>
      </c>
      <c r="H366" s="1">
        <v>0</v>
      </c>
      <c r="I366" s="1" t="s">
        <v>272</v>
      </c>
      <c r="J366" s="1" t="s">
        <v>272</v>
      </c>
      <c r="K366" s="1" t="s">
        <v>272</v>
      </c>
      <c r="L366" s="1" t="s">
        <v>272</v>
      </c>
      <c r="M366" s="1" t="s">
        <v>272</v>
      </c>
      <c r="N366" s="1" t="s">
        <v>272</v>
      </c>
      <c r="O366" s="1" t="s">
        <v>272</v>
      </c>
      <c r="P366" s="1" t="s">
        <v>272</v>
      </c>
      <c r="Q366" s="2">
        <f t="shared" si="5"/>
        <v>5</v>
      </c>
      <c r="R366" s="1">
        <f t="shared" si="6"/>
        <v>9.0394724000000787E-2</v>
      </c>
      <c r="S366" s="1" t="str">
        <f t="shared" si="7"/>
        <v>null</v>
      </c>
      <c r="T366" s="1" t="str">
        <f t="shared" si="8"/>
        <v>null</v>
      </c>
      <c r="U366" s="1">
        <f t="shared" si="9"/>
        <v>100</v>
      </c>
    </row>
    <row r="367" spans="1:21">
      <c r="A367" s="1" t="s">
        <v>221</v>
      </c>
      <c r="B367" s="1">
        <v>2020</v>
      </c>
      <c r="C367" s="1">
        <v>34813.867189999997</v>
      </c>
      <c r="D367" s="1">
        <v>84.287002560000005</v>
      </c>
      <c r="E367" s="1">
        <v>100</v>
      </c>
      <c r="F367" s="1">
        <v>0</v>
      </c>
      <c r="G367" s="1">
        <v>0</v>
      </c>
      <c r="H367" s="1">
        <v>0</v>
      </c>
      <c r="I367" s="1" t="s">
        <v>272</v>
      </c>
      <c r="J367" s="1" t="s">
        <v>272</v>
      </c>
      <c r="K367" s="1" t="s">
        <v>272</v>
      </c>
      <c r="L367" s="1" t="s">
        <v>272</v>
      </c>
      <c r="M367" s="1" t="s">
        <v>272</v>
      </c>
      <c r="N367" s="1" t="s">
        <v>272</v>
      </c>
      <c r="O367" s="1" t="s">
        <v>272</v>
      </c>
      <c r="P367" s="1" t="s">
        <v>272</v>
      </c>
      <c r="Q367" s="2" t="str">
        <f t="shared" si="5"/>
        <v/>
      </c>
      <c r="R367" s="1" t="str">
        <f t="shared" si="6"/>
        <v/>
      </c>
      <c r="S367" s="1" t="str">
        <f t="shared" si="7"/>
        <v/>
      </c>
      <c r="T367" s="1" t="str">
        <f t="shared" si="8"/>
        <v/>
      </c>
      <c r="U367" s="1">
        <f t="shared" si="9"/>
        <v>100</v>
      </c>
    </row>
    <row r="368" spans="1:21">
      <c r="A368" s="1" t="s">
        <v>222</v>
      </c>
      <c r="B368" s="1">
        <v>2015</v>
      </c>
      <c r="C368" s="1">
        <v>14578.450199999999</v>
      </c>
      <c r="D368" s="1">
        <v>45.86200333</v>
      </c>
      <c r="E368" s="1">
        <v>78.602093620000005</v>
      </c>
      <c r="F368" s="1">
        <v>3.3921456349999999</v>
      </c>
      <c r="G368" s="1">
        <v>17.594913179999999</v>
      </c>
      <c r="H368" s="1">
        <v>0.41084756459999999</v>
      </c>
      <c r="I368" s="1">
        <v>65.941201559999996</v>
      </c>
      <c r="J368" s="1">
        <v>5.2534118540000003</v>
      </c>
      <c r="K368" s="1">
        <v>28.079192549999998</v>
      </c>
      <c r="L368" s="1">
        <v>0.72619403689999995</v>
      </c>
      <c r="M368" s="1">
        <v>93.547697760000005</v>
      </c>
      <c r="N368" s="1">
        <v>1.195005973</v>
      </c>
      <c r="O368" s="1">
        <v>5.2187007940000001</v>
      </c>
      <c r="P368" s="1">
        <v>3.8595473790000001E-2</v>
      </c>
      <c r="Q368" s="2">
        <f t="shared" si="5"/>
        <v>5</v>
      </c>
      <c r="R368" s="1">
        <f t="shared" si="6"/>
        <v>1.2606288339999991</v>
      </c>
      <c r="S368" s="1">
        <f t="shared" si="7"/>
        <v>1.8603453279999997</v>
      </c>
      <c r="T368" s="1">
        <f t="shared" si="8"/>
        <v>0.35480063599999878</v>
      </c>
      <c r="U368" s="1">
        <f t="shared" si="9"/>
        <v>79</v>
      </c>
    </row>
    <row r="369" spans="1:21">
      <c r="A369" s="1" t="s">
        <v>222</v>
      </c>
      <c r="B369" s="1">
        <v>2020</v>
      </c>
      <c r="C369" s="1">
        <v>16743.929690000001</v>
      </c>
      <c r="D369" s="1">
        <v>48.122001650000001</v>
      </c>
      <c r="E369" s="1">
        <v>84.905237790000001</v>
      </c>
      <c r="F369" s="1">
        <v>2.3872175090000001</v>
      </c>
      <c r="G369" s="1">
        <v>12.60781566</v>
      </c>
      <c r="H369" s="1">
        <v>9.9729040419999998E-2</v>
      </c>
      <c r="I369" s="1">
        <v>75.242928199999994</v>
      </c>
      <c r="J369" s="1">
        <v>4.052382433</v>
      </c>
      <c r="K369" s="1">
        <v>20.512451739999999</v>
      </c>
      <c r="L369" s="1">
        <v>0.1922376314</v>
      </c>
      <c r="M369" s="1">
        <v>95.321700939999999</v>
      </c>
      <c r="N369" s="1">
        <v>0.59208365669999996</v>
      </c>
      <c r="O369" s="1">
        <v>4.0862154019999997</v>
      </c>
      <c r="P369" s="1">
        <v>0</v>
      </c>
      <c r="Q369" s="2" t="str">
        <f t="shared" si="5"/>
        <v/>
      </c>
      <c r="R369" s="1" t="str">
        <f t="shared" si="6"/>
        <v/>
      </c>
      <c r="S369" s="1" t="str">
        <f t="shared" si="7"/>
        <v/>
      </c>
      <c r="T369" s="1" t="str">
        <f t="shared" si="8"/>
        <v/>
      </c>
      <c r="U369" s="1">
        <f t="shared" si="9"/>
        <v>85</v>
      </c>
    </row>
    <row r="370" spans="1:21">
      <c r="A370" s="1" t="s">
        <v>223</v>
      </c>
      <c r="B370" s="1">
        <v>2015</v>
      </c>
      <c r="C370" s="1">
        <v>8876.7773440000001</v>
      </c>
      <c r="D370" s="1">
        <v>55.695999149999999</v>
      </c>
      <c r="E370" s="1">
        <v>93.386457300000004</v>
      </c>
      <c r="F370" s="1">
        <v>6.1120960520000001</v>
      </c>
      <c r="G370" s="1">
        <v>0.48354363439999998</v>
      </c>
      <c r="H370" s="1">
        <v>1.7903015790000001E-2</v>
      </c>
      <c r="I370" s="1">
        <v>94.723529049999996</v>
      </c>
      <c r="J370" s="1">
        <v>4.6004382010000002</v>
      </c>
      <c r="K370" s="1">
        <v>0.63562326859999996</v>
      </c>
      <c r="L370" s="1">
        <v>4.0409477999999999E-2</v>
      </c>
      <c r="M370" s="1">
        <v>92.322868690000007</v>
      </c>
      <c r="N370" s="1">
        <v>7.3145611089999996</v>
      </c>
      <c r="O370" s="1">
        <v>0.36257019709999999</v>
      </c>
      <c r="P370" s="1">
        <v>0</v>
      </c>
      <c r="Q370" s="2">
        <f t="shared" si="5"/>
        <v>5</v>
      </c>
      <c r="R370" s="1">
        <f t="shared" si="6"/>
        <v>0.38181440399999927</v>
      </c>
      <c r="S370" s="1">
        <f t="shared" si="7"/>
        <v>0.22428914000000191</v>
      </c>
      <c r="T370" s="1">
        <f t="shared" si="8"/>
        <v>0.50974023999999929</v>
      </c>
      <c r="U370" s="1">
        <f t="shared" si="9"/>
        <v>93</v>
      </c>
    </row>
    <row r="371" spans="1:21">
      <c r="A371" s="1" t="s">
        <v>223</v>
      </c>
      <c r="B371" s="1">
        <v>2020</v>
      </c>
      <c r="C371" s="1">
        <v>8737.3701170000004</v>
      </c>
      <c r="D371" s="1">
        <v>56.445999149999999</v>
      </c>
      <c r="E371" s="1">
        <v>95.29552932</v>
      </c>
      <c r="F371" s="1">
        <v>4.244199279</v>
      </c>
      <c r="G371" s="1">
        <v>0.44372047780000001</v>
      </c>
      <c r="H371" s="1">
        <v>1.6550926470000001E-2</v>
      </c>
      <c r="I371" s="1">
        <v>95.844974750000006</v>
      </c>
      <c r="J371" s="1">
        <v>3.545864028</v>
      </c>
      <c r="K371" s="1">
        <v>0.57116028659999996</v>
      </c>
      <c r="L371" s="1">
        <v>3.8000931410000001E-2</v>
      </c>
      <c r="M371" s="1">
        <v>94.871569890000004</v>
      </c>
      <c r="N371" s="1">
        <v>4.7830378649999998</v>
      </c>
      <c r="O371" s="1">
        <v>0.3453922445</v>
      </c>
      <c r="P371" s="1">
        <v>0</v>
      </c>
      <c r="Q371" s="2" t="str">
        <f t="shared" si="5"/>
        <v/>
      </c>
      <c r="R371" s="1" t="str">
        <f t="shared" si="6"/>
        <v/>
      </c>
      <c r="S371" s="1" t="str">
        <f t="shared" si="7"/>
        <v/>
      </c>
      <c r="T371" s="1" t="str">
        <f t="shared" si="8"/>
        <v/>
      </c>
      <c r="U371" s="1">
        <f t="shared" si="9"/>
        <v>95</v>
      </c>
    </row>
    <row r="372" spans="1:21">
      <c r="A372" s="1" t="s">
        <v>224</v>
      </c>
      <c r="B372" s="1">
        <v>2015</v>
      </c>
      <c r="C372" s="1">
        <v>94.981002810000007</v>
      </c>
      <c r="D372" s="1">
        <v>55.400001529999997</v>
      </c>
      <c r="E372" s="1">
        <v>96.250891499999994</v>
      </c>
      <c r="F372" s="1">
        <v>0</v>
      </c>
      <c r="G372" s="1">
        <v>0</v>
      </c>
      <c r="H372" s="1">
        <v>3.7491085019999999</v>
      </c>
      <c r="I372" s="1" t="s">
        <v>272</v>
      </c>
      <c r="J372" s="1" t="s">
        <v>272</v>
      </c>
      <c r="K372" s="1" t="s">
        <v>272</v>
      </c>
      <c r="L372" s="1" t="s">
        <v>272</v>
      </c>
      <c r="M372" s="1" t="s">
        <v>272</v>
      </c>
      <c r="N372" s="1" t="s">
        <v>272</v>
      </c>
      <c r="O372" s="1" t="s">
        <v>272</v>
      </c>
      <c r="P372" s="1" t="s">
        <v>272</v>
      </c>
      <c r="Q372" s="2">
        <f t="shared" si="5"/>
        <v>4</v>
      </c>
      <c r="R372" s="1">
        <f t="shared" si="6"/>
        <v>0.15021384750000166</v>
      </c>
      <c r="S372" s="1" t="str">
        <f t="shared" si="7"/>
        <v>null</v>
      </c>
      <c r="T372" s="1" t="str">
        <f t="shared" si="8"/>
        <v>null</v>
      </c>
      <c r="U372" s="1">
        <f t="shared" si="9"/>
        <v>96</v>
      </c>
    </row>
    <row r="373" spans="1:21">
      <c r="A373" s="1" t="s">
        <v>224</v>
      </c>
      <c r="B373" s="1">
        <v>2019</v>
      </c>
      <c r="C373" s="1">
        <v>97.740997309999997</v>
      </c>
      <c r="D373" s="1">
        <v>57.119003300000003</v>
      </c>
      <c r="E373" s="1">
        <v>96.851746890000001</v>
      </c>
      <c r="F373" s="1">
        <v>0</v>
      </c>
      <c r="G373" s="1">
        <v>3.1482531090000001</v>
      </c>
      <c r="H373" s="1" t="s">
        <v>272</v>
      </c>
      <c r="I373" s="1" t="s">
        <v>272</v>
      </c>
      <c r="J373" s="1" t="s">
        <v>272</v>
      </c>
      <c r="K373" s="1" t="s">
        <v>272</v>
      </c>
      <c r="L373" s="1" t="s">
        <v>272</v>
      </c>
      <c r="M373" s="1" t="s">
        <v>272</v>
      </c>
      <c r="N373" s="1" t="s">
        <v>272</v>
      </c>
      <c r="O373" s="1" t="s">
        <v>272</v>
      </c>
      <c r="P373" s="1" t="s">
        <v>272</v>
      </c>
      <c r="Q373" s="2" t="str">
        <f t="shared" si="5"/>
        <v/>
      </c>
      <c r="R373" s="1" t="str">
        <f t="shared" si="6"/>
        <v/>
      </c>
      <c r="S373" s="1" t="str">
        <f t="shared" si="7"/>
        <v/>
      </c>
      <c r="T373" s="1" t="str">
        <f t="shared" si="8"/>
        <v/>
      </c>
      <c r="U373" s="1">
        <f t="shared" si="9"/>
        <v>97</v>
      </c>
    </row>
    <row r="374" spans="1:21">
      <c r="A374" s="1" t="s">
        <v>225</v>
      </c>
      <c r="B374" s="1">
        <v>2015</v>
      </c>
      <c r="C374" s="1">
        <v>7171.9091799999997</v>
      </c>
      <c r="D374" s="1">
        <v>40.828998570000003</v>
      </c>
      <c r="E374" s="1">
        <v>57.847465159999999</v>
      </c>
      <c r="F374" s="1">
        <v>8.1969579570000004</v>
      </c>
      <c r="G374" s="1">
        <v>15.91095456</v>
      </c>
      <c r="H374" s="1">
        <v>18.044622319999998</v>
      </c>
      <c r="I374" s="1">
        <v>45.529713839999999</v>
      </c>
      <c r="J374" s="1">
        <v>4.8404944719999996</v>
      </c>
      <c r="K374" s="1">
        <v>21.716961430000001</v>
      </c>
      <c r="L374" s="1">
        <v>27.912830270000001</v>
      </c>
      <c r="M374" s="1">
        <v>75.698837580000003</v>
      </c>
      <c r="N374" s="1">
        <v>13.06127759</v>
      </c>
      <c r="O374" s="1">
        <v>7.4966597610000001</v>
      </c>
      <c r="P374" s="1">
        <v>3.7432250680000001</v>
      </c>
      <c r="Q374" s="2">
        <f t="shared" si="5"/>
        <v>5</v>
      </c>
      <c r="R374" s="1">
        <f t="shared" si="6"/>
        <v>1.1837640919999999</v>
      </c>
      <c r="S374" s="1">
        <f t="shared" si="7"/>
        <v>1.4445977659999998</v>
      </c>
      <c r="T374" s="1">
        <f t="shared" si="8"/>
        <v>0.54256001599999881</v>
      </c>
      <c r="U374" s="1">
        <f t="shared" si="9"/>
        <v>58</v>
      </c>
    </row>
    <row r="375" spans="1:21">
      <c r="A375" s="1" t="s">
        <v>225</v>
      </c>
      <c r="B375" s="1">
        <v>2020</v>
      </c>
      <c r="C375" s="1">
        <v>7976.9848629999997</v>
      </c>
      <c r="D375" s="1">
        <v>42.923000340000002</v>
      </c>
      <c r="E375" s="1">
        <v>63.766285619999998</v>
      </c>
      <c r="F375" s="1">
        <v>9.0233163570000006</v>
      </c>
      <c r="G375" s="1">
        <v>15.5639457</v>
      </c>
      <c r="H375" s="1">
        <v>11.646452330000001</v>
      </c>
      <c r="I375" s="1">
        <v>52.752702669999998</v>
      </c>
      <c r="J375" s="1">
        <v>5.2211368890000003</v>
      </c>
      <c r="K375" s="1">
        <v>23.142949089999998</v>
      </c>
      <c r="L375" s="1">
        <v>18.88321135</v>
      </c>
      <c r="M375" s="1">
        <v>78.411637659999997</v>
      </c>
      <c r="N375" s="1">
        <v>14.079277429999999</v>
      </c>
      <c r="O375" s="1">
        <v>5.4857354369999998</v>
      </c>
      <c r="P375" s="1">
        <v>2.0233494749999998</v>
      </c>
      <c r="Q375" s="2" t="str">
        <f t="shared" si="5"/>
        <v/>
      </c>
      <c r="R375" s="1" t="str">
        <f t="shared" si="6"/>
        <v/>
      </c>
      <c r="S375" s="1" t="str">
        <f t="shared" si="7"/>
        <v/>
      </c>
      <c r="T375" s="1" t="str">
        <f t="shared" si="8"/>
        <v/>
      </c>
      <c r="U375" s="1">
        <f t="shared" si="9"/>
        <v>64</v>
      </c>
    </row>
    <row r="376" spans="1:21">
      <c r="A376" s="1" t="s">
        <v>226</v>
      </c>
      <c r="B376" s="1">
        <v>2015</v>
      </c>
      <c r="C376" s="1">
        <v>5592.1430659999996</v>
      </c>
      <c r="D376" s="1">
        <v>100</v>
      </c>
      <c r="E376" s="1">
        <v>100</v>
      </c>
      <c r="F376" s="1">
        <v>0</v>
      </c>
      <c r="G376" s="1">
        <v>0</v>
      </c>
      <c r="H376" s="1">
        <v>0</v>
      </c>
      <c r="I376" s="1" t="s">
        <v>272</v>
      </c>
      <c r="J376" s="1" t="s">
        <v>272</v>
      </c>
      <c r="K376" s="1" t="s">
        <v>272</v>
      </c>
      <c r="L376" s="1" t="s">
        <v>272</v>
      </c>
      <c r="M376" s="1">
        <v>100</v>
      </c>
      <c r="N376" s="1">
        <v>0</v>
      </c>
      <c r="O376" s="1">
        <v>0</v>
      </c>
      <c r="P376" s="1">
        <v>0</v>
      </c>
      <c r="Q376" s="2">
        <f t="shared" si="5"/>
        <v>5</v>
      </c>
      <c r="R376" s="1">
        <f t="shared" si="6"/>
        <v>0</v>
      </c>
      <c r="S376" s="1" t="str">
        <f t="shared" si="7"/>
        <v>null</v>
      </c>
      <c r="T376" s="1">
        <f t="shared" si="8"/>
        <v>0</v>
      </c>
      <c r="U376" s="1">
        <f t="shared" si="9"/>
        <v>100</v>
      </c>
    </row>
    <row r="377" spans="1:21">
      <c r="A377" s="1" t="s">
        <v>226</v>
      </c>
      <c r="B377" s="1">
        <v>2020</v>
      </c>
      <c r="C377" s="1">
        <v>5850.3427730000003</v>
      </c>
      <c r="D377" s="1">
        <v>100</v>
      </c>
      <c r="E377" s="1">
        <v>100</v>
      </c>
      <c r="F377" s="1">
        <v>0</v>
      </c>
      <c r="G377" s="1">
        <v>0</v>
      </c>
      <c r="H377" s="1">
        <v>0</v>
      </c>
      <c r="I377" s="1" t="s">
        <v>272</v>
      </c>
      <c r="J377" s="1" t="s">
        <v>272</v>
      </c>
      <c r="K377" s="1" t="s">
        <v>272</v>
      </c>
      <c r="L377" s="1" t="s">
        <v>272</v>
      </c>
      <c r="M377" s="1">
        <v>100</v>
      </c>
      <c r="N377" s="1">
        <v>0</v>
      </c>
      <c r="O377" s="1">
        <v>0</v>
      </c>
      <c r="P377" s="1">
        <v>0</v>
      </c>
      <c r="Q377" s="2" t="str">
        <f t="shared" si="5"/>
        <v/>
      </c>
      <c r="R377" s="1" t="str">
        <f t="shared" si="6"/>
        <v/>
      </c>
      <c r="S377" s="1" t="str">
        <f t="shared" si="7"/>
        <v/>
      </c>
      <c r="T377" s="1" t="str">
        <f t="shared" si="8"/>
        <v/>
      </c>
      <c r="U377" s="1">
        <f t="shared" si="9"/>
        <v>100</v>
      </c>
    </row>
    <row r="378" spans="1:21">
      <c r="A378" s="1" t="s">
        <v>227</v>
      </c>
      <c r="B378" s="1">
        <v>2015</v>
      </c>
      <c r="C378" s="1">
        <v>39.966999049999998</v>
      </c>
      <c r="D378" s="1">
        <v>100</v>
      </c>
      <c r="E378" s="1">
        <v>95.311179330000002</v>
      </c>
      <c r="F378" s="1">
        <v>0</v>
      </c>
      <c r="G378" s="1">
        <v>4.6888206700000001</v>
      </c>
      <c r="H378" s="1">
        <v>0</v>
      </c>
      <c r="I378" s="1" t="s">
        <v>272</v>
      </c>
      <c r="J378" s="1" t="s">
        <v>272</v>
      </c>
      <c r="K378" s="1" t="s">
        <v>272</v>
      </c>
      <c r="L378" s="1" t="s">
        <v>272</v>
      </c>
      <c r="M378" s="1">
        <v>95.311179330000002</v>
      </c>
      <c r="N378" s="1">
        <v>0</v>
      </c>
      <c r="O378" s="1">
        <v>4.6888206700000001</v>
      </c>
      <c r="P378" s="1">
        <v>0</v>
      </c>
      <c r="Q378" s="2">
        <f t="shared" si="5"/>
        <v>2</v>
      </c>
      <c r="R378" s="1">
        <f t="shared" si="6"/>
        <v>0</v>
      </c>
      <c r="S378" s="1" t="str">
        <f t="shared" si="7"/>
        <v>null</v>
      </c>
      <c r="T378" s="1">
        <f t="shared" si="8"/>
        <v>0</v>
      </c>
      <c r="U378" s="1">
        <f t="shared" si="9"/>
        <v>95</v>
      </c>
    </row>
    <row r="379" spans="1:21">
      <c r="A379" s="1" t="s">
        <v>227</v>
      </c>
      <c r="B379" s="1">
        <v>2017</v>
      </c>
      <c r="C379" s="1">
        <v>41.444000240000001</v>
      </c>
      <c r="D379" s="1">
        <v>100</v>
      </c>
      <c r="E379" s="1">
        <v>95.311179330000002</v>
      </c>
      <c r="F379" s="1">
        <v>0</v>
      </c>
      <c r="G379" s="1">
        <v>4.6888206700000001</v>
      </c>
      <c r="H379" s="1">
        <v>0</v>
      </c>
      <c r="I379" s="1" t="s">
        <v>272</v>
      </c>
      <c r="J379" s="1" t="s">
        <v>272</v>
      </c>
      <c r="K379" s="1" t="s">
        <v>272</v>
      </c>
      <c r="L379" s="1" t="s">
        <v>272</v>
      </c>
      <c r="M379" s="1">
        <v>95.311179330000002</v>
      </c>
      <c r="N379" s="1">
        <v>0</v>
      </c>
      <c r="O379" s="1">
        <v>4.6888206700000001</v>
      </c>
      <c r="P379" s="1">
        <v>0</v>
      </c>
      <c r="Q379" s="2" t="str">
        <f t="shared" si="5"/>
        <v/>
      </c>
      <c r="R379" s="1" t="str">
        <f t="shared" si="6"/>
        <v/>
      </c>
      <c r="S379" s="1" t="str">
        <f t="shared" si="7"/>
        <v/>
      </c>
      <c r="T379" s="1" t="str">
        <f t="shared" si="8"/>
        <v/>
      </c>
      <c r="U379" s="1">
        <f t="shared" si="9"/>
        <v>95</v>
      </c>
    </row>
    <row r="380" spans="1:21">
      <c r="A380" s="1" t="s">
        <v>229</v>
      </c>
      <c r="B380" s="1">
        <v>2015</v>
      </c>
      <c r="C380" s="1">
        <v>5435.6137699999999</v>
      </c>
      <c r="D380" s="1">
        <v>53.888999939999998</v>
      </c>
      <c r="E380" s="1">
        <v>99.787189130000002</v>
      </c>
      <c r="F380" s="1">
        <v>0.21281086739999999</v>
      </c>
      <c r="G380" s="1">
        <v>0</v>
      </c>
      <c r="H380" s="1">
        <v>0</v>
      </c>
      <c r="I380" s="1">
        <v>100</v>
      </c>
      <c r="J380" s="1">
        <v>0</v>
      </c>
      <c r="K380" s="1">
        <v>0</v>
      </c>
      <c r="L380" s="1">
        <v>0</v>
      </c>
      <c r="M380" s="1">
        <v>99.605094059999999</v>
      </c>
      <c r="N380" s="1">
        <v>0.39490593740000002</v>
      </c>
      <c r="O380" s="1">
        <v>0</v>
      </c>
      <c r="P380" s="1">
        <v>0</v>
      </c>
      <c r="Q380" s="2">
        <f t="shared" si="5"/>
        <v>5</v>
      </c>
      <c r="R380" s="1">
        <f t="shared" si="6"/>
        <v>1.018899999991163E-4</v>
      </c>
      <c r="S380" s="1">
        <f t="shared" si="7"/>
        <v>0</v>
      </c>
      <c r="T380" s="1">
        <f t="shared" si="8"/>
        <v>0</v>
      </c>
      <c r="U380" s="1">
        <f t="shared" si="9"/>
        <v>100</v>
      </c>
    </row>
    <row r="381" spans="1:21">
      <c r="A381" s="1" t="s">
        <v>229</v>
      </c>
      <c r="B381" s="1">
        <v>2020</v>
      </c>
      <c r="C381" s="1">
        <v>5459.6430659999996</v>
      </c>
      <c r="D381" s="1">
        <v>53.759998320000001</v>
      </c>
      <c r="E381" s="1">
        <v>99.787698579999997</v>
      </c>
      <c r="F381" s="1">
        <v>0.2123014241</v>
      </c>
      <c r="G381" s="1">
        <v>0</v>
      </c>
      <c r="H381" s="1">
        <v>0</v>
      </c>
      <c r="I381" s="1">
        <v>100</v>
      </c>
      <c r="J381" s="1">
        <v>0</v>
      </c>
      <c r="K381" s="1">
        <v>0</v>
      </c>
      <c r="L381" s="1">
        <v>0</v>
      </c>
      <c r="M381" s="1">
        <v>99.605094059999999</v>
      </c>
      <c r="N381" s="1">
        <v>0.39490593740000002</v>
      </c>
      <c r="O381" s="1">
        <v>0</v>
      </c>
      <c r="P381" s="1">
        <v>0</v>
      </c>
      <c r="Q381" s="2" t="str">
        <f t="shared" si="5"/>
        <v/>
      </c>
      <c r="R381" s="1" t="str">
        <f t="shared" si="6"/>
        <v/>
      </c>
      <c r="S381" s="1" t="str">
        <f t="shared" si="7"/>
        <v/>
      </c>
      <c r="T381" s="1" t="str">
        <f t="shared" si="8"/>
        <v/>
      </c>
      <c r="U381" s="1">
        <f t="shared" si="9"/>
        <v>100</v>
      </c>
    </row>
    <row r="382" spans="1:21">
      <c r="A382" s="1" t="s">
        <v>230</v>
      </c>
      <c r="B382" s="1">
        <v>2015</v>
      </c>
      <c r="C382" s="1">
        <v>2071.1989749999998</v>
      </c>
      <c r="D382" s="1">
        <v>53.78100586</v>
      </c>
      <c r="E382" s="1">
        <v>99.5</v>
      </c>
      <c r="F382" s="1">
        <v>0</v>
      </c>
      <c r="G382" s="1">
        <v>0.5</v>
      </c>
      <c r="H382" s="1">
        <v>0</v>
      </c>
      <c r="I382" s="1" t="s">
        <v>272</v>
      </c>
      <c r="J382" s="1" t="s">
        <v>272</v>
      </c>
      <c r="K382" s="1" t="s">
        <v>272</v>
      </c>
      <c r="L382" s="1" t="s">
        <v>272</v>
      </c>
      <c r="M382" s="1" t="s">
        <v>272</v>
      </c>
      <c r="N382" s="1" t="s">
        <v>272</v>
      </c>
      <c r="O382" s="1" t="s">
        <v>272</v>
      </c>
      <c r="P382" s="1" t="s">
        <v>272</v>
      </c>
      <c r="Q382" s="2">
        <f t="shared" si="5"/>
        <v>5</v>
      </c>
      <c r="R382" s="1">
        <f t="shared" si="6"/>
        <v>0</v>
      </c>
      <c r="S382" s="1" t="str">
        <f t="shared" si="7"/>
        <v>null</v>
      </c>
      <c r="T382" s="1" t="str">
        <f t="shared" si="8"/>
        <v>null</v>
      </c>
      <c r="U382" s="1">
        <f t="shared" si="9"/>
        <v>100</v>
      </c>
    </row>
    <row r="383" spans="1:21">
      <c r="A383" s="1" t="s">
        <v>230</v>
      </c>
      <c r="B383" s="1">
        <v>2020</v>
      </c>
      <c r="C383" s="1">
        <v>2078.931885</v>
      </c>
      <c r="D383" s="1">
        <v>55.118003850000001</v>
      </c>
      <c r="E383" s="1">
        <v>99.5</v>
      </c>
      <c r="F383" s="1">
        <v>0</v>
      </c>
      <c r="G383" s="1">
        <v>0.5</v>
      </c>
      <c r="H383" s="1">
        <v>0</v>
      </c>
      <c r="I383" s="1" t="s">
        <v>272</v>
      </c>
      <c r="J383" s="1" t="s">
        <v>272</v>
      </c>
      <c r="K383" s="1" t="s">
        <v>272</v>
      </c>
      <c r="L383" s="1" t="s">
        <v>272</v>
      </c>
      <c r="M383" s="1" t="s">
        <v>272</v>
      </c>
      <c r="N383" s="1" t="s">
        <v>272</v>
      </c>
      <c r="O383" s="1" t="s">
        <v>272</v>
      </c>
      <c r="P383" s="1" t="s">
        <v>272</v>
      </c>
      <c r="Q383" s="2" t="str">
        <f t="shared" si="5"/>
        <v/>
      </c>
      <c r="R383" s="1" t="str">
        <f t="shared" si="6"/>
        <v/>
      </c>
      <c r="S383" s="1" t="str">
        <f t="shared" si="7"/>
        <v/>
      </c>
      <c r="T383" s="1" t="str">
        <f t="shared" si="8"/>
        <v/>
      </c>
      <c r="U383" s="1">
        <f t="shared" si="9"/>
        <v>100</v>
      </c>
    </row>
    <row r="384" spans="1:21">
      <c r="A384" s="1" t="s">
        <v>231</v>
      </c>
      <c r="B384" s="1">
        <v>2015</v>
      </c>
      <c r="C384" s="1">
        <v>603.13299559999996</v>
      </c>
      <c r="D384" s="1">
        <v>22.359998699999998</v>
      </c>
      <c r="E384" s="1">
        <v>69.329918890000002</v>
      </c>
      <c r="F384" s="1">
        <v>5.7052676340000001</v>
      </c>
      <c r="G384" s="1">
        <v>18.988981249999998</v>
      </c>
      <c r="H384" s="1">
        <v>5.9758322210000001</v>
      </c>
      <c r="I384" s="1">
        <v>63.012138190000002</v>
      </c>
      <c r="J384" s="1">
        <v>6.3384682029999997</v>
      </c>
      <c r="K384" s="1">
        <v>23.284595639999999</v>
      </c>
      <c r="L384" s="1">
        <v>7.3647979660000003</v>
      </c>
      <c r="M384" s="1">
        <v>91.266972050000007</v>
      </c>
      <c r="N384" s="1">
        <v>3.5066230169999999</v>
      </c>
      <c r="O384" s="1">
        <v>4.0734396070000001</v>
      </c>
      <c r="P384" s="1">
        <v>1.1529653280000001</v>
      </c>
      <c r="Q384" s="2">
        <f t="shared" si="5"/>
        <v>5</v>
      </c>
      <c r="R384" s="1">
        <f t="shared" si="6"/>
        <v>-0.40577867000000084</v>
      </c>
      <c r="S384" s="1">
        <f t="shared" si="7"/>
        <v>-0.72137414000000033</v>
      </c>
      <c r="T384" s="1">
        <f t="shared" si="8"/>
        <v>2.8760967999997434E-2</v>
      </c>
      <c r="U384" s="1">
        <f t="shared" si="9"/>
        <v>69</v>
      </c>
    </row>
    <row r="385" spans="1:21">
      <c r="A385" s="1" t="s">
        <v>231</v>
      </c>
      <c r="B385" s="1">
        <v>2020</v>
      </c>
      <c r="C385" s="1">
        <v>686.87799070000005</v>
      </c>
      <c r="D385" s="1">
        <v>24.670000080000001</v>
      </c>
      <c r="E385" s="1">
        <v>67.301025539999998</v>
      </c>
      <c r="F385" s="1">
        <v>5.79547831</v>
      </c>
      <c r="G385" s="1">
        <v>21.267843129999999</v>
      </c>
      <c r="H385" s="1">
        <v>5.6356530249999999</v>
      </c>
      <c r="I385" s="1">
        <v>59.40526749</v>
      </c>
      <c r="J385" s="1">
        <v>6.5285236490000003</v>
      </c>
      <c r="K385" s="1">
        <v>26.955911</v>
      </c>
      <c r="L385" s="1">
        <v>7.1102978569999999</v>
      </c>
      <c r="M385" s="1">
        <v>91.410776889999994</v>
      </c>
      <c r="N385" s="1">
        <v>3.5571204249999999</v>
      </c>
      <c r="O385" s="1">
        <v>3.8992861369999998</v>
      </c>
      <c r="P385" s="1">
        <v>1.1328165530000001</v>
      </c>
      <c r="Q385" s="2" t="str">
        <f t="shared" si="5"/>
        <v/>
      </c>
      <c r="R385" s="1" t="str">
        <f t="shared" si="6"/>
        <v/>
      </c>
      <c r="S385" s="1" t="str">
        <f t="shared" si="7"/>
        <v/>
      </c>
      <c r="T385" s="1" t="str">
        <f t="shared" si="8"/>
        <v/>
      </c>
      <c r="U385" s="1">
        <f t="shared" si="9"/>
        <v>67</v>
      </c>
    </row>
    <row r="386" spans="1:21">
      <c r="A386" s="1" t="s">
        <v>232</v>
      </c>
      <c r="B386" s="1">
        <v>2015</v>
      </c>
      <c r="C386" s="1">
        <v>13797.204100000001</v>
      </c>
      <c r="D386" s="1">
        <v>43.245002749999998</v>
      </c>
      <c r="E386" s="1">
        <v>48.711153680000002</v>
      </c>
      <c r="F386" s="1">
        <v>23.406187760000002</v>
      </c>
      <c r="G386" s="1">
        <v>20.154106760000001</v>
      </c>
      <c r="H386" s="1">
        <v>7.7285517889999999</v>
      </c>
      <c r="I386" s="1">
        <v>29.2281926</v>
      </c>
      <c r="J386" s="1">
        <v>28.887148530000001</v>
      </c>
      <c r="K386" s="1">
        <v>28.975788860000002</v>
      </c>
      <c r="L386" s="1">
        <v>12.908870009999999</v>
      </c>
      <c r="M386" s="1">
        <v>74.28070864</v>
      </c>
      <c r="N386" s="1">
        <v>16.212941990000001</v>
      </c>
      <c r="O386" s="1">
        <v>8.5764782830000001</v>
      </c>
      <c r="P386" s="1">
        <v>0.92987109219999997</v>
      </c>
      <c r="Q386" s="2">
        <f t="shared" si="5"/>
        <v>5</v>
      </c>
      <c r="R386" s="1">
        <f t="shared" si="6"/>
        <v>1.553163941999999</v>
      </c>
      <c r="S386" s="1">
        <f t="shared" si="7"/>
        <v>1.5695340439999996</v>
      </c>
      <c r="T386" s="1">
        <f t="shared" si="8"/>
        <v>0.96851942000000124</v>
      </c>
      <c r="U386" s="1">
        <f t="shared" si="9"/>
        <v>49</v>
      </c>
    </row>
    <row r="387" spans="1:21">
      <c r="A387" s="1" t="s">
        <v>232</v>
      </c>
      <c r="B387" s="1">
        <v>2020</v>
      </c>
      <c r="C387" s="1">
        <v>15893.21875</v>
      </c>
      <c r="D387" s="1">
        <v>46.140998840000002</v>
      </c>
      <c r="E387" s="1">
        <v>56.476973389999998</v>
      </c>
      <c r="F387" s="1">
        <v>27.704199559999999</v>
      </c>
      <c r="G387" s="1">
        <v>13.41704303</v>
      </c>
      <c r="H387" s="1">
        <v>2.4017840210000001</v>
      </c>
      <c r="I387" s="1">
        <v>37.075862819999998</v>
      </c>
      <c r="J387" s="1">
        <v>36.643249580000003</v>
      </c>
      <c r="K387" s="1">
        <v>21.821495460000001</v>
      </c>
      <c r="L387" s="1">
        <v>4.4593921429999996</v>
      </c>
      <c r="M387" s="1">
        <v>79.123305740000006</v>
      </c>
      <c r="N387" s="1">
        <v>17.269915560000001</v>
      </c>
      <c r="O387" s="1">
        <v>3.6067787029999998</v>
      </c>
      <c r="P387" s="1">
        <v>0</v>
      </c>
      <c r="Q387" s="2" t="str">
        <f t="shared" si="5"/>
        <v/>
      </c>
      <c r="R387" s="1" t="str">
        <f t="shared" si="6"/>
        <v/>
      </c>
      <c r="S387" s="1" t="str">
        <f t="shared" si="7"/>
        <v/>
      </c>
      <c r="T387" s="1" t="str">
        <f t="shared" si="8"/>
        <v/>
      </c>
      <c r="U387" s="1">
        <f t="shared" si="9"/>
        <v>56</v>
      </c>
    </row>
    <row r="388" spans="1:21">
      <c r="A388" s="1" t="s">
        <v>233</v>
      </c>
      <c r="B388" s="1">
        <v>2015</v>
      </c>
      <c r="C388" s="1">
        <v>55386.367189999997</v>
      </c>
      <c r="D388" s="1">
        <v>64.828002929999997</v>
      </c>
      <c r="E388" s="1">
        <v>91.876343869999999</v>
      </c>
      <c r="F388" s="1">
        <v>2.8031559650000002</v>
      </c>
      <c r="G388" s="1">
        <v>2.0788208039999998</v>
      </c>
      <c r="H388" s="1">
        <v>3.2416793589999999</v>
      </c>
      <c r="I388" s="1">
        <v>79.033738529999994</v>
      </c>
      <c r="J388" s="1">
        <v>6.6176674499999999</v>
      </c>
      <c r="K388" s="1">
        <v>5.1319458180000002</v>
      </c>
      <c r="L388" s="1">
        <v>9.216648202</v>
      </c>
      <c r="M388" s="1">
        <v>98.844013450000006</v>
      </c>
      <c r="N388" s="1">
        <v>0.73361828630000003</v>
      </c>
      <c r="O388" s="1">
        <v>0.42236825970000003</v>
      </c>
      <c r="P388" s="1">
        <v>0</v>
      </c>
      <c r="Q388" s="2">
        <f t="shared" si="5"/>
        <v>5</v>
      </c>
      <c r="R388" s="1">
        <f t="shared" si="6"/>
        <v>0.4017427139999995</v>
      </c>
      <c r="S388" s="1">
        <f t="shared" si="7"/>
        <v>0.85914853000000169</v>
      </c>
      <c r="T388" s="1">
        <f t="shared" si="8"/>
        <v>3.1450277999999797E-2</v>
      </c>
      <c r="U388" s="1">
        <f t="shared" si="9"/>
        <v>92</v>
      </c>
    </row>
    <row r="389" spans="1:21">
      <c r="A389" s="1" t="s">
        <v>233</v>
      </c>
      <c r="B389" s="1">
        <v>2020</v>
      </c>
      <c r="C389" s="1">
        <v>59308.691409999999</v>
      </c>
      <c r="D389" s="1">
        <v>67.354003910000003</v>
      </c>
      <c r="E389" s="1">
        <v>93.885057439999997</v>
      </c>
      <c r="F389" s="1">
        <v>2.7727361859999999</v>
      </c>
      <c r="G389" s="1">
        <v>1.410816657</v>
      </c>
      <c r="H389" s="1">
        <v>1.9313897120000001</v>
      </c>
      <c r="I389" s="1">
        <v>83.329481180000002</v>
      </c>
      <c r="J389" s="1">
        <v>6.9773593590000003</v>
      </c>
      <c r="K389" s="1">
        <v>3.7769992870000002</v>
      </c>
      <c r="L389" s="1">
        <v>5.9161601729999997</v>
      </c>
      <c r="M389" s="1">
        <v>99.001264840000005</v>
      </c>
      <c r="N389" s="1">
        <v>0.73478540299999995</v>
      </c>
      <c r="O389" s="1">
        <v>0.26394975469999998</v>
      </c>
      <c r="P389" s="1">
        <v>0</v>
      </c>
      <c r="Q389" s="2" t="str">
        <f t="shared" si="5"/>
        <v/>
      </c>
      <c r="R389" s="1" t="str">
        <f t="shared" si="6"/>
        <v/>
      </c>
      <c r="S389" s="1" t="str">
        <f t="shared" si="7"/>
        <v/>
      </c>
      <c r="T389" s="1" t="str">
        <f t="shared" si="8"/>
        <v/>
      </c>
      <c r="U389" s="1">
        <f t="shared" si="9"/>
        <v>94</v>
      </c>
    </row>
    <row r="390" spans="1:21">
      <c r="A390" s="1" t="s">
        <v>234</v>
      </c>
      <c r="B390" s="1">
        <v>2015</v>
      </c>
      <c r="C390" s="1">
        <v>10715.657230000001</v>
      </c>
      <c r="D390" s="1">
        <v>18.851999280000001</v>
      </c>
      <c r="E390" s="1">
        <v>41.247509460000003</v>
      </c>
      <c r="F390" s="1">
        <v>30.695737130000001</v>
      </c>
      <c r="G390" s="1">
        <v>13.55439295</v>
      </c>
      <c r="H390" s="1">
        <v>14.502360449999999</v>
      </c>
      <c r="I390" s="1">
        <v>36.726779729999997</v>
      </c>
      <c r="J390" s="1">
        <v>32.662799669999998</v>
      </c>
      <c r="K390" s="1">
        <v>14.310065379999999</v>
      </c>
      <c r="L390" s="1">
        <v>16.30035522</v>
      </c>
      <c r="M390" s="1">
        <v>60.70687736</v>
      </c>
      <c r="N390" s="1">
        <v>22.228553949999998</v>
      </c>
      <c r="O390" s="1">
        <v>10.301639140000001</v>
      </c>
      <c r="P390" s="1">
        <v>6.7629295520000001</v>
      </c>
      <c r="Q390" s="2">
        <f t="shared" si="5"/>
        <v>5</v>
      </c>
      <c r="R390" s="1">
        <f t="shared" si="6"/>
        <v>-5.9316458000000696E-2</v>
      </c>
      <c r="S390" s="1">
        <f t="shared" si="7"/>
        <v>-0.6266301839999997</v>
      </c>
      <c r="T390" s="1">
        <f t="shared" si="8"/>
        <v>1.8621654179999994</v>
      </c>
      <c r="U390" s="1">
        <f t="shared" si="9"/>
        <v>41</v>
      </c>
    </row>
    <row r="391" spans="1:21">
      <c r="A391" s="1" t="s">
        <v>234</v>
      </c>
      <c r="B391" s="1">
        <v>2020</v>
      </c>
      <c r="C391" s="1">
        <v>11193.728520000001</v>
      </c>
      <c r="D391" s="1">
        <v>20.198999400000002</v>
      </c>
      <c r="E391" s="1">
        <v>40.95092717</v>
      </c>
      <c r="F391" s="1">
        <v>37.426962869999997</v>
      </c>
      <c r="G391" s="1">
        <v>13.537555190000001</v>
      </c>
      <c r="H391" s="1">
        <v>8.0845547619999998</v>
      </c>
      <c r="I391" s="1">
        <v>33.593628809999998</v>
      </c>
      <c r="J391" s="1">
        <v>42.164380680000001</v>
      </c>
      <c r="K391" s="1">
        <v>14.111096160000001</v>
      </c>
      <c r="L391" s="1">
        <v>10.13089435</v>
      </c>
      <c r="M391" s="1">
        <v>70.017704449999997</v>
      </c>
      <c r="N391" s="1">
        <v>18.710660919999999</v>
      </c>
      <c r="O391" s="1">
        <v>11.27163464</v>
      </c>
      <c r="P391" s="1">
        <v>0</v>
      </c>
      <c r="Q391" s="2" t="str">
        <f t="shared" si="5"/>
        <v/>
      </c>
      <c r="R391" s="1" t="str">
        <f t="shared" si="6"/>
        <v/>
      </c>
      <c r="S391" s="1" t="str">
        <f t="shared" si="7"/>
        <v/>
      </c>
      <c r="T391" s="1" t="str">
        <f t="shared" si="8"/>
        <v/>
      </c>
      <c r="U391" s="1">
        <f t="shared" si="9"/>
        <v>41</v>
      </c>
    </row>
    <row r="392" spans="1:21">
      <c r="A392" s="1" t="s">
        <v>235</v>
      </c>
      <c r="B392" s="1">
        <v>2015</v>
      </c>
      <c r="C392" s="1">
        <v>46671.917970000002</v>
      </c>
      <c r="D392" s="1">
        <v>79.60199738</v>
      </c>
      <c r="E392" s="1">
        <v>99.926720459999999</v>
      </c>
      <c r="F392" s="1">
        <v>0</v>
      </c>
      <c r="G392" s="1">
        <v>7.3279544409999994E-2</v>
      </c>
      <c r="H392" s="1">
        <v>0</v>
      </c>
      <c r="I392" s="1">
        <v>100</v>
      </c>
      <c r="J392" s="1">
        <v>0</v>
      </c>
      <c r="K392" s="1">
        <v>0</v>
      </c>
      <c r="L392" s="1">
        <v>0</v>
      </c>
      <c r="M392" s="1">
        <v>99.907945209999994</v>
      </c>
      <c r="N392" s="1">
        <v>0</v>
      </c>
      <c r="O392" s="1">
        <v>9.2054794519999997E-2</v>
      </c>
      <c r="P392" s="1">
        <v>0</v>
      </c>
      <c r="Q392" s="2">
        <f t="shared" si="5"/>
        <v>5</v>
      </c>
      <c r="R392" s="1">
        <f t="shared" si="6"/>
        <v>-2.2156999999936033E-4</v>
      </c>
      <c r="S392" s="1">
        <f t="shared" si="7"/>
        <v>0</v>
      </c>
      <c r="T392" s="1">
        <f t="shared" si="8"/>
        <v>0</v>
      </c>
      <c r="U392" s="1">
        <f t="shared" si="9"/>
        <v>100</v>
      </c>
    </row>
    <row r="393" spans="1:21">
      <c r="A393" s="1" t="s">
        <v>235</v>
      </c>
      <c r="B393" s="1">
        <v>2020</v>
      </c>
      <c r="C393" s="1">
        <v>46754.78125</v>
      </c>
      <c r="D393" s="1">
        <v>80.809997559999999</v>
      </c>
      <c r="E393" s="1">
        <v>99.925612610000002</v>
      </c>
      <c r="F393" s="1">
        <v>0</v>
      </c>
      <c r="G393" s="1">
        <v>7.4387391420000004E-2</v>
      </c>
      <c r="H393" s="1">
        <v>0</v>
      </c>
      <c r="I393" s="1">
        <v>100</v>
      </c>
      <c r="J393" s="1">
        <v>0</v>
      </c>
      <c r="K393" s="1">
        <v>0</v>
      </c>
      <c r="L393" s="1">
        <v>0</v>
      </c>
      <c r="M393" s="1">
        <v>99.907945209999994</v>
      </c>
      <c r="N393" s="1">
        <v>0</v>
      </c>
      <c r="O393" s="1">
        <v>9.2054794519999997E-2</v>
      </c>
      <c r="P393" s="1">
        <v>0</v>
      </c>
      <c r="Q393" s="2" t="str">
        <f t="shared" si="5"/>
        <v/>
      </c>
      <c r="R393" s="1" t="str">
        <f t="shared" si="6"/>
        <v/>
      </c>
      <c r="S393" s="1" t="str">
        <f t="shared" si="7"/>
        <v/>
      </c>
      <c r="T393" s="1" t="str">
        <f t="shared" si="8"/>
        <v/>
      </c>
      <c r="U393" s="1">
        <f t="shared" si="9"/>
        <v>100</v>
      </c>
    </row>
    <row r="394" spans="1:21">
      <c r="A394" s="1" t="s">
        <v>236</v>
      </c>
      <c r="B394" s="1">
        <v>2015</v>
      </c>
      <c r="C394" s="1">
        <v>20908.023440000001</v>
      </c>
      <c r="D394" s="1">
        <v>18.256000520000001</v>
      </c>
      <c r="E394" s="1">
        <v>90.111028570000002</v>
      </c>
      <c r="F394" s="1">
        <v>0.91280129350000005</v>
      </c>
      <c r="G394" s="1">
        <v>6.7615228930000004</v>
      </c>
      <c r="H394" s="1">
        <v>2.2146472469999998</v>
      </c>
      <c r="I394" s="1">
        <v>88.257106140000005</v>
      </c>
      <c r="J394" s="1">
        <v>1.0162902579999999</v>
      </c>
      <c r="K394" s="1">
        <v>8.017356135</v>
      </c>
      <c r="L394" s="1">
        <v>2.7092474630000001</v>
      </c>
      <c r="M394" s="1">
        <v>98.412246519999997</v>
      </c>
      <c r="N394" s="1">
        <v>0.44941380939999998</v>
      </c>
      <c r="O394" s="1">
        <v>1.1383396720000001</v>
      </c>
      <c r="P394" s="1">
        <v>0</v>
      </c>
      <c r="Q394" s="2">
        <f t="shared" si="5"/>
        <v>5</v>
      </c>
      <c r="R394" s="1">
        <f t="shared" si="6"/>
        <v>0.42331015999999977</v>
      </c>
      <c r="S394" s="1">
        <f t="shared" si="7"/>
        <v>0.45606591199999968</v>
      </c>
      <c r="T394" s="1">
        <f t="shared" si="8"/>
        <v>0.23142673400000149</v>
      </c>
      <c r="U394" s="1">
        <f t="shared" si="9"/>
        <v>90</v>
      </c>
    </row>
    <row r="395" spans="1:21">
      <c r="A395" s="1" t="s">
        <v>236</v>
      </c>
      <c r="B395" s="1">
        <v>2020</v>
      </c>
      <c r="C395" s="1">
        <v>21413.25</v>
      </c>
      <c r="D395" s="1">
        <v>18.71299934</v>
      </c>
      <c r="E395" s="1">
        <v>92.227579370000001</v>
      </c>
      <c r="F395" s="1">
        <v>0.59545814949999998</v>
      </c>
      <c r="G395" s="1">
        <v>5.3489270639999997</v>
      </c>
      <c r="H395" s="1">
        <v>1.82803542</v>
      </c>
      <c r="I395" s="1">
        <v>90.537435700000003</v>
      </c>
      <c r="J395" s="1">
        <v>0.70320990380000004</v>
      </c>
      <c r="K395" s="1">
        <v>6.5104886119999996</v>
      </c>
      <c r="L395" s="1">
        <v>2.2488657820000002</v>
      </c>
      <c r="M395" s="1">
        <v>99.569380190000004</v>
      </c>
      <c r="N395" s="1">
        <v>0.12739779009999999</v>
      </c>
      <c r="O395" s="1">
        <v>0.3032220202</v>
      </c>
      <c r="P395" s="1">
        <v>0</v>
      </c>
      <c r="Q395" s="2" t="str">
        <f t="shared" si="5"/>
        <v/>
      </c>
      <c r="R395" s="1" t="str">
        <f t="shared" si="6"/>
        <v/>
      </c>
      <c r="S395" s="1" t="str">
        <f t="shared" si="7"/>
        <v/>
      </c>
      <c r="T395" s="1" t="str">
        <f t="shared" si="8"/>
        <v/>
      </c>
      <c r="U395" s="1">
        <f t="shared" si="9"/>
        <v>92</v>
      </c>
    </row>
    <row r="396" spans="1:21">
      <c r="A396" s="1" t="s">
        <v>237</v>
      </c>
      <c r="B396" s="1">
        <v>2015</v>
      </c>
      <c r="C396" s="1">
        <v>38902.949220000002</v>
      </c>
      <c r="D396" s="1">
        <v>33.894001009999997</v>
      </c>
      <c r="E396" s="1">
        <v>58.950253320000002</v>
      </c>
      <c r="F396" s="1">
        <v>26.111815979999999</v>
      </c>
      <c r="G396" s="1">
        <v>5.635847128</v>
      </c>
      <c r="H396" s="1">
        <v>9.3020835690000006</v>
      </c>
      <c r="I396" s="1">
        <v>51.707437730000002</v>
      </c>
      <c r="J396" s="1">
        <v>26.687789639999998</v>
      </c>
      <c r="K396" s="1">
        <v>8.1225675119999998</v>
      </c>
      <c r="L396" s="1">
        <v>13.482205130000001</v>
      </c>
      <c r="M396" s="1">
        <v>73.076457570000002</v>
      </c>
      <c r="N396" s="1">
        <v>24.98845154</v>
      </c>
      <c r="O396" s="1">
        <v>0.78581062170000004</v>
      </c>
      <c r="P396" s="1">
        <v>1.14928027</v>
      </c>
      <c r="Q396" s="2">
        <f t="shared" si="5"/>
        <v>5</v>
      </c>
      <c r="R396" s="1">
        <f t="shared" si="6"/>
        <v>0.29968445599999993</v>
      </c>
      <c r="S396" s="1">
        <f t="shared" si="7"/>
        <v>0.29831786799999949</v>
      </c>
      <c r="T396" s="1">
        <f t="shared" si="8"/>
        <v>0.13744039799999824</v>
      </c>
      <c r="U396" s="1">
        <f t="shared" si="9"/>
        <v>59</v>
      </c>
    </row>
    <row r="397" spans="1:21">
      <c r="A397" s="1" t="s">
        <v>237</v>
      </c>
      <c r="B397" s="1">
        <v>2020</v>
      </c>
      <c r="C397" s="1">
        <v>43849.269529999998</v>
      </c>
      <c r="D397" s="1">
        <v>35.252998349999999</v>
      </c>
      <c r="E397" s="1">
        <v>60.448675600000001</v>
      </c>
      <c r="F397" s="1">
        <v>26.670019750000002</v>
      </c>
      <c r="G397" s="1">
        <v>3.6502178750000001</v>
      </c>
      <c r="H397" s="1">
        <v>9.2310867739999996</v>
      </c>
      <c r="I397" s="1">
        <v>53.19902707</v>
      </c>
      <c r="J397" s="1">
        <v>27.457644510000002</v>
      </c>
      <c r="K397" s="1">
        <v>5.6376600080000001</v>
      </c>
      <c r="L397" s="1">
        <v>13.70566842</v>
      </c>
      <c r="M397" s="1">
        <v>73.763659559999994</v>
      </c>
      <c r="N397" s="1">
        <v>25.223439859999999</v>
      </c>
      <c r="O397" s="1">
        <v>0</v>
      </c>
      <c r="P397" s="1">
        <v>1.012900581</v>
      </c>
      <c r="Q397" s="2" t="str">
        <f t="shared" si="5"/>
        <v/>
      </c>
      <c r="R397" s="1" t="str">
        <f t="shared" si="6"/>
        <v/>
      </c>
      <c r="S397" s="1" t="str">
        <f t="shared" si="7"/>
        <v/>
      </c>
      <c r="T397" s="1" t="str">
        <f t="shared" si="8"/>
        <v/>
      </c>
      <c r="U397" s="1">
        <f t="shared" si="9"/>
        <v>60</v>
      </c>
    </row>
    <row r="398" spans="1:21">
      <c r="A398" s="1" t="s">
        <v>238</v>
      </c>
      <c r="B398" s="1">
        <v>2015</v>
      </c>
      <c r="C398" s="1">
        <v>559.13598630000001</v>
      </c>
      <c r="D398" s="1">
        <v>66.055999760000006</v>
      </c>
      <c r="E398" s="1">
        <v>95.747692169999993</v>
      </c>
      <c r="F398" s="1">
        <v>0.88280139830000004</v>
      </c>
      <c r="G398" s="1">
        <v>1.0138349760000001</v>
      </c>
      <c r="H398" s="1">
        <v>2.3556714599999999</v>
      </c>
      <c r="I398" s="1">
        <v>90.57961632</v>
      </c>
      <c r="J398" s="1">
        <v>1.2850321419999999</v>
      </c>
      <c r="K398" s="1">
        <v>1.200506574</v>
      </c>
      <c r="L398" s="1">
        <v>6.9348449649999999</v>
      </c>
      <c r="M398" s="1">
        <v>98.403399699999994</v>
      </c>
      <c r="N398" s="1">
        <v>0.67610833329999998</v>
      </c>
      <c r="O398" s="1">
        <v>0.91790651420000002</v>
      </c>
      <c r="P398" s="1">
        <v>2.585454545E-3</v>
      </c>
      <c r="Q398" s="2">
        <f t="shared" si="5"/>
        <v>5</v>
      </c>
      <c r="R398" s="1">
        <f t="shared" si="6"/>
        <v>0.44838790000000017</v>
      </c>
      <c r="S398" s="1">
        <f t="shared" si="7"/>
        <v>1.1989592619999996</v>
      </c>
      <c r="T398" s="1">
        <f t="shared" si="8"/>
        <v>6.209083399999997E-2</v>
      </c>
      <c r="U398" s="1">
        <f t="shared" si="9"/>
        <v>96</v>
      </c>
    </row>
    <row r="399" spans="1:21">
      <c r="A399" s="1" t="s">
        <v>238</v>
      </c>
      <c r="B399" s="1">
        <v>2020</v>
      </c>
      <c r="C399" s="1">
        <v>586.63397220000002</v>
      </c>
      <c r="D399" s="1">
        <v>66.149002080000002</v>
      </c>
      <c r="E399" s="1">
        <v>97.989631669999994</v>
      </c>
      <c r="F399" s="1">
        <v>1.0672469410000001</v>
      </c>
      <c r="G399" s="1">
        <v>0.37933650730000001</v>
      </c>
      <c r="H399" s="1">
        <v>0.56378488400000004</v>
      </c>
      <c r="I399" s="1">
        <v>96.574412629999998</v>
      </c>
      <c r="J399" s="1">
        <v>1.6002958599999999</v>
      </c>
      <c r="K399" s="1">
        <v>0.1598017947</v>
      </c>
      <c r="L399" s="1">
        <v>1.6654897200000001</v>
      </c>
      <c r="M399" s="1">
        <v>98.713853869999994</v>
      </c>
      <c r="N399" s="1">
        <v>0.79446523710000005</v>
      </c>
      <c r="O399" s="1">
        <v>0.49168089250000002</v>
      </c>
      <c r="P399" s="1">
        <v>0</v>
      </c>
      <c r="Q399" s="2" t="str">
        <f t="shared" si="5"/>
        <v/>
      </c>
      <c r="R399" s="1" t="str">
        <f t="shared" si="6"/>
        <v/>
      </c>
      <c r="S399" s="1" t="str">
        <f t="shared" si="7"/>
        <v/>
      </c>
      <c r="T399" s="1" t="str">
        <f t="shared" si="8"/>
        <v/>
      </c>
      <c r="U399" s="1">
        <f t="shared" si="9"/>
        <v>98</v>
      </c>
    </row>
    <row r="400" spans="1:21">
      <c r="A400" s="1" t="s">
        <v>239</v>
      </c>
      <c r="B400" s="1">
        <v>2015</v>
      </c>
      <c r="C400" s="1">
        <v>9764.9492190000001</v>
      </c>
      <c r="D400" s="1">
        <v>86.553001399999999</v>
      </c>
      <c r="E400" s="1">
        <v>99.781231030000001</v>
      </c>
      <c r="F400" s="1">
        <v>0</v>
      </c>
      <c r="G400" s="1">
        <v>0.2187689729</v>
      </c>
      <c r="H400" s="1">
        <v>0</v>
      </c>
      <c r="I400" s="1">
        <v>99.549986529999998</v>
      </c>
      <c r="J400" s="1">
        <v>0</v>
      </c>
      <c r="K400" s="1">
        <v>0.4500134657</v>
      </c>
      <c r="L400" s="1">
        <v>0</v>
      </c>
      <c r="M400" s="1">
        <v>99.817160389999998</v>
      </c>
      <c r="N400" s="1">
        <v>0</v>
      </c>
      <c r="O400" s="1">
        <v>0.18283961479999999</v>
      </c>
      <c r="P400" s="1">
        <v>0</v>
      </c>
      <c r="Q400" s="2">
        <f t="shared" si="5"/>
        <v>5</v>
      </c>
      <c r="R400" s="1">
        <f t="shared" si="6"/>
        <v>9.1273199999989171E-3</v>
      </c>
      <c r="S400" s="1">
        <f t="shared" si="7"/>
        <v>3.387764200000163E-2</v>
      </c>
      <c r="T400" s="1">
        <f t="shared" si="8"/>
        <v>4.8794579999992035E-3</v>
      </c>
      <c r="U400" s="1">
        <f t="shared" si="9"/>
        <v>100</v>
      </c>
    </row>
    <row r="401" spans="1:21">
      <c r="A401" s="1" t="s">
        <v>239</v>
      </c>
      <c r="B401" s="1">
        <v>2020</v>
      </c>
      <c r="C401" s="1">
        <v>10099.26953</v>
      </c>
      <c r="D401" s="1">
        <v>87.97699738</v>
      </c>
      <c r="E401" s="1">
        <v>99.826867629999995</v>
      </c>
      <c r="F401" s="1">
        <v>0</v>
      </c>
      <c r="G401" s="1">
        <v>0.17313237349999999</v>
      </c>
      <c r="H401" s="1">
        <v>0</v>
      </c>
      <c r="I401" s="1">
        <v>99.719374740000006</v>
      </c>
      <c r="J401" s="1">
        <v>0</v>
      </c>
      <c r="K401" s="1">
        <v>0.28062526259999998</v>
      </c>
      <c r="L401" s="1">
        <v>0</v>
      </c>
      <c r="M401" s="1">
        <v>99.841557679999994</v>
      </c>
      <c r="N401" s="1">
        <v>0</v>
      </c>
      <c r="O401" s="1">
        <v>0.1584423157</v>
      </c>
      <c r="P401" s="1">
        <v>0</v>
      </c>
      <c r="Q401" s="2" t="str">
        <f t="shared" si="5"/>
        <v/>
      </c>
      <c r="R401" s="1" t="str">
        <f t="shared" si="6"/>
        <v/>
      </c>
      <c r="S401" s="1" t="str">
        <f t="shared" si="7"/>
        <v/>
      </c>
      <c r="T401" s="1" t="str">
        <f t="shared" si="8"/>
        <v/>
      </c>
      <c r="U401" s="1">
        <f t="shared" si="9"/>
        <v>100</v>
      </c>
    </row>
    <row r="402" spans="1:21">
      <c r="A402" s="1" t="s">
        <v>240</v>
      </c>
      <c r="B402" s="1">
        <v>2015</v>
      </c>
      <c r="C402" s="1">
        <v>8296.7753909999992</v>
      </c>
      <c r="D402" s="1">
        <v>73.718002319999997</v>
      </c>
      <c r="E402" s="1">
        <v>100</v>
      </c>
      <c r="F402" s="1">
        <v>0</v>
      </c>
      <c r="G402" s="1">
        <v>0</v>
      </c>
      <c r="H402" s="1">
        <v>0</v>
      </c>
      <c r="I402" s="1">
        <v>100</v>
      </c>
      <c r="J402" s="1">
        <v>0</v>
      </c>
      <c r="K402" s="1">
        <v>0</v>
      </c>
      <c r="L402" s="1">
        <v>0</v>
      </c>
      <c r="M402" s="1">
        <v>100</v>
      </c>
      <c r="N402" s="1">
        <v>0</v>
      </c>
      <c r="O402" s="1">
        <v>0</v>
      </c>
      <c r="P402" s="1">
        <v>0</v>
      </c>
      <c r="Q402" s="2">
        <f t="shared" si="5"/>
        <v>5</v>
      </c>
      <c r="R402" s="1">
        <f t="shared" si="6"/>
        <v>5.6000000085987263E-7</v>
      </c>
      <c r="S402" s="1">
        <f t="shared" si="7"/>
        <v>0</v>
      </c>
      <c r="T402" s="1">
        <f t="shared" si="8"/>
        <v>0</v>
      </c>
      <c r="U402" s="1">
        <f t="shared" si="9"/>
        <v>100</v>
      </c>
    </row>
    <row r="403" spans="1:21">
      <c r="A403" s="1" t="s">
        <v>240</v>
      </c>
      <c r="B403" s="1">
        <v>2020</v>
      </c>
      <c r="C403" s="1">
        <v>8654.6181639999995</v>
      </c>
      <c r="D403" s="1">
        <v>73.915000919999997</v>
      </c>
      <c r="E403" s="1">
        <v>100.0000028</v>
      </c>
      <c r="F403" s="1">
        <v>0</v>
      </c>
      <c r="G403" s="1">
        <v>0</v>
      </c>
      <c r="H403" s="1">
        <v>0</v>
      </c>
      <c r="I403" s="1">
        <v>100</v>
      </c>
      <c r="J403" s="1">
        <v>0</v>
      </c>
      <c r="K403" s="1">
        <v>0</v>
      </c>
      <c r="L403" s="1">
        <v>0</v>
      </c>
      <c r="M403" s="1">
        <v>100</v>
      </c>
      <c r="N403" s="1">
        <v>0</v>
      </c>
      <c r="O403" s="1">
        <v>0</v>
      </c>
      <c r="P403" s="1">
        <v>0</v>
      </c>
      <c r="Q403" s="2" t="str">
        <f t="shared" si="5"/>
        <v/>
      </c>
      <c r="R403" s="1" t="str">
        <f t="shared" si="6"/>
        <v/>
      </c>
      <c r="S403" s="1" t="str">
        <f t="shared" si="7"/>
        <v/>
      </c>
      <c r="T403" s="1" t="str">
        <f t="shared" si="8"/>
        <v/>
      </c>
      <c r="U403" s="1">
        <f t="shared" si="9"/>
        <v>100</v>
      </c>
    </row>
    <row r="404" spans="1:21">
      <c r="A404" s="1" t="s">
        <v>241</v>
      </c>
      <c r="B404" s="1">
        <v>2015</v>
      </c>
      <c r="C404" s="1">
        <v>17997.410159999999</v>
      </c>
      <c r="D404" s="1">
        <v>52.167999270000003</v>
      </c>
      <c r="E404" s="1">
        <v>93.509611480000004</v>
      </c>
      <c r="F404" s="1">
        <v>5.9680836279999996</v>
      </c>
      <c r="G404" s="1">
        <v>0.52230488829999999</v>
      </c>
      <c r="H404" s="1">
        <v>0</v>
      </c>
      <c r="I404" s="1">
        <v>91.385705099999996</v>
      </c>
      <c r="J404" s="1">
        <v>7.8573236560000002</v>
      </c>
      <c r="K404" s="1">
        <v>0.75697124390000003</v>
      </c>
      <c r="L404" s="1">
        <v>0</v>
      </c>
      <c r="M404" s="1">
        <v>95.456987190000007</v>
      </c>
      <c r="N404" s="1">
        <v>4.2358697369999998</v>
      </c>
      <c r="O404" s="1">
        <v>0.30714306949999998</v>
      </c>
      <c r="P404" s="1">
        <v>0</v>
      </c>
      <c r="Q404" s="2">
        <f t="shared" si="5"/>
        <v>5</v>
      </c>
      <c r="R404" s="1">
        <f t="shared" si="6"/>
        <v>8.3249139999998084E-2</v>
      </c>
      <c r="S404" s="1">
        <f t="shared" si="7"/>
        <v>0.13940798000000143</v>
      </c>
      <c r="T404" s="1">
        <f t="shared" si="8"/>
        <v>-1.0364566000001218E-2</v>
      </c>
      <c r="U404" s="1">
        <f t="shared" si="9"/>
        <v>94</v>
      </c>
    </row>
    <row r="405" spans="1:21">
      <c r="A405" s="1" t="s">
        <v>241</v>
      </c>
      <c r="B405" s="1">
        <v>2020</v>
      </c>
      <c r="C405" s="1">
        <v>17500.65625</v>
      </c>
      <c r="D405" s="1">
        <v>55.475002289999999</v>
      </c>
      <c r="E405" s="1">
        <v>93.925857179999994</v>
      </c>
      <c r="F405" s="1">
        <v>5.8737307679999997</v>
      </c>
      <c r="G405" s="1">
        <v>0.20041205419999999</v>
      </c>
      <c r="H405" s="1">
        <v>0</v>
      </c>
      <c r="I405" s="1">
        <v>92.082745000000003</v>
      </c>
      <c r="J405" s="1">
        <v>7.9172549999999999</v>
      </c>
      <c r="K405" s="1">
        <v>0</v>
      </c>
      <c r="L405" s="1">
        <v>0</v>
      </c>
      <c r="M405" s="1">
        <v>95.405164360000001</v>
      </c>
      <c r="N405" s="1">
        <v>4.2335701170000002</v>
      </c>
      <c r="O405" s="1">
        <v>0.36126552499999998</v>
      </c>
      <c r="P405" s="1">
        <v>0</v>
      </c>
      <c r="Q405" s="2" t="str">
        <f t="shared" si="5"/>
        <v/>
      </c>
      <c r="R405" s="1" t="str">
        <f t="shared" si="6"/>
        <v/>
      </c>
      <c r="S405" s="1" t="str">
        <f t="shared" si="7"/>
        <v/>
      </c>
      <c r="T405" s="1" t="str">
        <f t="shared" si="8"/>
        <v/>
      </c>
      <c r="U405" s="1">
        <f t="shared" si="9"/>
        <v>94</v>
      </c>
    </row>
    <row r="406" spans="1:21">
      <c r="A406" s="1" t="s">
        <v>242</v>
      </c>
      <c r="B406" s="1">
        <v>2015</v>
      </c>
      <c r="C406" s="1">
        <v>8454.0185550000006</v>
      </c>
      <c r="D406" s="1">
        <v>26.742000579999999</v>
      </c>
      <c r="E406" s="1">
        <v>76.239495509999998</v>
      </c>
      <c r="F406" s="1">
        <v>3.050011091</v>
      </c>
      <c r="G406" s="1">
        <v>3.944733748</v>
      </c>
      <c r="H406" s="1">
        <v>16.76575965</v>
      </c>
      <c r="I406" s="1">
        <v>69.552182060000007</v>
      </c>
      <c r="J406" s="1">
        <v>3.681021887</v>
      </c>
      <c r="K406" s="1">
        <v>4.8574855120000002</v>
      </c>
      <c r="L406" s="1">
        <v>21.90931054</v>
      </c>
      <c r="M406" s="1">
        <v>94.558955389999994</v>
      </c>
      <c r="N406" s="1">
        <v>1.321396987</v>
      </c>
      <c r="O406" s="1">
        <v>1.444318955</v>
      </c>
      <c r="P406" s="1">
        <v>2.6753286630000002</v>
      </c>
      <c r="Q406" s="2">
        <f t="shared" si="5"/>
        <v>5</v>
      </c>
      <c r="R406" s="1">
        <f t="shared" si="6"/>
        <v>1.1225839019999995</v>
      </c>
      <c r="S406" s="1">
        <f t="shared" si="7"/>
        <v>1.4182834279999981</v>
      </c>
      <c r="T406" s="1">
        <f t="shared" si="8"/>
        <v>0.20433369400000173</v>
      </c>
      <c r="U406" s="1">
        <f t="shared" si="9"/>
        <v>76</v>
      </c>
    </row>
    <row r="407" spans="1:21">
      <c r="A407" s="1" t="s">
        <v>242</v>
      </c>
      <c r="B407" s="1">
        <v>2020</v>
      </c>
      <c r="C407" s="1">
        <v>9537.6416019999997</v>
      </c>
      <c r="D407" s="1">
        <v>27.505998609999999</v>
      </c>
      <c r="E407" s="1">
        <v>81.852415019999995</v>
      </c>
      <c r="F407" s="1">
        <v>2.5683639349999998</v>
      </c>
      <c r="G407" s="1">
        <v>3.4218570050000001</v>
      </c>
      <c r="H407" s="1">
        <v>12.157364039999999</v>
      </c>
      <c r="I407" s="1">
        <v>76.643599199999997</v>
      </c>
      <c r="J407" s="1">
        <v>3.2071439279999998</v>
      </c>
      <c r="K407" s="1">
        <v>4.1407069480000001</v>
      </c>
      <c r="L407" s="1">
        <v>16.00854992</v>
      </c>
      <c r="M407" s="1">
        <v>95.580623860000003</v>
      </c>
      <c r="N407" s="1">
        <v>0.88481447629999999</v>
      </c>
      <c r="O407" s="1">
        <v>1.5272683229999999</v>
      </c>
      <c r="P407" s="1">
        <v>2.0072933389999998</v>
      </c>
      <c r="Q407" s="2" t="str">
        <f t="shared" si="5"/>
        <v/>
      </c>
      <c r="R407" s="1" t="str">
        <f t="shared" si="6"/>
        <v/>
      </c>
      <c r="S407" s="1" t="str">
        <f t="shared" si="7"/>
        <v/>
      </c>
      <c r="T407" s="1" t="str">
        <f t="shared" si="8"/>
        <v/>
      </c>
      <c r="U407" s="1">
        <f t="shared" si="9"/>
        <v>82</v>
      </c>
    </row>
    <row r="408" spans="1:21">
      <c r="A408" s="1" t="s">
        <v>243</v>
      </c>
      <c r="B408" s="1">
        <v>2015</v>
      </c>
      <c r="C408" s="1">
        <v>68714.515629999994</v>
      </c>
      <c r="D408" s="1">
        <v>47.694004059999997</v>
      </c>
      <c r="E408" s="1">
        <v>99.259170580000003</v>
      </c>
      <c r="F408" s="1">
        <v>0.2176525852</v>
      </c>
      <c r="G408" s="1">
        <v>0.1822513237</v>
      </c>
      <c r="H408" s="1">
        <v>0.34092551430000001</v>
      </c>
      <c r="I408" s="1">
        <v>98.879516710000004</v>
      </c>
      <c r="J408" s="1">
        <v>0.2456716052</v>
      </c>
      <c r="K408" s="1">
        <v>0.22302119049999999</v>
      </c>
      <c r="L408" s="1">
        <v>0.65179049</v>
      </c>
      <c r="M408" s="1">
        <v>99.675536840000007</v>
      </c>
      <c r="N408" s="1">
        <v>0.1869241354</v>
      </c>
      <c r="O408" s="1">
        <v>0.1375390245</v>
      </c>
      <c r="P408" s="1">
        <v>0</v>
      </c>
      <c r="Q408" s="2">
        <f t="shared" si="5"/>
        <v>5</v>
      </c>
      <c r="R408" s="1">
        <f t="shared" si="6"/>
        <v>0.14816588399999944</v>
      </c>
      <c r="S408" s="1">
        <f t="shared" si="7"/>
        <v>0.22409665799999914</v>
      </c>
      <c r="T408" s="1">
        <f t="shared" si="8"/>
        <v>6.4892631999998687E-2</v>
      </c>
      <c r="U408" s="1">
        <f t="shared" si="9"/>
        <v>99</v>
      </c>
    </row>
    <row r="409" spans="1:21">
      <c r="A409" s="1" t="s">
        <v>243</v>
      </c>
      <c r="B409" s="1">
        <v>2020</v>
      </c>
      <c r="C409" s="1">
        <v>69799.976559999996</v>
      </c>
      <c r="D409" s="1">
        <v>51.430000309999997</v>
      </c>
      <c r="E409" s="1">
        <v>100</v>
      </c>
      <c r="F409" s="1">
        <v>0</v>
      </c>
      <c r="G409" s="1">
        <v>0</v>
      </c>
      <c r="H409" s="1">
        <v>0</v>
      </c>
      <c r="I409" s="1">
        <v>100</v>
      </c>
      <c r="J409" s="1">
        <v>0</v>
      </c>
      <c r="K409" s="1">
        <v>0</v>
      </c>
      <c r="L409" s="1">
        <v>0</v>
      </c>
      <c r="M409" s="1">
        <v>100</v>
      </c>
      <c r="N409" s="1">
        <v>0</v>
      </c>
      <c r="O409" s="1">
        <v>0</v>
      </c>
      <c r="P409" s="1">
        <v>0</v>
      </c>
      <c r="Q409" s="2" t="str">
        <f t="shared" si="5"/>
        <v/>
      </c>
      <c r="R409" s="1" t="str">
        <f t="shared" si="6"/>
        <v/>
      </c>
      <c r="S409" s="1" t="str">
        <f t="shared" si="7"/>
        <v/>
      </c>
      <c r="T409" s="1" t="str">
        <f t="shared" si="8"/>
        <v/>
      </c>
      <c r="U409" s="1">
        <f t="shared" si="9"/>
        <v>100</v>
      </c>
    </row>
    <row r="410" spans="1:21">
      <c r="A410" s="1" t="s">
        <v>244</v>
      </c>
      <c r="B410" s="1">
        <v>2015</v>
      </c>
      <c r="C410" s="1">
        <v>1196.2939449999999</v>
      </c>
      <c r="D410" s="1">
        <v>29.489999770000001</v>
      </c>
      <c r="E410" s="1">
        <v>75.250103710000005</v>
      </c>
      <c r="F410" s="1">
        <v>3.486316247</v>
      </c>
      <c r="G410" s="1">
        <v>16.460746719999999</v>
      </c>
      <c r="H410" s="1">
        <v>4.8028333229999998</v>
      </c>
      <c r="I410" s="1">
        <v>68.95938975</v>
      </c>
      <c r="J410" s="1">
        <v>4.2085077100000001</v>
      </c>
      <c r="K410" s="1">
        <v>20.19524109</v>
      </c>
      <c r="L410" s="1">
        <v>6.6368614499999996</v>
      </c>
      <c r="M410" s="1">
        <v>90.291081230000003</v>
      </c>
      <c r="N410" s="1">
        <v>1.759571234</v>
      </c>
      <c r="O410" s="1">
        <v>7.5316383</v>
      </c>
      <c r="P410" s="1">
        <v>0.41770924009999999</v>
      </c>
      <c r="Q410" s="2">
        <f t="shared" si="5"/>
        <v>5</v>
      </c>
      <c r="R410" s="1">
        <f t="shared" si="6"/>
        <v>2.0490994979999981</v>
      </c>
      <c r="S410" s="1">
        <f t="shared" si="7"/>
        <v>2.3056811740000001</v>
      </c>
      <c r="T410" s="1">
        <f t="shared" si="8"/>
        <v>1.2371753380000001</v>
      </c>
      <c r="U410" s="1">
        <f t="shared" si="9"/>
        <v>75</v>
      </c>
    </row>
    <row r="411" spans="1:21">
      <c r="A411" s="1" t="s">
        <v>244</v>
      </c>
      <c r="B411" s="1">
        <v>2020</v>
      </c>
      <c r="C411" s="1">
        <v>1318.4420170000001</v>
      </c>
      <c r="D411" s="1">
        <v>31.31999969</v>
      </c>
      <c r="E411" s="1">
        <v>85.495601199999996</v>
      </c>
      <c r="F411" s="1">
        <v>1.88586597</v>
      </c>
      <c r="G411" s="1">
        <v>8.3600293969999999</v>
      </c>
      <c r="H411" s="1">
        <v>4.2585034329999996</v>
      </c>
      <c r="I411" s="1">
        <v>80.48779562</v>
      </c>
      <c r="J411" s="1">
        <v>2.0493646750000001</v>
      </c>
      <c r="K411" s="1">
        <v>11.26233968</v>
      </c>
      <c r="L411" s="1">
        <v>6.2005000179999996</v>
      </c>
      <c r="M411" s="1">
        <v>96.476957920000004</v>
      </c>
      <c r="N411" s="1">
        <v>1.527338152</v>
      </c>
      <c r="O411" s="1">
        <v>1.995703929</v>
      </c>
      <c r="P411" s="1">
        <v>0</v>
      </c>
      <c r="Q411" s="2" t="str">
        <f t="shared" si="5"/>
        <v/>
      </c>
      <c r="R411" s="1" t="str">
        <f t="shared" si="6"/>
        <v/>
      </c>
      <c r="S411" s="1" t="str">
        <f t="shared" si="7"/>
        <v/>
      </c>
      <c r="T411" s="1" t="str">
        <f t="shared" si="8"/>
        <v/>
      </c>
      <c r="U411" s="1">
        <f t="shared" si="9"/>
        <v>85</v>
      </c>
    </row>
    <row r="412" spans="1:21">
      <c r="A412" s="1" t="s">
        <v>245</v>
      </c>
      <c r="B412" s="1">
        <v>2015</v>
      </c>
      <c r="C412" s="1">
        <v>7323.1621089999999</v>
      </c>
      <c r="D412" s="1">
        <v>40.099998470000003</v>
      </c>
      <c r="E412" s="1">
        <v>63.637126350000003</v>
      </c>
      <c r="F412" s="1">
        <v>5.6657679649999997</v>
      </c>
      <c r="G412" s="1">
        <v>17.17891539</v>
      </c>
      <c r="H412" s="1">
        <v>13.51819029</v>
      </c>
      <c r="I412" s="1">
        <v>47.242183279999999</v>
      </c>
      <c r="J412" s="1">
        <v>7.3346522839999997</v>
      </c>
      <c r="K412" s="1">
        <v>23.470036180000001</v>
      </c>
      <c r="L412" s="1">
        <v>21.953128249999999</v>
      </c>
      <c r="M412" s="1">
        <v>88.127329700000004</v>
      </c>
      <c r="N412" s="1">
        <v>3.1728458380000002</v>
      </c>
      <c r="O412" s="1">
        <v>7.7814550410000001</v>
      </c>
      <c r="P412" s="1">
        <v>0.91836941770000002</v>
      </c>
      <c r="Q412" s="2">
        <f t="shared" si="5"/>
        <v>5</v>
      </c>
      <c r="R412" s="1">
        <f t="shared" si="6"/>
        <v>0.98931874799999941</v>
      </c>
      <c r="S412" s="1">
        <f t="shared" si="7"/>
        <v>0.97507389400000055</v>
      </c>
      <c r="T412" s="1">
        <f t="shared" si="8"/>
        <v>0.49251606199999853</v>
      </c>
      <c r="U412" s="1">
        <f t="shared" si="9"/>
        <v>64</v>
      </c>
    </row>
    <row r="413" spans="1:21">
      <c r="A413" s="1" t="s">
        <v>245</v>
      </c>
      <c r="B413" s="1">
        <v>2020</v>
      </c>
      <c r="C413" s="1">
        <v>8278.7373050000006</v>
      </c>
      <c r="D413" s="1">
        <v>42.799999239999998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52.117552750000002</v>
      </c>
      <c r="J413" s="1">
        <v>8.1875420190000003</v>
      </c>
      <c r="K413" s="1">
        <v>20.7910842</v>
      </c>
      <c r="L413" s="1">
        <v>18.90382103</v>
      </c>
      <c r="M413" s="1">
        <v>90.589910009999997</v>
      </c>
      <c r="N413" s="1">
        <v>3.2293480560000001</v>
      </c>
      <c r="O413" s="1">
        <v>5.3079905280000004</v>
      </c>
      <c r="P413" s="1">
        <v>0.87275140490000003</v>
      </c>
      <c r="Q413" s="2" t="str">
        <f t="shared" si="5"/>
        <v/>
      </c>
      <c r="R413" s="1" t="str">
        <f t="shared" si="6"/>
        <v/>
      </c>
      <c r="S413" s="1" t="str">
        <f t="shared" si="7"/>
        <v/>
      </c>
      <c r="T413" s="1" t="str">
        <f t="shared" si="8"/>
        <v/>
      </c>
      <c r="U413" s="1">
        <f t="shared" si="9"/>
        <v>69</v>
      </c>
    </row>
    <row r="414" spans="1:21">
      <c r="A414" s="1" t="s">
        <v>246</v>
      </c>
      <c r="B414" s="1">
        <v>2015</v>
      </c>
      <c r="C414" s="1">
        <v>1.2469999789999999</v>
      </c>
      <c r="D414" s="1">
        <v>0</v>
      </c>
      <c r="E414" s="1">
        <v>99.457396000000003</v>
      </c>
      <c r="F414" s="1">
        <v>0</v>
      </c>
      <c r="G414" s="1">
        <v>0.54260399999999998</v>
      </c>
      <c r="H414" s="1">
        <v>0</v>
      </c>
      <c r="I414" s="1">
        <v>99.457396000000003</v>
      </c>
      <c r="J414" s="1">
        <v>0</v>
      </c>
      <c r="K414" s="1">
        <v>0.54260399999999998</v>
      </c>
      <c r="L414" s="1">
        <v>0</v>
      </c>
      <c r="M414" s="1" t="s">
        <v>272</v>
      </c>
      <c r="N414" s="1" t="s">
        <v>272</v>
      </c>
      <c r="O414" s="1" t="s">
        <v>272</v>
      </c>
      <c r="P414" s="1" t="s">
        <v>272</v>
      </c>
      <c r="Q414" s="2">
        <f t="shared" si="5"/>
        <v>5</v>
      </c>
      <c r="R414" s="1">
        <f t="shared" si="6"/>
        <v>5.0056129999998686E-2</v>
      </c>
      <c r="S414" s="1">
        <f t="shared" si="7"/>
        <v>5.0056129999998686E-2</v>
      </c>
      <c r="T414" s="1" t="str">
        <f t="shared" si="8"/>
        <v>null</v>
      </c>
      <c r="U414" s="1">
        <f t="shared" si="9"/>
        <v>99</v>
      </c>
    </row>
    <row r="415" spans="1:21">
      <c r="A415" s="1" t="s">
        <v>246</v>
      </c>
      <c r="B415" s="1">
        <v>2020</v>
      </c>
      <c r="C415" s="1">
        <v>1.3500000240000001</v>
      </c>
      <c r="D415" s="1">
        <v>0</v>
      </c>
      <c r="E415" s="1">
        <v>99.707676649999996</v>
      </c>
      <c r="F415" s="1">
        <v>0</v>
      </c>
      <c r="G415" s="1">
        <v>0.29232334589999998</v>
      </c>
      <c r="H415" s="1">
        <v>0</v>
      </c>
      <c r="I415" s="1">
        <v>99.707676649999996</v>
      </c>
      <c r="J415" s="1">
        <v>0</v>
      </c>
      <c r="K415" s="1">
        <v>0.29232334589999998</v>
      </c>
      <c r="L415" s="1">
        <v>0</v>
      </c>
      <c r="M415" s="1" t="s">
        <v>272</v>
      </c>
      <c r="N415" s="1" t="s">
        <v>272</v>
      </c>
      <c r="O415" s="1" t="s">
        <v>272</v>
      </c>
      <c r="P415" s="1" t="s">
        <v>272</v>
      </c>
      <c r="Q415" s="2" t="str">
        <f t="shared" si="5"/>
        <v/>
      </c>
      <c r="R415" s="1" t="str">
        <f t="shared" si="6"/>
        <v/>
      </c>
      <c r="S415" s="1" t="str">
        <f t="shared" si="7"/>
        <v/>
      </c>
      <c r="T415" s="1" t="str">
        <f t="shared" si="8"/>
        <v/>
      </c>
      <c r="U415" s="1">
        <f t="shared" si="9"/>
        <v>100</v>
      </c>
    </row>
    <row r="416" spans="1:21">
      <c r="A416" s="1" t="s">
        <v>247</v>
      </c>
      <c r="B416" s="1">
        <v>2015</v>
      </c>
      <c r="C416" s="1">
        <v>100.7799988</v>
      </c>
      <c r="D416" s="1">
        <v>23.274999619999999</v>
      </c>
      <c r="E416" s="1">
        <v>98.549705349999996</v>
      </c>
      <c r="F416" s="1">
        <v>0.87898212229999995</v>
      </c>
      <c r="G416" s="1">
        <v>0.57131252860000004</v>
      </c>
      <c r="H416" s="1">
        <v>0</v>
      </c>
      <c r="I416" s="1">
        <v>98.393048230000005</v>
      </c>
      <c r="J416" s="1">
        <v>1.1023191240000001</v>
      </c>
      <c r="K416" s="1">
        <v>0.50463264750000003</v>
      </c>
      <c r="L416" s="1">
        <v>0</v>
      </c>
      <c r="M416" s="1">
        <v>99.066110559999998</v>
      </c>
      <c r="N416" s="1">
        <v>0.14276156700000001</v>
      </c>
      <c r="O416" s="1">
        <v>0.79112787279999996</v>
      </c>
      <c r="P416" s="1">
        <v>0</v>
      </c>
      <c r="Q416" s="2">
        <f t="shared" si="5"/>
        <v>5</v>
      </c>
      <c r="R416" s="1">
        <f t="shared" si="6"/>
        <v>3.6275095999999965E-2</v>
      </c>
      <c r="S416" s="1">
        <f t="shared" si="7"/>
        <v>1.5006061999997655E-2</v>
      </c>
      <c r="T416" s="1">
        <f t="shared" si="8"/>
        <v>0.1081095260000012</v>
      </c>
      <c r="U416" s="1">
        <f t="shared" si="9"/>
        <v>99</v>
      </c>
    </row>
    <row r="417" spans="1:21">
      <c r="A417" s="1" t="s">
        <v>247</v>
      </c>
      <c r="B417" s="1">
        <v>2020</v>
      </c>
      <c r="C417" s="1">
        <v>105.6969986</v>
      </c>
      <c r="D417" s="1">
        <v>23.098999020000001</v>
      </c>
      <c r="E417" s="1">
        <v>98.731080829999996</v>
      </c>
      <c r="F417" s="1">
        <v>0.88149729619999995</v>
      </c>
      <c r="G417" s="1">
        <v>0.38742187769999997</v>
      </c>
      <c r="H417" s="1">
        <v>0</v>
      </c>
      <c r="I417" s="1">
        <v>98.468078539999993</v>
      </c>
      <c r="J417" s="1">
        <v>1.103159706</v>
      </c>
      <c r="K417" s="1">
        <v>0.42876175509999997</v>
      </c>
      <c r="L417" s="1">
        <v>0</v>
      </c>
      <c r="M417" s="1">
        <v>99.606658190000005</v>
      </c>
      <c r="N417" s="1">
        <v>0.143540536</v>
      </c>
      <c r="O417" s="1">
        <v>0.2498012758</v>
      </c>
      <c r="P417" s="1">
        <v>0</v>
      </c>
      <c r="Q417" s="2" t="str">
        <f t="shared" si="5"/>
        <v/>
      </c>
      <c r="R417" s="1" t="str">
        <f t="shared" si="6"/>
        <v/>
      </c>
      <c r="S417" s="1" t="str">
        <f t="shared" si="7"/>
        <v/>
      </c>
      <c r="T417" s="1" t="str">
        <f t="shared" si="8"/>
        <v/>
      </c>
      <c r="U417" s="1">
        <f t="shared" si="9"/>
        <v>99</v>
      </c>
    </row>
    <row r="418" spans="1:21">
      <c r="A418" s="1" t="s">
        <v>248</v>
      </c>
      <c r="B418" s="1">
        <v>2015</v>
      </c>
      <c r="C418" s="1">
        <v>1370.3320309999999</v>
      </c>
      <c r="D418" s="1">
        <v>53.319000240000001</v>
      </c>
      <c r="E418" s="1">
        <v>98.136177649999993</v>
      </c>
      <c r="F418" s="1">
        <v>1.1164222559999999</v>
      </c>
      <c r="G418" s="1">
        <v>0.56928192339999995</v>
      </c>
      <c r="H418" s="1">
        <v>0.17811817260000001</v>
      </c>
      <c r="I418" s="1" t="s">
        <v>272</v>
      </c>
      <c r="J418" s="1" t="s">
        <v>272</v>
      </c>
      <c r="K418" s="1" t="s">
        <v>272</v>
      </c>
      <c r="L418" s="1" t="s">
        <v>272</v>
      </c>
      <c r="M418" s="1" t="s">
        <v>272</v>
      </c>
      <c r="N418" s="1" t="s">
        <v>272</v>
      </c>
      <c r="O418" s="1" t="s">
        <v>272</v>
      </c>
      <c r="P418" s="1" t="s">
        <v>272</v>
      </c>
      <c r="Q418" s="2">
        <f t="shared" si="5"/>
        <v>5</v>
      </c>
      <c r="R418" s="1">
        <f t="shared" si="6"/>
        <v>0.14779862400000071</v>
      </c>
      <c r="S418" s="1" t="str">
        <f t="shared" si="7"/>
        <v>null</v>
      </c>
      <c r="T418" s="1" t="str">
        <f t="shared" si="8"/>
        <v>null</v>
      </c>
      <c r="U418" s="1">
        <f t="shared" si="9"/>
        <v>98</v>
      </c>
    </row>
    <row r="419" spans="1:21">
      <c r="A419" s="1" t="s">
        <v>248</v>
      </c>
      <c r="B419" s="1">
        <v>2020</v>
      </c>
      <c r="C419" s="1">
        <v>1399.490967</v>
      </c>
      <c r="D419" s="1">
        <v>53.2140007</v>
      </c>
      <c r="E419" s="1">
        <v>98.875170769999997</v>
      </c>
      <c r="F419" s="1">
        <v>1.1248292310000001</v>
      </c>
      <c r="G419" s="1">
        <v>0</v>
      </c>
      <c r="H419" s="1">
        <v>0</v>
      </c>
      <c r="I419" s="1" t="s">
        <v>272</v>
      </c>
      <c r="J419" s="1" t="s">
        <v>272</v>
      </c>
      <c r="K419" s="1" t="s">
        <v>272</v>
      </c>
      <c r="L419" s="1" t="s">
        <v>272</v>
      </c>
      <c r="M419" s="1" t="s">
        <v>272</v>
      </c>
      <c r="N419" s="1" t="s">
        <v>272</v>
      </c>
      <c r="O419" s="1" t="s">
        <v>272</v>
      </c>
      <c r="P419" s="1" t="s">
        <v>272</v>
      </c>
      <c r="Q419" s="2" t="str">
        <f t="shared" si="5"/>
        <v/>
      </c>
      <c r="R419" s="1" t="str">
        <f t="shared" si="6"/>
        <v/>
      </c>
      <c r="S419" s="1" t="str">
        <f t="shared" si="7"/>
        <v/>
      </c>
      <c r="T419" s="1" t="str">
        <f t="shared" si="8"/>
        <v/>
      </c>
      <c r="U419" s="1">
        <f t="shared" si="9"/>
        <v>99</v>
      </c>
    </row>
    <row r="420" spans="1:21">
      <c r="A420" s="1" t="s">
        <v>249</v>
      </c>
      <c r="B420" s="1">
        <v>2015</v>
      </c>
      <c r="C420" s="1">
        <v>11179.95117</v>
      </c>
      <c r="D420" s="1">
        <v>68.055999760000006</v>
      </c>
      <c r="E420" s="1">
        <v>94.845455099999995</v>
      </c>
      <c r="F420" s="1">
        <v>2.9001003930000002</v>
      </c>
      <c r="G420" s="1">
        <v>2.1791030770000002</v>
      </c>
      <c r="H420" s="1">
        <v>7.5341425109999999E-2</v>
      </c>
      <c r="I420" s="1">
        <v>85.59067297</v>
      </c>
      <c r="J420" s="1">
        <v>7.6364837000000003</v>
      </c>
      <c r="K420" s="1">
        <v>6.5369886399999997</v>
      </c>
      <c r="L420" s="1">
        <v>0.23585469070000001</v>
      </c>
      <c r="M420" s="1">
        <v>99.189447939999994</v>
      </c>
      <c r="N420" s="1">
        <v>0.67694539840000001</v>
      </c>
      <c r="O420" s="1">
        <v>0.13360666639999999</v>
      </c>
      <c r="P420" s="1">
        <v>0</v>
      </c>
      <c r="Q420" s="2">
        <f t="shared" si="5"/>
        <v>5</v>
      </c>
      <c r="R420" s="1">
        <f t="shared" si="6"/>
        <v>0.53957077800000097</v>
      </c>
      <c r="S420" s="1">
        <f t="shared" si="7"/>
        <v>1.6691117920000011</v>
      </c>
      <c r="T420" s="1">
        <f t="shared" si="8"/>
        <v>-1.3650061999999252E-2</v>
      </c>
      <c r="U420" s="1">
        <f t="shared" si="9"/>
        <v>95</v>
      </c>
    </row>
    <row r="421" spans="1:21">
      <c r="A421" s="1" t="s">
        <v>249</v>
      </c>
      <c r="B421" s="1">
        <v>2020</v>
      </c>
      <c r="C421" s="1">
        <v>11818.61816</v>
      </c>
      <c r="D421" s="1">
        <v>69.568000789999999</v>
      </c>
      <c r="E421" s="1">
        <v>97.54330899</v>
      </c>
      <c r="F421" s="1">
        <v>1.63135067</v>
      </c>
      <c r="G421" s="1">
        <v>0.82534033780000005</v>
      </c>
      <c r="H421" s="1">
        <v>0</v>
      </c>
      <c r="I421" s="1">
        <v>93.936231930000005</v>
      </c>
      <c r="J421" s="1">
        <v>3.3516873569999999</v>
      </c>
      <c r="K421" s="1">
        <v>2.71208071</v>
      </c>
      <c r="L421" s="1">
        <v>0</v>
      </c>
      <c r="M421" s="1">
        <v>99.121197629999998</v>
      </c>
      <c r="N421" s="1">
        <v>0.87880236840000003</v>
      </c>
      <c r="O421" s="1">
        <v>0</v>
      </c>
      <c r="P421" s="1">
        <v>0</v>
      </c>
      <c r="Q421" s="2" t="str">
        <f t="shared" si="5"/>
        <v/>
      </c>
      <c r="R421" s="1" t="str">
        <f t="shared" si="6"/>
        <v/>
      </c>
      <c r="S421" s="1" t="str">
        <f t="shared" si="7"/>
        <v/>
      </c>
      <c r="T421" s="1" t="str">
        <f t="shared" si="8"/>
        <v/>
      </c>
      <c r="U421" s="1">
        <f t="shared" si="9"/>
        <v>98</v>
      </c>
    </row>
    <row r="422" spans="1:21">
      <c r="A422" s="1" t="s">
        <v>250</v>
      </c>
      <c r="B422" s="1">
        <v>2015</v>
      </c>
      <c r="C422" s="1">
        <v>78529.414059999996</v>
      </c>
      <c r="D422" s="1">
        <v>73.611000059999995</v>
      </c>
      <c r="E422" s="1">
        <v>96.256159120000007</v>
      </c>
      <c r="F422" s="1">
        <v>2.0267476019999999</v>
      </c>
      <c r="G422" s="1">
        <v>1.5188707130000001</v>
      </c>
      <c r="H422" s="1">
        <v>0.1982225671</v>
      </c>
      <c r="I422" s="1">
        <v>94.203882989999997</v>
      </c>
      <c r="J422" s="1">
        <v>2.6336569440000002</v>
      </c>
      <c r="K422" s="1">
        <v>2.7404600640000001</v>
      </c>
      <c r="L422" s="1">
        <v>0.42199999999999999</v>
      </c>
      <c r="M422" s="1">
        <v>96.99188504</v>
      </c>
      <c r="N422" s="1">
        <v>1.8091750579999999</v>
      </c>
      <c r="O422" s="1">
        <v>1.080939898</v>
      </c>
      <c r="P422" s="1">
        <v>0.11799999999999999</v>
      </c>
      <c r="Q422" s="2">
        <f t="shared" si="5"/>
        <v>5</v>
      </c>
      <c r="R422" s="1">
        <f t="shared" si="6"/>
        <v>0.15162200799999823</v>
      </c>
      <c r="S422" s="1">
        <f t="shared" si="7"/>
        <v>0.36425735600000164</v>
      </c>
      <c r="T422" s="1">
        <f t="shared" si="8"/>
        <v>6.6586558000000198E-2</v>
      </c>
      <c r="U422" s="1">
        <f t="shared" si="9"/>
        <v>96</v>
      </c>
    </row>
    <row r="423" spans="1:21">
      <c r="A423" s="1" t="s">
        <v>250</v>
      </c>
      <c r="B423" s="1">
        <v>2020</v>
      </c>
      <c r="C423" s="1">
        <v>84339.070309999996</v>
      </c>
      <c r="D423" s="1">
        <v>76.105003359999998</v>
      </c>
      <c r="E423" s="1">
        <v>97.014269159999998</v>
      </c>
      <c r="F423" s="1">
        <v>2.0230780749999999</v>
      </c>
      <c r="G423" s="1">
        <v>0.73767495449999998</v>
      </c>
      <c r="H423" s="1">
        <v>0.2249778093</v>
      </c>
      <c r="I423" s="1">
        <v>96.025169770000005</v>
      </c>
      <c r="J423" s="1">
        <v>2.684574639</v>
      </c>
      <c r="K423" s="1">
        <v>0.78825559109999999</v>
      </c>
      <c r="L423" s="1">
        <v>0.502</v>
      </c>
      <c r="M423" s="1">
        <v>97.324817830000001</v>
      </c>
      <c r="N423" s="1">
        <v>1.8153852029999999</v>
      </c>
      <c r="O423" s="1">
        <v>0.72179696339999999</v>
      </c>
      <c r="P423" s="1">
        <v>0.13800000000000001</v>
      </c>
      <c r="Q423" s="2" t="str">
        <f t="shared" si="5"/>
        <v/>
      </c>
      <c r="R423" s="1" t="str">
        <f t="shared" si="6"/>
        <v/>
      </c>
      <c r="S423" s="1" t="str">
        <f t="shared" si="7"/>
        <v/>
      </c>
      <c r="T423" s="1" t="str">
        <f t="shared" si="8"/>
        <v/>
      </c>
      <c r="U423" s="1">
        <f t="shared" si="9"/>
        <v>97</v>
      </c>
    </row>
    <row r="424" spans="1:21">
      <c r="A424" s="1" t="s">
        <v>251</v>
      </c>
      <c r="B424" s="1">
        <v>2015</v>
      </c>
      <c r="C424" s="1">
        <v>5565.283203</v>
      </c>
      <c r="D424" s="1">
        <v>50.317001339999997</v>
      </c>
      <c r="E424" s="1">
        <v>97.658944309999995</v>
      </c>
      <c r="F424" s="1">
        <v>0.94791505470000004</v>
      </c>
      <c r="G424" s="1">
        <v>0.24775003200000001</v>
      </c>
      <c r="H424" s="1">
        <v>1.1453906060000001</v>
      </c>
      <c r="I424" s="1">
        <v>96.219783160000006</v>
      </c>
      <c r="J424" s="1">
        <v>1.0009544290000001</v>
      </c>
      <c r="K424" s="1">
        <v>0.47386486500000002</v>
      </c>
      <c r="L424" s="1">
        <v>2.305397551</v>
      </c>
      <c r="M424" s="1">
        <v>99.079971720000003</v>
      </c>
      <c r="N424" s="1">
        <v>0.89554398800000001</v>
      </c>
      <c r="O424" s="1">
        <v>2.4484294899999998E-2</v>
      </c>
      <c r="P424" s="1">
        <v>0</v>
      </c>
      <c r="Q424" s="2">
        <f t="shared" si="5"/>
        <v>5</v>
      </c>
      <c r="R424" s="1">
        <f t="shared" si="6"/>
        <v>0.46821113800000091</v>
      </c>
      <c r="S424" s="1">
        <f t="shared" si="7"/>
        <v>0.75604336799999883</v>
      </c>
      <c r="T424" s="1">
        <f t="shared" si="8"/>
        <v>0.18400565599999935</v>
      </c>
      <c r="U424" s="1">
        <f t="shared" si="9"/>
        <v>98</v>
      </c>
    </row>
    <row r="425" spans="1:21">
      <c r="A425" s="1" t="s">
        <v>251</v>
      </c>
      <c r="B425" s="1">
        <v>2020</v>
      </c>
      <c r="C425" s="1">
        <v>6031.1870120000003</v>
      </c>
      <c r="D425" s="1">
        <v>52.516002659999998</v>
      </c>
      <c r="E425" s="1">
        <v>100</v>
      </c>
      <c r="F425" s="1">
        <v>0</v>
      </c>
      <c r="G425" s="1">
        <v>0</v>
      </c>
      <c r="H425" s="1">
        <v>0</v>
      </c>
      <c r="I425" s="1">
        <v>100</v>
      </c>
      <c r="J425" s="1">
        <v>0</v>
      </c>
      <c r="K425" s="1">
        <v>0</v>
      </c>
      <c r="L425" s="1">
        <v>0</v>
      </c>
      <c r="M425" s="1">
        <v>100</v>
      </c>
      <c r="N425" s="1">
        <v>0</v>
      </c>
      <c r="O425" s="1">
        <v>0</v>
      </c>
      <c r="P425" s="1">
        <v>0</v>
      </c>
      <c r="Q425" s="2" t="str">
        <f t="shared" si="5"/>
        <v/>
      </c>
      <c r="R425" s="1" t="str">
        <f t="shared" si="6"/>
        <v/>
      </c>
      <c r="S425" s="1" t="str">
        <f t="shared" si="7"/>
        <v/>
      </c>
      <c r="T425" s="1" t="str">
        <f t="shared" si="8"/>
        <v/>
      </c>
      <c r="U425" s="1">
        <f t="shared" si="9"/>
        <v>100</v>
      </c>
    </row>
    <row r="426" spans="1:21">
      <c r="A426" s="1" t="s">
        <v>252</v>
      </c>
      <c r="B426" s="1">
        <v>2015</v>
      </c>
      <c r="C426" s="1">
        <v>35.97900009</v>
      </c>
      <c r="D426" s="1">
        <v>92.194992069999998</v>
      </c>
      <c r="E426" s="1">
        <v>94.318181820000007</v>
      </c>
      <c r="F426" s="1">
        <v>0</v>
      </c>
      <c r="G426" s="1">
        <v>5.6818181819999998</v>
      </c>
      <c r="H426" s="1">
        <v>0</v>
      </c>
      <c r="I426" s="1" t="s">
        <v>272</v>
      </c>
      <c r="J426" s="1" t="s">
        <v>272</v>
      </c>
      <c r="K426" s="1" t="s">
        <v>272</v>
      </c>
      <c r="L426" s="1" t="s">
        <v>272</v>
      </c>
      <c r="M426" s="1" t="s">
        <v>272</v>
      </c>
      <c r="N426" s="1" t="s">
        <v>272</v>
      </c>
      <c r="O426" s="1" t="s">
        <v>272</v>
      </c>
      <c r="P426" s="1" t="s">
        <v>272</v>
      </c>
      <c r="Q426" s="2">
        <f t="shared" si="5"/>
        <v>3</v>
      </c>
      <c r="R426" s="1">
        <f t="shared" si="6"/>
        <v>0</v>
      </c>
      <c r="S426" s="1" t="str">
        <f t="shared" si="7"/>
        <v>null</v>
      </c>
      <c r="T426" s="1" t="str">
        <f t="shared" si="8"/>
        <v>null</v>
      </c>
      <c r="U426" s="1">
        <f t="shared" si="9"/>
        <v>94</v>
      </c>
    </row>
    <row r="427" spans="1:21">
      <c r="A427" s="1" t="s">
        <v>252</v>
      </c>
      <c r="B427" s="1">
        <v>2018</v>
      </c>
      <c r="C427" s="1">
        <v>37.666999820000001</v>
      </c>
      <c r="D427" s="1">
        <v>93.097999569999999</v>
      </c>
      <c r="E427" s="1">
        <v>94.318181820000007</v>
      </c>
      <c r="F427" s="1">
        <v>0</v>
      </c>
      <c r="G427" s="1">
        <v>5.6818181819999998</v>
      </c>
      <c r="H427" s="1">
        <v>0</v>
      </c>
      <c r="I427" s="1" t="s">
        <v>272</v>
      </c>
      <c r="J427" s="1" t="s">
        <v>272</v>
      </c>
      <c r="K427" s="1" t="s">
        <v>272</v>
      </c>
      <c r="L427" s="1" t="s">
        <v>272</v>
      </c>
      <c r="M427" s="1" t="s">
        <v>272</v>
      </c>
      <c r="N427" s="1" t="s">
        <v>272</v>
      </c>
      <c r="O427" s="1" t="s">
        <v>272</v>
      </c>
      <c r="P427" s="1" t="s">
        <v>272</v>
      </c>
      <c r="Q427" s="2" t="str">
        <f t="shared" si="5"/>
        <v/>
      </c>
      <c r="R427" s="1" t="str">
        <f t="shared" si="6"/>
        <v/>
      </c>
      <c r="S427" s="1" t="str">
        <f t="shared" si="7"/>
        <v/>
      </c>
      <c r="T427" s="1" t="str">
        <f t="shared" si="8"/>
        <v/>
      </c>
      <c r="U427" s="1">
        <f t="shared" si="9"/>
        <v>94</v>
      </c>
    </row>
    <row r="428" spans="1:21">
      <c r="A428" s="1" t="s">
        <v>253</v>
      </c>
      <c r="B428" s="1">
        <v>2015</v>
      </c>
      <c r="C428" s="1">
        <v>11.09899998</v>
      </c>
      <c r="D428" s="1">
        <v>59.729999540000001</v>
      </c>
      <c r="E428" s="1">
        <v>100</v>
      </c>
      <c r="F428" s="1">
        <v>0</v>
      </c>
      <c r="G428" s="1">
        <v>0</v>
      </c>
      <c r="H428" s="1">
        <v>0</v>
      </c>
      <c r="I428" s="1">
        <v>100</v>
      </c>
      <c r="J428" s="1">
        <v>0</v>
      </c>
      <c r="K428" s="1">
        <v>0</v>
      </c>
      <c r="L428" s="1">
        <v>0</v>
      </c>
      <c r="M428" s="1">
        <v>100</v>
      </c>
      <c r="N428" s="1">
        <v>0</v>
      </c>
      <c r="O428" s="1">
        <v>0</v>
      </c>
      <c r="P428" s="1">
        <v>0</v>
      </c>
      <c r="Q428" s="2">
        <f t="shared" si="5"/>
        <v>5</v>
      </c>
      <c r="R428" s="1">
        <f t="shared" si="6"/>
        <v>0</v>
      </c>
      <c r="S428" s="1">
        <f t="shared" si="7"/>
        <v>0</v>
      </c>
      <c r="T428" s="1">
        <f t="shared" si="8"/>
        <v>0</v>
      </c>
      <c r="U428" s="1">
        <f t="shared" si="9"/>
        <v>100</v>
      </c>
    </row>
    <row r="429" spans="1:21">
      <c r="A429" s="1" t="s">
        <v>253</v>
      </c>
      <c r="B429" s="1">
        <v>2020</v>
      </c>
      <c r="C429" s="1">
        <v>11.791999819999999</v>
      </c>
      <c r="D429" s="1">
        <v>64.013999940000005</v>
      </c>
      <c r="E429" s="1">
        <v>100</v>
      </c>
      <c r="F429" s="1">
        <v>0</v>
      </c>
      <c r="G429" s="1">
        <v>0</v>
      </c>
      <c r="H429" s="1">
        <v>0</v>
      </c>
      <c r="I429" s="1">
        <v>100</v>
      </c>
      <c r="J429" s="1">
        <v>0</v>
      </c>
      <c r="K429" s="1">
        <v>0</v>
      </c>
      <c r="L429" s="1">
        <v>0</v>
      </c>
      <c r="M429" s="1">
        <v>100</v>
      </c>
      <c r="N429" s="1">
        <v>0</v>
      </c>
      <c r="O429" s="1">
        <v>0</v>
      </c>
      <c r="P429" s="1">
        <v>0</v>
      </c>
      <c r="Q429" s="2" t="str">
        <f t="shared" si="5"/>
        <v/>
      </c>
      <c r="R429" s="1" t="str">
        <f t="shared" si="6"/>
        <v/>
      </c>
      <c r="S429" s="1" t="str">
        <f t="shared" si="7"/>
        <v/>
      </c>
      <c r="T429" s="1" t="str">
        <f t="shared" si="8"/>
        <v/>
      </c>
      <c r="U429" s="1">
        <f t="shared" si="9"/>
        <v>100</v>
      </c>
    </row>
    <row r="430" spans="1:21">
      <c r="A430" s="1" t="s">
        <v>254</v>
      </c>
      <c r="B430" s="1">
        <v>2015</v>
      </c>
      <c r="C430" s="1">
        <v>38225.445310000003</v>
      </c>
      <c r="D430" s="1">
        <v>22.059999470000001</v>
      </c>
      <c r="E430" s="1">
        <v>47.841558360000001</v>
      </c>
      <c r="F430" s="1">
        <v>30.095403770000001</v>
      </c>
      <c r="G430" s="1">
        <v>15.106768450000001</v>
      </c>
      <c r="H430" s="1">
        <v>6.9562694199999999</v>
      </c>
      <c r="I430" s="1">
        <v>39.717003130000002</v>
      </c>
      <c r="J430" s="1">
        <v>34.176563299999998</v>
      </c>
      <c r="K430" s="1">
        <v>17.519117219999998</v>
      </c>
      <c r="L430" s="1">
        <v>8.5873163479999999</v>
      </c>
      <c r="M430" s="1">
        <v>76.546356090000003</v>
      </c>
      <c r="N430" s="1">
        <v>15.67629339</v>
      </c>
      <c r="O430" s="1">
        <v>6.5837192800000004</v>
      </c>
      <c r="P430" s="1">
        <v>1.1936312419999999</v>
      </c>
      <c r="Q430" s="2">
        <f t="shared" si="5"/>
        <v>5</v>
      </c>
      <c r="R430" s="1">
        <f t="shared" si="6"/>
        <v>1.6026981699999994</v>
      </c>
      <c r="S430" s="1">
        <f t="shared" si="7"/>
        <v>1.7028372899999993</v>
      </c>
      <c r="T430" s="1">
        <f t="shared" si="8"/>
        <v>0.44729914199999998</v>
      </c>
      <c r="U430" s="1">
        <f t="shared" si="9"/>
        <v>48</v>
      </c>
    </row>
    <row r="431" spans="1:21">
      <c r="A431" s="1" t="s">
        <v>254</v>
      </c>
      <c r="B431" s="1">
        <v>2020</v>
      </c>
      <c r="C431" s="1">
        <v>45741</v>
      </c>
      <c r="D431" s="1">
        <v>24.95400047</v>
      </c>
      <c r="E431" s="1">
        <v>55.855049209999997</v>
      </c>
      <c r="F431" s="1">
        <v>27.282859999999999</v>
      </c>
      <c r="G431" s="1">
        <v>12.16590654</v>
      </c>
      <c r="H431" s="1">
        <v>4.6961842520000001</v>
      </c>
      <c r="I431" s="1">
        <v>48.231189579999999</v>
      </c>
      <c r="J431" s="1">
        <v>31.784694259999998</v>
      </c>
      <c r="K431" s="1">
        <v>14.076160610000001</v>
      </c>
      <c r="L431" s="1">
        <v>5.9079555460000002</v>
      </c>
      <c r="M431" s="1">
        <v>78.782851800000003</v>
      </c>
      <c r="N431" s="1">
        <v>13.74416783</v>
      </c>
      <c r="O431" s="1">
        <v>6.4210441329999997</v>
      </c>
      <c r="P431" s="1">
        <v>1.0519362379999999</v>
      </c>
      <c r="Q431" s="2" t="str">
        <f t="shared" si="5"/>
        <v/>
      </c>
      <c r="R431" s="1" t="str">
        <f t="shared" si="6"/>
        <v/>
      </c>
      <c r="S431" s="1" t="str">
        <f t="shared" si="7"/>
        <v/>
      </c>
      <c r="T431" s="1" t="str">
        <f t="shared" si="8"/>
        <v/>
      </c>
      <c r="U431" s="1">
        <f t="shared" si="9"/>
        <v>56</v>
      </c>
    </row>
    <row r="432" spans="1:21">
      <c r="A432" s="1" t="s">
        <v>255</v>
      </c>
      <c r="B432" s="1">
        <v>2015</v>
      </c>
      <c r="C432" s="1">
        <v>44921.636720000002</v>
      </c>
      <c r="D432" s="1">
        <v>69.061004639999993</v>
      </c>
      <c r="E432" s="1">
        <v>93.65690669</v>
      </c>
      <c r="F432" s="1">
        <v>5.6308737229999997</v>
      </c>
      <c r="G432" s="1">
        <v>0.4364563488</v>
      </c>
      <c r="H432" s="1">
        <v>0.27576323949999998</v>
      </c>
      <c r="I432" s="1">
        <v>98.843111609999994</v>
      </c>
      <c r="J432" s="1">
        <v>0</v>
      </c>
      <c r="K432" s="1">
        <v>0.944405312</v>
      </c>
      <c r="L432" s="1">
        <v>0.21248308169999999</v>
      </c>
      <c r="M432" s="1">
        <v>91.333508530000003</v>
      </c>
      <c r="N432" s="1">
        <v>8.1534782769999996</v>
      </c>
      <c r="O432" s="1">
        <v>0.20890075559999999</v>
      </c>
      <c r="P432" s="1">
        <v>0.30411244139999999</v>
      </c>
      <c r="Q432" s="2">
        <f t="shared" si="5"/>
        <v>5</v>
      </c>
      <c r="R432" s="1">
        <f t="shared" si="6"/>
        <v>5.4275051999999845E-2</v>
      </c>
      <c r="S432" s="1">
        <f t="shared" si="7"/>
        <v>0.2313776780000012</v>
      </c>
      <c r="T432" s="1">
        <f t="shared" si="8"/>
        <v>-1.1247683999999935E-2</v>
      </c>
      <c r="U432" s="1">
        <f t="shared" si="9"/>
        <v>94</v>
      </c>
    </row>
    <row r="433" spans="1:21">
      <c r="A433" s="1" t="s">
        <v>255</v>
      </c>
      <c r="B433" s="1">
        <v>2020</v>
      </c>
      <c r="C433" s="1">
        <v>43733.757810000003</v>
      </c>
      <c r="D433" s="1">
        <v>69.608001709999996</v>
      </c>
      <c r="E433" s="1">
        <v>93.928281949999999</v>
      </c>
      <c r="F433" s="1">
        <v>5.671978717</v>
      </c>
      <c r="G433" s="1">
        <v>7.5904501289999995E-2</v>
      </c>
      <c r="H433" s="1">
        <v>0.32383483600000001</v>
      </c>
      <c r="I433" s="1">
        <v>100</v>
      </c>
      <c r="J433" s="1">
        <v>0</v>
      </c>
      <c r="K433" s="1">
        <v>0</v>
      </c>
      <c r="L433" s="1">
        <v>0</v>
      </c>
      <c r="M433" s="1">
        <v>91.277270110000003</v>
      </c>
      <c r="N433" s="1">
        <v>8.1484577900000001</v>
      </c>
      <c r="O433" s="1">
        <v>0.1090456533</v>
      </c>
      <c r="P433" s="1">
        <v>0.46522644460000001</v>
      </c>
      <c r="Q433" s="2" t="str">
        <f t="shared" si="5"/>
        <v/>
      </c>
      <c r="R433" s="1" t="str">
        <f t="shared" si="6"/>
        <v/>
      </c>
      <c r="S433" s="1" t="str">
        <f t="shared" si="7"/>
        <v/>
      </c>
      <c r="T433" s="1" t="str">
        <f t="shared" si="8"/>
        <v/>
      </c>
      <c r="U433" s="1">
        <f t="shared" si="9"/>
        <v>94</v>
      </c>
    </row>
    <row r="434" spans="1:21">
      <c r="A434" s="1" t="s">
        <v>256</v>
      </c>
      <c r="B434" s="1">
        <v>2015</v>
      </c>
      <c r="C434" s="1">
        <v>9262.8964840000008</v>
      </c>
      <c r="D434" s="1">
        <v>85.674003600000006</v>
      </c>
      <c r="E434" s="1">
        <v>99.971332469999993</v>
      </c>
      <c r="F434" s="1">
        <v>0</v>
      </c>
      <c r="G434" s="1">
        <v>2.8667534309999999E-2</v>
      </c>
      <c r="H434" s="1">
        <v>0</v>
      </c>
      <c r="I434" s="1" t="s">
        <v>272</v>
      </c>
      <c r="J434" s="1" t="s">
        <v>272</v>
      </c>
      <c r="K434" s="1" t="s">
        <v>272</v>
      </c>
      <c r="L434" s="1" t="s">
        <v>272</v>
      </c>
      <c r="M434" s="1" t="s">
        <v>272</v>
      </c>
      <c r="N434" s="1" t="s">
        <v>272</v>
      </c>
      <c r="O434" s="1" t="s">
        <v>272</v>
      </c>
      <c r="P434" s="1" t="s">
        <v>272</v>
      </c>
      <c r="Q434" s="2">
        <f t="shared" si="5"/>
        <v>5</v>
      </c>
      <c r="R434" s="1">
        <f t="shared" si="6"/>
        <v>-1.1472939999976005E-3</v>
      </c>
      <c r="S434" s="1" t="str">
        <f t="shared" si="7"/>
        <v>null</v>
      </c>
      <c r="T434" s="1" t="str">
        <f t="shared" si="8"/>
        <v>null</v>
      </c>
      <c r="U434" s="1">
        <f t="shared" si="9"/>
        <v>100</v>
      </c>
    </row>
    <row r="435" spans="1:21">
      <c r="A435" s="1" t="s">
        <v>256</v>
      </c>
      <c r="B435" s="1">
        <v>2020</v>
      </c>
      <c r="C435" s="1">
        <v>9890.4003909999992</v>
      </c>
      <c r="D435" s="1">
        <v>87.047996519999998</v>
      </c>
      <c r="E435" s="1">
        <v>99.965596000000005</v>
      </c>
      <c r="F435" s="1">
        <v>0</v>
      </c>
      <c r="G435" s="1">
        <v>3.4403999999999997E-2</v>
      </c>
      <c r="H435" s="1">
        <v>0</v>
      </c>
      <c r="I435" s="1" t="s">
        <v>272</v>
      </c>
      <c r="J435" s="1" t="s">
        <v>272</v>
      </c>
      <c r="K435" s="1" t="s">
        <v>272</v>
      </c>
      <c r="L435" s="1" t="s">
        <v>272</v>
      </c>
      <c r="M435" s="1" t="s">
        <v>272</v>
      </c>
      <c r="N435" s="1" t="s">
        <v>272</v>
      </c>
      <c r="O435" s="1" t="s">
        <v>272</v>
      </c>
      <c r="P435" s="1" t="s">
        <v>272</v>
      </c>
      <c r="Q435" s="2" t="str">
        <f t="shared" si="5"/>
        <v/>
      </c>
      <c r="R435" s="1" t="str">
        <f t="shared" si="6"/>
        <v/>
      </c>
      <c r="S435" s="1" t="str">
        <f t="shared" si="7"/>
        <v/>
      </c>
      <c r="T435" s="1" t="str">
        <f t="shared" si="8"/>
        <v/>
      </c>
      <c r="U435" s="1">
        <f t="shared" si="9"/>
        <v>100</v>
      </c>
    </row>
    <row r="436" spans="1:21">
      <c r="A436" s="1" t="s">
        <v>257</v>
      </c>
      <c r="B436" s="1">
        <v>2015</v>
      </c>
      <c r="C436" s="1">
        <v>65860.148440000004</v>
      </c>
      <c r="D436" s="1">
        <v>82.625999449999995</v>
      </c>
      <c r="E436" s="1">
        <v>100.0000015</v>
      </c>
      <c r="F436" s="1">
        <v>0</v>
      </c>
      <c r="G436" s="1">
        <v>0</v>
      </c>
      <c r="H436" s="1">
        <v>0</v>
      </c>
      <c r="I436" s="1">
        <v>100</v>
      </c>
      <c r="J436" s="1">
        <v>0</v>
      </c>
      <c r="K436" s="1">
        <v>0</v>
      </c>
      <c r="L436" s="1">
        <v>0</v>
      </c>
      <c r="M436" s="1">
        <v>100</v>
      </c>
      <c r="N436" s="1">
        <v>0</v>
      </c>
      <c r="O436" s="1">
        <v>0</v>
      </c>
      <c r="P436" s="1">
        <v>0</v>
      </c>
      <c r="Q436" s="2">
        <f t="shared" si="5"/>
        <v>5</v>
      </c>
      <c r="R436" s="1">
        <f t="shared" si="6"/>
        <v>-5.8800000033443214E-7</v>
      </c>
      <c r="S436" s="1">
        <f t="shared" si="7"/>
        <v>0</v>
      </c>
      <c r="T436" s="1">
        <f t="shared" si="8"/>
        <v>0</v>
      </c>
      <c r="U436" s="1">
        <f t="shared" si="9"/>
        <v>100</v>
      </c>
    </row>
    <row r="437" spans="1:21">
      <c r="A437" s="1" t="s">
        <v>257</v>
      </c>
      <c r="B437" s="1">
        <v>2020</v>
      </c>
      <c r="C437" s="1">
        <v>67886.007809999996</v>
      </c>
      <c r="D437" s="1">
        <v>83.902999879999996</v>
      </c>
      <c r="E437" s="1">
        <v>99.999998559999995</v>
      </c>
      <c r="F437" s="1">
        <v>0</v>
      </c>
      <c r="G437" s="1">
        <v>1.4385328199999999E-6</v>
      </c>
      <c r="H437" s="1">
        <v>0</v>
      </c>
      <c r="I437" s="1">
        <v>100</v>
      </c>
      <c r="J437" s="1">
        <v>0</v>
      </c>
      <c r="K437" s="1">
        <v>0</v>
      </c>
      <c r="L437" s="1">
        <v>0</v>
      </c>
      <c r="M437" s="1">
        <v>100</v>
      </c>
      <c r="N437" s="1">
        <v>0</v>
      </c>
      <c r="O437" s="1">
        <v>0</v>
      </c>
      <c r="P437" s="1">
        <v>0</v>
      </c>
      <c r="Q437" s="2" t="str">
        <f t="shared" si="5"/>
        <v/>
      </c>
      <c r="R437" s="1" t="str">
        <f t="shared" si="6"/>
        <v/>
      </c>
      <c r="S437" s="1" t="str">
        <f t="shared" si="7"/>
        <v/>
      </c>
      <c r="T437" s="1" t="str">
        <f t="shared" si="8"/>
        <v/>
      </c>
      <c r="U437" s="1">
        <f t="shared" si="9"/>
        <v>100</v>
      </c>
    </row>
    <row r="438" spans="1:21">
      <c r="A438" s="1" t="s">
        <v>258</v>
      </c>
      <c r="B438" s="1">
        <v>2015</v>
      </c>
      <c r="C438" s="1">
        <v>51482.636720000002</v>
      </c>
      <c r="D438" s="1">
        <v>31.617000579999999</v>
      </c>
      <c r="E438" s="1">
        <v>52.963794589999999</v>
      </c>
      <c r="F438" s="1">
        <v>11.30893693</v>
      </c>
      <c r="G438" s="1">
        <v>21.385247880000001</v>
      </c>
      <c r="H438" s="1">
        <v>14.3420206</v>
      </c>
      <c r="I438" s="1">
        <v>38.863424559999999</v>
      </c>
      <c r="J438" s="1">
        <v>13.19289824</v>
      </c>
      <c r="K438" s="1">
        <v>28.1932841</v>
      </c>
      <c r="L438" s="1">
        <v>19.750393110000001</v>
      </c>
      <c r="M438" s="1">
        <v>83.4608554</v>
      </c>
      <c r="N438" s="1">
        <v>7.2342011279999996</v>
      </c>
      <c r="O438" s="1">
        <v>6.6604502999999999</v>
      </c>
      <c r="P438" s="1">
        <v>2.6444931710000001</v>
      </c>
      <c r="Q438" s="2">
        <f t="shared" si="5"/>
        <v>5</v>
      </c>
      <c r="R438" s="1">
        <f t="shared" si="6"/>
        <v>1.5506005999999999</v>
      </c>
      <c r="S438" s="1">
        <f t="shared" si="7"/>
        <v>1.316708156</v>
      </c>
      <c r="T438" s="1">
        <f t="shared" si="8"/>
        <v>1.0666138999999988</v>
      </c>
      <c r="U438" s="1">
        <f t="shared" si="9"/>
        <v>53</v>
      </c>
    </row>
    <row r="439" spans="1:21">
      <c r="A439" s="1" t="s">
        <v>258</v>
      </c>
      <c r="B439" s="1">
        <v>2020</v>
      </c>
      <c r="C439" s="1">
        <v>59734.214840000001</v>
      </c>
      <c r="D439" s="1">
        <v>35.227001190000003</v>
      </c>
      <c r="E439" s="1">
        <v>60.716797589999999</v>
      </c>
      <c r="F439" s="1">
        <v>11.29007067</v>
      </c>
      <c r="G439" s="1">
        <v>14.51775136</v>
      </c>
      <c r="H439" s="1">
        <v>13.475380380000001</v>
      </c>
      <c r="I439" s="1">
        <v>45.446965339999998</v>
      </c>
      <c r="J439" s="1">
        <v>13.98368881</v>
      </c>
      <c r="K439" s="1">
        <v>21.21996133</v>
      </c>
      <c r="L439" s="1">
        <v>19.349384520000001</v>
      </c>
      <c r="M439" s="1">
        <v>88.793924899999993</v>
      </c>
      <c r="N439" s="1">
        <v>6.3372311659999996</v>
      </c>
      <c r="O439" s="1">
        <v>2.1941787860000002</v>
      </c>
      <c r="P439" s="1">
        <v>2.6746651520000002</v>
      </c>
      <c r="Q439" s="2" t="str">
        <f t="shared" si="5"/>
        <v/>
      </c>
      <c r="R439" s="1" t="str">
        <f t="shared" si="6"/>
        <v/>
      </c>
      <c r="S439" s="1" t="str">
        <f t="shared" si="7"/>
        <v/>
      </c>
      <c r="T439" s="1" t="str">
        <f t="shared" si="8"/>
        <v/>
      </c>
      <c r="U439" s="1">
        <f t="shared" si="9"/>
        <v>61</v>
      </c>
    </row>
    <row r="440" spans="1:21">
      <c r="A440" s="1" t="s">
        <v>260</v>
      </c>
      <c r="B440" s="1">
        <v>2015</v>
      </c>
      <c r="C440" s="1">
        <v>320878.3125</v>
      </c>
      <c r="D440" s="1">
        <v>81.671005249999993</v>
      </c>
      <c r="E440" s="1">
        <v>99.447157759999996</v>
      </c>
      <c r="F440" s="1">
        <v>0</v>
      </c>
      <c r="G440" s="1">
        <v>0.55284223720000003</v>
      </c>
      <c r="H440" s="1">
        <v>0</v>
      </c>
      <c r="I440" s="1">
        <v>97.780118509999994</v>
      </c>
      <c r="J440" s="1">
        <v>0</v>
      </c>
      <c r="K440" s="1">
        <v>2.2198814850000002</v>
      </c>
      <c r="L440" s="1">
        <v>0</v>
      </c>
      <c r="M440" s="1">
        <v>99.821279809999993</v>
      </c>
      <c r="N440" s="1">
        <v>0</v>
      </c>
      <c r="O440" s="1">
        <v>0.1787201944</v>
      </c>
      <c r="P440" s="1">
        <v>0</v>
      </c>
      <c r="Q440" s="2">
        <f t="shared" si="5"/>
        <v>5</v>
      </c>
      <c r="R440" s="1">
        <f t="shared" si="6"/>
        <v>8.7273784000001339E-2</v>
      </c>
      <c r="S440" s="1">
        <f t="shared" si="7"/>
        <v>0.37813376600000198</v>
      </c>
      <c r="T440" s="1">
        <f t="shared" si="8"/>
        <v>2.1372932000002721E-2</v>
      </c>
      <c r="U440" s="1">
        <f t="shared" si="9"/>
        <v>99</v>
      </c>
    </row>
    <row r="441" spans="1:21">
      <c r="A441" s="1" t="s">
        <v>260</v>
      </c>
      <c r="B441" s="1">
        <v>2020</v>
      </c>
      <c r="C441" s="1">
        <v>331002.65629999997</v>
      </c>
      <c r="D441" s="1">
        <v>82.664001459999994</v>
      </c>
      <c r="E441" s="1">
        <v>99.883526680000003</v>
      </c>
      <c r="F441" s="1">
        <v>0</v>
      </c>
      <c r="G441" s="1">
        <v>0.1164733182</v>
      </c>
      <c r="H441" s="1">
        <v>0</v>
      </c>
      <c r="I441" s="1">
        <v>99.670787340000004</v>
      </c>
      <c r="J441" s="1">
        <v>0</v>
      </c>
      <c r="K441" s="1">
        <v>0.3292126628</v>
      </c>
      <c r="L441" s="1">
        <v>0</v>
      </c>
      <c r="M441" s="1">
        <v>99.928144470000007</v>
      </c>
      <c r="N441" s="1">
        <v>0</v>
      </c>
      <c r="O441" s="1">
        <v>7.1855529599999995E-2</v>
      </c>
      <c r="P441" s="1">
        <v>0</v>
      </c>
      <c r="Q441" s="2" t="str">
        <f t="shared" si="5"/>
        <v/>
      </c>
      <c r="R441" s="1" t="str">
        <f t="shared" si="6"/>
        <v/>
      </c>
      <c r="S441" s="1" t="str">
        <f t="shared" si="7"/>
        <v/>
      </c>
      <c r="T441" s="1" t="str">
        <f t="shared" si="8"/>
        <v/>
      </c>
      <c r="U441" s="1">
        <f t="shared" si="9"/>
        <v>100</v>
      </c>
    </row>
    <row r="442" spans="1:21">
      <c r="A442" s="1" t="s">
        <v>261</v>
      </c>
      <c r="B442" s="1">
        <v>2015</v>
      </c>
      <c r="C442" s="1">
        <v>104.9499969</v>
      </c>
      <c r="D442" s="1">
        <v>95.349998470000003</v>
      </c>
      <c r="E442" s="1">
        <v>98.718272810000002</v>
      </c>
      <c r="F442" s="1">
        <v>0</v>
      </c>
      <c r="G442" s="1">
        <v>1.2817271859999999</v>
      </c>
      <c r="H442" s="1">
        <v>0</v>
      </c>
      <c r="I442" s="1" t="s">
        <v>272</v>
      </c>
      <c r="J442" s="1" t="s">
        <v>272</v>
      </c>
      <c r="K442" s="1" t="s">
        <v>272</v>
      </c>
      <c r="L442" s="1" t="s">
        <v>272</v>
      </c>
      <c r="M442" s="1" t="s">
        <v>272</v>
      </c>
      <c r="N442" s="1" t="s">
        <v>272</v>
      </c>
      <c r="O442" s="1" t="s">
        <v>272</v>
      </c>
      <c r="P442" s="1" t="s">
        <v>272</v>
      </c>
      <c r="Q442" s="2">
        <f t="shared" si="5"/>
        <v>5</v>
      </c>
      <c r="R442" s="1">
        <f t="shared" si="6"/>
        <v>-1.0860000003276582E-6</v>
      </c>
      <c r="S442" s="1" t="str">
        <f t="shared" si="7"/>
        <v>null</v>
      </c>
      <c r="T442" s="1" t="str">
        <f t="shared" si="8"/>
        <v>null</v>
      </c>
      <c r="U442" s="1">
        <f t="shared" si="9"/>
        <v>99</v>
      </c>
    </row>
    <row r="443" spans="1:21">
      <c r="A443" s="1" t="s">
        <v>261</v>
      </c>
      <c r="B443" s="1">
        <v>2020</v>
      </c>
      <c r="C443" s="1">
        <v>104.4229965</v>
      </c>
      <c r="D443" s="1">
        <v>95.939002990000006</v>
      </c>
      <c r="E443" s="1">
        <v>98.71826738</v>
      </c>
      <c r="F443" s="1">
        <v>0</v>
      </c>
      <c r="G443" s="1">
        <v>1.281732624</v>
      </c>
      <c r="H443" s="1">
        <v>0</v>
      </c>
      <c r="I443" s="1" t="s">
        <v>272</v>
      </c>
      <c r="J443" s="1" t="s">
        <v>272</v>
      </c>
      <c r="K443" s="1" t="s">
        <v>272</v>
      </c>
      <c r="L443" s="1" t="s">
        <v>272</v>
      </c>
      <c r="M443" s="1" t="s">
        <v>272</v>
      </c>
      <c r="N443" s="1" t="s">
        <v>272</v>
      </c>
      <c r="O443" s="1" t="s">
        <v>272</v>
      </c>
      <c r="P443" s="1" t="s">
        <v>272</v>
      </c>
      <c r="Q443" s="2" t="str">
        <f t="shared" si="5"/>
        <v/>
      </c>
      <c r="R443" s="1" t="str">
        <f t="shared" si="6"/>
        <v/>
      </c>
      <c r="S443" s="1" t="str">
        <f t="shared" si="7"/>
        <v/>
      </c>
      <c r="T443" s="1" t="str">
        <f t="shared" si="8"/>
        <v/>
      </c>
      <c r="U443" s="1">
        <f t="shared" si="9"/>
        <v>99</v>
      </c>
    </row>
    <row r="444" spans="1:21">
      <c r="A444" s="1" t="s">
        <v>262</v>
      </c>
      <c r="B444" s="1">
        <v>2015</v>
      </c>
      <c r="C444" s="1">
        <v>3412.0129390000002</v>
      </c>
      <c r="D444" s="1">
        <v>95.04499817</v>
      </c>
      <c r="E444" s="1">
        <v>99.131397559999996</v>
      </c>
      <c r="F444" s="1">
        <v>0.53810473530000003</v>
      </c>
      <c r="G444" s="1">
        <v>0.30749747300000002</v>
      </c>
      <c r="H444" s="1">
        <v>2.3000230189999998E-2</v>
      </c>
      <c r="I444" s="1">
        <v>91.495843840000006</v>
      </c>
      <c r="J444" s="1">
        <v>4.5115506810000001</v>
      </c>
      <c r="K444" s="1">
        <v>3.5284232109999998</v>
      </c>
      <c r="L444" s="1">
        <v>0.46418227099999998</v>
      </c>
      <c r="M444" s="1">
        <v>99.529461979999994</v>
      </c>
      <c r="N444" s="1">
        <v>0.3309562908</v>
      </c>
      <c r="O444" s="1">
        <v>0.13958172699999999</v>
      </c>
      <c r="P444" s="1">
        <v>0</v>
      </c>
      <c r="Q444" s="2">
        <f t="shared" si="5"/>
        <v>5</v>
      </c>
      <c r="R444" s="1">
        <f t="shared" si="6"/>
        <v>7.2872000000000978E-2</v>
      </c>
      <c r="S444" s="1">
        <f t="shared" si="7"/>
        <v>0.76099723199999969</v>
      </c>
      <c r="T444" s="1">
        <f t="shared" si="8"/>
        <v>3.2654492000000347E-2</v>
      </c>
      <c r="U444" s="1">
        <f t="shared" si="9"/>
        <v>99</v>
      </c>
    </row>
    <row r="445" spans="1:21">
      <c r="A445" s="1" t="s">
        <v>262</v>
      </c>
      <c r="B445" s="1">
        <v>2020</v>
      </c>
      <c r="C445" s="1">
        <v>3473.7270509999998</v>
      </c>
      <c r="D445" s="1">
        <v>95.51499939</v>
      </c>
      <c r="E445" s="1">
        <v>99.495757560000001</v>
      </c>
      <c r="F445" s="1">
        <v>0.50424244119999995</v>
      </c>
      <c r="G445" s="1">
        <v>0</v>
      </c>
      <c r="H445" s="1">
        <v>0</v>
      </c>
      <c r="I445" s="1">
        <v>95.300830000000005</v>
      </c>
      <c r="J445" s="1">
        <v>4.6991699999999996</v>
      </c>
      <c r="K445" s="1">
        <v>0</v>
      </c>
      <c r="L445" s="1">
        <v>0</v>
      </c>
      <c r="M445" s="1">
        <v>99.692734439999995</v>
      </c>
      <c r="N445" s="1">
        <v>0.30726556170000002</v>
      </c>
      <c r="O445" s="1">
        <v>0</v>
      </c>
      <c r="P445" s="1">
        <v>0</v>
      </c>
      <c r="Q445" s="2" t="str">
        <f t="shared" si="5"/>
        <v/>
      </c>
      <c r="R445" s="1" t="str">
        <f t="shared" si="6"/>
        <v/>
      </c>
      <c r="S445" s="1" t="str">
        <f t="shared" si="7"/>
        <v/>
      </c>
      <c r="T445" s="1" t="str">
        <f t="shared" si="8"/>
        <v/>
      </c>
      <c r="U445" s="1">
        <f t="shared" si="9"/>
        <v>99</v>
      </c>
    </row>
    <row r="446" spans="1:21">
      <c r="A446" s="1" t="s">
        <v>263</v>
      </c>
      <c r="B446" s="1">
        <v>2015</v>
      </c>
      <c r="C446" s="1">
        <v>30929.556639999999</v>
      </c>
      <c r="D446" s="1">
        <v>50.75</v>
      </c>
      <c r="E446" s="1">
        <v>97.528578260000003</v>
      </c>
      <c r="F446" s="1">
        <v>0</v>
      </c>
      <c r="G446" s="1">
        <v>0</v>
      </c>
      <c r="H446" s="1">
        <v>2.4714217359999999</v>
      </c>
      <c r="I446" s="1">
        <v>95.642391549999999</v>
      </c>
      <c r="J446" s="1">
        <v>0</v>
      </c>
      <c r="K446" s="1">
        <v>0</v>
      </c>
      <c r="L446" s="1">
        <v>4.3576084509999999</v>
      </c>
      <c r="M446" s="1">
        <v>99.359015619999994</v>
      </c>
      <c r="N446" s="1">
        <v>0</v>
      </c>
      <c r="O446" s="1">
        <v>0</v>
      </c>
      <c r="P446" s="1">
        <v>0.64098438430000004</v>
      </c>
      <c r="Q446" s="2">
        <f t="shared" si="5"/>
        <v>5</v>
      </c>
      <c r="R446" s="1">
        <f t="shared" si="6"/>
        <v>6.0041318000000385E-2</v>
      </c>
      <c r="S446" s="1">
        <f t="shared" si="7"/>
        <v>8.6038161999999835E-2</v>
      </c>
      <c r="T446" s="1">
        <f t="shared" si="8"/>
        <v>3.9397988000001757E-2</v>
      </c>
      <c r="U446" s="1">
        <f t="shared" si="9"/>
        <v>98</v>
      </c>
    </row>
    <row r="447" spans="1:21">
      <c r="A447" s="1" t="s">
        <v>263</v>
      </c>
      <c r="B447" s="1">
        <v>2020</v>
      </c>
      <c r="C447" s="1">
        <v>33469.199220000002</v>
      </c>
      <c r="D447" s="1">
        <v>50.415996550000003</v>
      </c>
      <c r="E447" s="1">
        <v>97.828784850000005</v>
      </c>
      <c r="F447" s="1">
        <v>0</v>
      </c>
      <c r="G447" s="1">
        <v>0.22384422000000001</v>
      </c>
      <c r="H447" s="1">
        <v>1.947370925</v>
      </c>
      <c r="I447" s="1">
        <v>96.072582359999998</v>
      </c>
      <c r="J447" s="1">
        <v>0</v>
      </c>
      <c r="K447" s="1">
        <v>0</v>
      </c>
      <c r="L447" s="1">
        <v>3.927417637</v>
      </c>
      <c r="M447" s="1">
        <v>99.556005560000003</v>
      </c>
      <c r="N447" s="1">
        <v>0</v>
      </c>
      <c r="O447" s="1">
        <v>0.44399444339999999</v>
      </c>
      <c r="P447" s="1">
        <v>0</v>
      </c>
      <c r="Q447" s="2" t="str">
        <f t="shared" si="5"/>
        <v/>
      </c>
      <c r="R447" s="1" t="str">
        <f t="shared" si="6"/>
        <v/>
      </c>
      <c r="S447" s="1" t="str">
        <f t="shared" si="7"/>
        <v/>
      </c>
      <c r="T447" s="1" t="str">
        <f t="shared" si="8"/>
        <v/>
      </c>
      <c r="U447" s="1">
        <f t="shared" si="9"/>
        <v>98</v>
      </c>
    </row>
    <row r="448" spans="1:21">
      <c r="A448" s="1" t="s">
        <v>264</v>
      </c>
      <c r="B448" s="1">
        <v>2015</v>
      </c>
      <c r="C448" s="1">
        <v>271.1279907</v>
      </c>
      <c r="D448" s="1">
        <v>24.961002350000001</v>
      </c>
      <c r="E448" s="1">
        <v>89.988176490000001</v>
      </c>
      <c r="F448" s="1">
        <v>1.05094321</v>
      </c>
      <c r="G448" s="1">
        <v>1.545004807</v>
      </c>
      <c r="H448" s="1">
        <v>7.4158754880000002</v>
      </c>
      <c r="I448" s="1">
        <v>86.978050659999994</v>
      </c>
      <c r="J448" s="1">
        <v>1.234982464</v>
      </c>
      <c r="K448" s="1">
        <v>1.9042720630000001</v>
      </c>
      <c r="L448" s="1">
        <v>9.8826948130000005</v>
      </c>
      <c r="M448" s="1">
        <v>99.037355989999995</v>
      </c>
      <c r="N448" s="1">
        <v>0.49767515569999998</v>
      </c>
      <c r="O448" s="1">
        <v>0.46496885310000002</v>
      </c>
      <c r="P448" s="1">
        <v>0</v>
      </c>
      <c r="Q448" s="2">
        <f t="shared" si="5"/>
        <v>5</v>
      </c>
      <c r="R448" s="1">
        <f t="shared" si="6"/>
        <v>0.24860285199999907</v>
      </c>
      <c r="S448" s="1">
        <f t="shared" si="7"/>
        <v>0.28383011399999986</v>
      </c>
      <c r="T448" s="1">
        <f t="shared" si="8"/>
        <v>9.2528802000001062E-2</v>
      </c>
      <c r="U448" s="1">
        <f t="shared" si="9"/>
        <v>90</v>
      </c>
    </row>
    <row r="449" spans="1:21">
      <c r="A449" s="1" t="s">
        <v>264</v>
      </c>
      <c r="B449" s="1">
        <v>2020</v>
      </c>
      <c r="C449" s="1">
        <v>307.14999390000003</v>
      </c>
      <c r="D449" s="1">
        <v>25.525001530000001</v>
      </c>
      <c r="E449" s="1">
        <v>91.231190749999996</v>
      </c>
      <c r="F449" s="1">
        <v>1.0623850500000001</v>
      </c>
      <c r="G449" s="1">
        <v>0</v>
      </c>
      <c r="H449" s="1">
        <v>7.706424202</v>
      </c>
      <c r="I449" s="1">
        <v>88.397201229999993</v>
      </c>
      <c r="J449" s="1">
        <v>1.255132675</v>
      </c>
      <c r="K449" s="1">
        <v>0</v>
      </c>
      <c r="L449" s="1">
        <v>10.3476661</v>
      </c>
      <c r="M449" s="1">
        <v>99.5</v>
      </c>
      <c r="N449" s="1">
        <v>0.5</v>
      </c>
      <c r="O449" s="1">
        <v>0</v>
      </c>
      <c r="P449" s="1">
        <v>0</v>
      </c>
      <c r="Q449" s="2" t="str">
        <f t="shared" si="5"/>
        <v/>
      </c>
      <c r="R449" s="1" t="str">
        <f t="shared" si="6"/>
        <v/>
      </c>
      <c r="S449" s="1" t="str">
        <f t="shared" si="7"/>
        <v/>
      </c>
      <c r="T449" s="1" t="str">
        <f t="shared" si="8"/>
        <v/>
      </c>
      <c r="U449" s="1">
        <f t="shared" si="9"/>
        <v>91</v>
      </c>
    </row>
    <row r="450" spans="1:21">
      <c r="A450" s="1" t="s">
        <v>265</v>
      </c>
      <c r="B450" s="1">
        <v>2015</v>
      </c>
      <c r="C450" s="1">
        <v>30081.82617</v>
      </c>
      <c r="D450" s="1">
        <v>88.153999330000005</v>
      </c>
      <c r="E450" s="1">
        <v>94.571275009999994</v>
      </c>
      <c r="F450" s="1">
        <v>0.47523253770000001</v>
      </c>
      <c r="G450" s="1">
        <v>3.5752642610000001</v>
      </c>
      <c r="H450" s="1">
        <v>1.3782281919999999</v>
      </c>
      <c r="I450" s="1" t="s">
        <v>272</v>
      </c>
      <c r="J450" s="1" t="s">
        <v>272</v>
      </c>
      <c r="K450" s="1" t="s">
        <v>272</v>
      </c>
      <c r="L450" s="1" t="s">
        <v>272</v>
      </c>
      <c r="M450" s="1" t="s">
        <v>272</v>
      </c>
      <c r="N450" s="1" t="s">
        <v>272</v>
      </c>
      <c r="O450" s="1" t="s">
        <v>272</v>
      </c>
      <c r="P450" s="1" t="s">
        <v>272</v>
      </c>
      <c r="Q450" s="2">
        <f t="shared" si="5"/>
        <v>5</v>
      </c>
      <c r="R450" s="1">
        <f t="shared" si="6"/>
        <v>-0.17709485999999969</v>
      </c>
      <c r="S450" s="1" t="str">
        <f t="shared" si="7"/>
        <v>null</v>
      </c>
      <c r="T450" s="1" t="str">
        <f t="shared" si="8"/>
        <v>null</v>
      </c>
      <c r="U450" s="1">
        <f t="shared" si="9"/>
        <v>95</v>
      </c>
    </row>
    <row r="451" spans="1:21">
      <c r="A451" s="1" t="s">
        <v>265</v>
      </c>
      <c r="B451" s="1">
        <v>2020</v>
      </c>
      <c r="C451" s="1">
        <v>28435.943360000001</v>
      </c>
      <c r="D451" s="1">
        <v>88.278999330000005</v>
      </c>
      <c r="E451" s="1">
        <v>93.685800709999995</v>
      </c>
      <c r="F451" s="1">
        <v>0.4707829181</v>
      </c>
      <c r="G451" s="1">
        <v>5.8434163730000002</v>
      </c>
      <c r="H451" s="1" t="s">
        <v>272</v>
      </c>
      <c r="I451" s="1" t="s">
        <v>272</v>
      </c>
      <c r="J451" s="1" t="s">
        <v>272</v>
      </c>
      <c r="K451" s="1" t="s">
        <v>272</v>
      </c>
      <c r="L451" s="1" t="s">
        <v>272</v>
      </c>
      <c r="M451" s="1" t="s">
        <v>272</v>
      </c>
      <c r="N451" s="1" t="s">
        <v>272</v>
      </c>
      <c r="O451" s="1" t="s">
        <v>272</v>
      </c>
      <c r="P451" s="1" t="s">
        <v>272</v>
      </c>
      <c r="Q451" s="2" t="str">
        <f t="shared" si="5"/>
        <v/>
      </c>
      <c r="R451" s="1" t="str">
        <f t="shared" si="6"/>
        <v/>
      </c>
      <c r="S451" s="1" t="str">
        <f t="shared" si="7"/>
        <v/>
      </c>
      <c r="T451" s="1" t="str">
        <f t="shared" si="8"/>
        <v/>
      </c>
      <c r="U451" s="1">
        <f t="shared" si="9"/>
        <v>94</v>
      </c>
    </row>
    <row r="452" spans="1:21">
      <c r="A452" s="1" t="s">
        <v>266</v>
      </c>
      <c r="B452" s="1">
        <v>2015</v>
      </c>
      <c r="C452" s="1">
        <v>92677.078129999994</v>
      </c>
      <c r="D452" s="1">
        <v>33.80900192</v>
      </c>
      <c r="E452" s="1">
        <v>93.328060579999999</v>
      </c>
      <c r="F452" s="1">
        <v>5.2071837849999997E-2</v>
      </c>
      <c r="G452" s="1">
        <v>6.1636180359999999</v>
      </c>
      <c r="H452" s="1">
        <v>0.45624954629999998</v>
      </c>
      <c r="I452" s="1">
        <v>90.833067990000004</v>
      </c>
      <c r="J452" s="1">
        <v>0</v>
      </c>
      <c r="K452" s="1">
        <v>8.4776395650000005</v>
      </c>
      <c r="L452" s="1">
        <v>0.68929244290000002</v>
      </c>
      <c r="M452" s="1">
        <v>98.212743520000004</v>
      </c>
      <c r="N452" s="1">
        <v>0.15401768120000001</v>
      </c>
      <c r="O452" s="1">
        <v>1.6332387960000001</v>
      </c>
      <c r="P452" s="1">
        <v>0</v>
      </c>
      <c r="Q452" s="2">
        <f t="shared" si="5"/>
        <v>5</v>
      </c>
      <c r="R452" s="1">
        <f t="shared" si="6"/>
        <v>0.71125925800000123</v>
      </c>
      <c r="S452" s="1">
        <f t="shared" si="7"/>
        <v>0.93629408999999841</v>
      </c>
      <c r="T452" s="1">
        <f t="shared" si="8"/>
        <v>0.1940592979999991</v>
      </c>
      <c r="U452" s="1">
        <f t="shared" si="9"/>
        <v>93</v>
      </c>
    </row>
    <row r="453" spans="1:21">
      <c r="A453" s="1" t="s">
        <v>266</v>
      </c>
      <c r="B453" s="1">
        <v>2020</v>
      </c>
      <c r="C453" s="1">
        <v>97338.585940000004</v>
      </c>
      <c r="D453" s="1">
        <v>37.340000150000002</v>
      </c>
      <c r="E453" s="1">
        <v>96.884356870000005</v>
      </c>
      <c r="F453" s="1">
        <v>0</v>
      </c>
      <c r="G453" s="1">
        <v>3.1156431260000002</v>
      </c>
      <c r="H453" s="1">
        <v>0</v>
      </c>
      <c r="I453" s="1">
        <v>95.514538439999995</v>
      </c>
      <c r="J453" s="1">
        <v>0</v>
      </c>
      <c r="K453" s="1">
        <v>4.4854615600000001</v>
      </c>
      <c r="L453" s="1">
        <v>0</v>
      </c>
      <c r="M453" s="1">
        <v>99.183040009999999</v>
      </c>
      <c r="N453" s="1">
        <v>0</v>
      </c>
      <c r="O453" s="1">
        <v>0.81695998700000005</v>
      </c>
      <c r="P453" s="1">
        <v>0</v>
      </c>
      <c r="Q453" s="2" t="str">
        <f t="shared" si="5"/>
        <v/>
      </c>
      <c r="R453" s="1" t="str">
        <f t="shared" si="6"/>
        <v/>
      </c>
      <c r="S453" s="1" t="str">
        <f t="shared" si="7"/>
        <v/>
      </c>
      <c r="T453" s="1" t="str">
        <f t="shared" si="8"/>
        <v/>
      </c>
      <c r="U453" s="1">
        <f t="shared" si="9"/>
        <v>97</v>
      </c>
    </row>
    <row r="454" spans="1:21">
      <c r="A454" s="1" t="s">
        <v>267</v>
      </c>
      <c r="B454" s="1">
        <v>2015</v>
      </c>
      <c r="C454" s="1">
        <v>12.26200008</v>
      </c>
      <c r="D454" s="1">
        <v>0</v>
      </c>
      <c r="E454" s="1">
        <v>99.321381529999996</v>
      </c>
      <c r="F454" s="1">
        <v>0</v>
      </c>
      <c r="G454" s="1">
        <v>0.67861847409999998</v>
      </c>
      <c r="H454" s="1">
        <v>0</v>
      </c>
      <c r="I454" s="1">
        <v>99.321381529999996</v>
      </c>
      <c r="J454" s="1">
        <v>0</v>
      </c>
      <c r="K454" s="1">
        <v>0.67861847409999998</v>
      </c>
      <c r="L454" s="1">
        <v>0</v>
      </c>
      <c r="M454" s="1" t="s">
        <v>272</v>
      </c>
      <c r="N454" s="1" t="s">
        <v>272</v>
      </c>
      <c r="O454" s="1" t="s">
        <v>272</v>
      </c>
      <c r="P454" s="1" t="s">
        <v>272</v>
      </c>
      <c r="Q454" s="2">
        <f t="shared" si="5"/>
        <v>5</v>
      </c>
      <c r="R454" s="1">
        <f t="shared" si="6"/>
        <v>-3.5618833999998857E-2</v>
      </c>
      <c r="S454" s="1">
        <f t="shared" si="7"/>
        <v>-3.5618833999998857E-2</v>
      </c>
      <c r="T454" s="1" t="str">
        <f t="shared" si="8"/>
        <v>null</v>
      </c>
      <c r="U454" s="1">
        <f t="shared" si="9"/>
        <v>99</v>
      </c>
    </row>
    <row r="455" spans="1:21">
      <c r="A455" s="1" t="s">
        <v>267</v>
      </c>
      <c r="B455" s="1">
        <v>2020</v>
      </c>
      <c r="C455" s="1">
        <v>11.24600029</v>
      </c>
      <c r="D455" s="1">
        <v>0</v>
      </c>
      <c r="E455" s="1">
        <v>99.143287360000002</v>
      </c>
      <c r="F455" s="1">
        <v>0</v>
      </c>
      <c r="G455" s="1">
        <v>0.85671263900000005</v>
      </c>
      <c r="H455" s="1">
        <v>0</v>
      </c>
      <c r="I455" s="1">
        <v>99.143287360000002</v>
      </c>
      <c r="J455" s="1">
        <v>0</v>
      </c>
      <c r="K455" s="1">
        <v>0.85671263900000005</v>
      </c>
      <c r="L455" s="1">
        <v>0</v>
      </c>
      <c r="M455" s="1" t="s">
        <v>272</v>
      </c>
      <c r="N455" s="1" t="s">
        <v>272</v>
      </c>
      <c r="O455" s="1" t="s">
        <v>272</v>
      </c>
      <c r="P455" s="1" t="s">
        <v>272</v>
      </c>
      <c r="Q455" s="2" t="str">
        <f t="shared" si="5"/>
        <v/>
      </c>
      <c r="R455" s="1" t="str">
        <f t="shared" si="6"/>
        <v/>
      </c>
      <c r="S455" s="1" t="str">
        <f t="shared" si="7"/>
        <v/>
      </c>
      <c r="T455" s="1" t="str">
        <f t="shared" si="8"/>
        <v/>
      </c>
      <c r="U455" s="1">
        <f t="shared" si="9"/>
        <v>99</v>
      </c>
    </row>
    <row r="456" spans="1:21">
      <c r="A456" s="1" t="s">
        <v>268</v>
      </c>
      <c r="B456" s="1">
        <v>2015</v>
      </c>
      <c r="C456" s="1">
        <v>4529.1601559999999</v>
      </c>
      <c r="D456" s="1">
        <v>75.367996219999995</v>
      </c>
      <c r="E456" s="1">
        <v>96.379856709999999</v>
      </c>
      <c r="F456" s="1">
        <v>0.58753466440000002</v>
      </c>
      <c r="G456" s="1">
        <v>3.0326086220000001</v>
      </c>
      <c r="H456" s="1" t="s">
        <v>272</v>
      </c>
      <c r="I456" s="1">
        <v>95.381142350000005</v>
      </c>
      <c r="J456" s="1">
        <v>0.99273120920000002</v>
      </c>
      <c r="K456" s="1">
        <v>3.6261264409999998</v>
      </c>
      <c r="L456" s="1" t="s">
        <v>272</v>
      </c>
      <c r="M456" s="1">
        <v>96.706259619999997</v>
      </c>
      <c r="N456" s="1">
        <v>0.45510708030000002</v>
      </c>
      <c r="O456" s="1">
        <v>2.838633298</v>
      </c>
      <c r="P456" s="1" t="s">
        <v>272</v>
      </c>
      <c r="Q456" s="2">
        <f t="shared" si="5"/>
        <v>5</v>
      </c>
      <c r="R456" s="1">
        <f t="shared" si="6"/>
        <v>0.30010810200000149</v>
      </c>
      <c r="S456" s="1">
        <f t="shared" si="7"/>
        <v>0.66688281399999882</v>
      </c>
      <c r="T456" s="1">
        <f t="shared" si="8"/>
        <v>0.18414096200000074</v>
      </c>
      <c r="U456" s="1">
        <f t="shared" si="9"/>
        <v>96</v>
      </c>
    </row>
    <row r="457" spans="1:21">
      <c r="A457" s="1" t="s">
        <v>268</v>
      </c>
      <c r="B457" s="1">
        <v>2020</v>
      </c>
      <c r="C457" s="1">
        <v>5101.4160160000001</v>
      </c>
      <c r="D457" s="1">
        <v>76.718994140000007</v>
      </c>
      <c r="E457" s="1">
        <v>97.880397220000006</v>
      </c>
      <c r="F457" s="1">
        <v>1.029979486</v>
      </c>
      <c r="G457" s="1">
        <v>1.089623295</v>
      </c>
      <c r="H457" s="1" t="s">
        <v>272</v>
      </c>
      <c r="I457" s="1">
        <v>98.715556419999999</v>
      </c>
      <c r="J457" s="1">
        <v>0.31740062730000002</v>
      </c>
      <c r="K457" s="1">
        <v>0.96704295760000003</v>
      </c>
      <c r="L457" s="1" t="s">
        <v>272</v>
      </c>
      <c r="M457" s="1">
        <v>97.626964430000001</v>
      </c>
      <c r="N457" s="1">
        <v>1.246217358</v>
      </c>
      <c r="O457" s="1">
        <v>1.126818208</v>
      </c>
      <c r="P457" s="1" t="s">
        <v>272</v>
      </c>
      <c r="Q457" s="2" t="str">
        <f t="shared" si="5"/>
        <v/>
      </c>
      <c r="R457" s="1" t="str">
        <f t="shared" si="6"/>
        <v/>
      </c>
      <c r="S457" s="1" t="str">
        <f t="shared" si="7"/>
        <v/>
      </c>
      <c r="T457" s="1" t="str">
        <f t="shared" si="8"/>
        <v/>
      </c>
      <c r="U457" s="1">
        <f t="shared" si="9"/>
        <v>98</v>
      </c>
    </row>
    <row r="458" spans="1:21">
      <c r="A458" s="1" t="s">
        <v>269</v>
      </c>
      <c r="B458" s="1">
        <v>2015</v>
      </c>
      <c r="C458" s="1">
        <v>26497.880860000001</v>
      </c>
      <c r="D458" s="1">
        <v>34.777000430000001</v>
      </c>
      <c r="E458" s="1">
        <v>55.778868629999998</v>
      </c>
      <c r="F458" s="1">
        <v>26.035606600000001</v>
      </c>
      <c r="G458" s="1">
        <v>14.70974567</v>
      </c>
      <c r="H458" s="1">
        <v>3.4757790979999998</v>
      </c>
      <c r="I458" s="1">
        <v>44.958268160000003</v>
      </c>
      <c r="J458" s="1">
        <v>28.794611020000001</v>
      </c>
      <c r="K458" s="1">
        <v>21.10381293</v>
      </c>
      <c r="L458" s="1">
        <v>5.1433078959999996</v>
      </c>
      <c r="M458" s="1">
        <v>76.072511899999995</v>
      </c>
      <c r="N458" s="1">
        <v>20.861194009999998</v>
      </c>
      <c r="O458" s="1">
        <v>2.7179047039999999</v>
      </c>
      <c r="P458" s="1">
        <v>0.3483893924</v>
      </c>
      <c r="Q458" s="2">
        <f t="shared" si="5"/>
        <v>5</v>
      </c>
      <c r="R458" s="1">
        <f t="shared" si="6"/>
        <v>0.97694024200000062</v>
      </c>
      <c r="S458" s="1">
        <f t="shared" si="7"/>
        <v>1.1446132419999997</v>
      </c>
      <c r="T458" s="1">
        <f t="shared" si="8"/>
        <v>0.18832348800000034</v>
      </c>
      <c r="U458" s="1">
        <f t="shared" si="9"/>
        <v>56</v>
      </c>
    </row>
    <row r="459" spans="1:21">
      <c r="A459" s="1" t="s">
        <v>269</v>
      </c>
      <c r="B459" s="1">
        <v>2020</v>
      </c>
      <c r="C459" s="1">
        <v>29825.96875</v>
      </c>
      <c r="D459" s="1">
        <v>37.907997129999998</v>
      </c>
      <c r="E459" s="1">
        <v>60.663569840000001</v>
      </c>
      <c r="F459" s="1">
        <v>28.9627418</v>
      </c>
      <c r="G459" s="1">
        <v>7.77785276</v>
      </c>
      <c r="H459" s="1">
        <v>2.595835594</v>
      </c>
      <c r="I459" s="1">
        <v>50.681334370000002</v>
      </c>
      <c r="J459" s="1">
        <v>33.53021373</v>
      </c>
      <c r="K459" s="1">
        <v>11.60782393</v>
      </c>
      <c r="L459" s="1">
        <v>4.1806279780000004</v>
      </c>
      <c r="M459" s="1">
        <v>77.014129339999997</v>
      </c>
      <c r="N459" s="1">
        <v>21.481379369999999</v>
      </c>
      <c r="O459" s="1">
        <v>1.5044912859999999</v>
      </c>
      <c r="P459" s="1">
        <v>0</v>
      </c>
      <c r="Q459" s="2" t="str">
        <f t="shared" si="5"/>
        <v/>
      </c>
      <c r="R459" s="1" t="str">
        <f t="shared" si="6"/>
        <v/>
      </c>
      <c r="S459" s="1" t="str">
        <f t="shared" si="7"/>
        <v/>
      </c>
      <c r="T459" s="1" t="str">
        <f t="shared" si="8"/>
        <v/>
      </c>
      <c r="U459" s="1">
        <f t="shared" si="9"/>
        <v>61</v>
      </c>
    </row>
    <row r="460" spans="1:21">
      <c r="A460" s="1" t="s">
        <v>270</v>
      </c>
      <c r="B460" s="1">
        <v>2015</v>
      </c>
      <c r="C460" s="1">
        <v>15879.37012</v>
      </c>
      <c r="D460" s="1">
        <v>41.9070015</v>
      </c>
      <c r="E460" s="1">
        <v>61.338746280000002</v>
      </c>
      <c r="F460" s="1">
        <v>5.6539172300000002</v>
      </c>
      <c r="G460" s="1">
        <v>23.3359001</v>
      </c>
      <c r="H460" s="1">
        <v>9.6714363920000004</v>
      </c>
      <c r="I460" s="1">
        <v>43.616834320000002</v>
      </c>
      <c r="J460" s="1">
        <v>7.2108648679999998</v>
      </c>
      <c r="K460" s="1">
        <v>33.257219489999997</v>
      </c>
      <c r="L460" s="1">
        <v>15.915081320000001</v>
      </c>
      <c r="M460" s="1">
        <v>85.90549729</v>
      </c>
      <c r="N460" s="1">
        <v>3.495619671</v>
      </c>
      <c r="O460" s="1">
        <v>9.5826138469999993</v>
      </c>
      <c r="P460" s="1">
        <v>1.0162691930000001</v>
      </c>
      <c r="Q460" s="2">
        <f t="shared" si="5"/>
        <v>5</v>
      </c>
      <c r="R460" s="1">
        <f t="shared" si="6"/>
        <v>0.81472745800000013</v>
      </c>
      <c r="S460" s="1">
        <f t="shared" si="7"/>
        <v>0.9220908019999996</v>
      </c>
      <c r="T460" s="1">
        <f t="shared" si="8"/>
        <v>0.16567147400000123</v>
      </c>
      <c r="U460" s="1">
        <f t="shared" si="9"/>
        <v>61</v>
      </c>
    </row>
    <row r="461" spans="1:21">
      <c r="A461" s="1" t="s">
        <v>270</v>
      </c>
      <c r="B461" s="1">
        <v>2020</v>
      </c>
      <c r="C461" s="1">
        <v>18383.95508</v>
      </c>
      <c r="D461" s="1">
        <v>44.6289978</v>
      </c>
      <c r="E461" s="1">
        <v>65.412383570000003</v>
      </c>
      <c r="F461" s="1">
        <v>6.1539390200000001</v>
      </c>
      <c r="G461" s="1">
        <v>21.576840709999999</v>
      </c>
      <c r="H461" s="1">
        <v>6.8568367060000002</v>
      </c>
      <c r="I461" s="1">
        <v>48.22728833</v>
      </c>
      <c r="J461" s="1">
        <v>8.3317036130000002</v>
      </c>
      <c r="K461" s="1">
        <v>31.608654439999999</v>
      </c>
      <c r="L461" s="1">
        <v>11.832353619999999</v>
      </c>
      <c r="M461" s="1">
        <v>86.733854660000006</v>
      </c>
      <c r="N461" s="1">
        <v>3.4519961939999999</v>
      </c>
      <c r="O461" s="1">
        <v>9.1304141049999998</v>
      </c>
      <c r="P461" s="1">
        <v>0.68373504630000004</v>
      </c>
      <c r="Q461" s="2" t="str">
        <f t="shared" si="5"/>
        <v/>
      </c>
      <c r="R461" s="1" t="str">
        <f t="shared" si="6"/>
        <v/>
      </c>
      <c r="S461" s="1" t="str">
        <f t="shared" si="7"/>
        <v/>
      </c>
      <c r="T461" s="1" t="str">
        <f t="shared" si="8"/>
        <v/>
      </c>
      <c r="U461" s="1">
        <f t="shared" si="9"/>
        <v>65</v>
      </c>
    </row>
    <row r="462" spans="1:21">
      <c r="A462" s="1" t="s">
        <v>271</v>
      </c>
      <c r="B462" s="1">
        <v>2015</v>
      </c>
      <c r="C462" s="1">
        <v>13814.641600000001</v>
      </c>
      <c r="D462" s="1">
        <v>32.384998320000001</v>
      </c>
      <c r="E462" s="1">
        <v>64.954929109999995</v>
      </c>
      <c r="F462" s="1">
        <v>12.456764769999999</v>
      </c>
      <c r="G462" s="1">
        <v>15.89884206</v>
      </c>
      <c r="H462" s="1">
        <v>6.6894640550000002</v>
      </c>
      <c r="I462" s="1">
        <v>51.25006071</v>
      </c>
      <c r="J462" s="1">
        <v>16.396726579999999</v>
      </c>
      <c r="K462" s="1">
        <v>22.514468619999999</v>
      </c>
      <c r="L462" s="1">
        <v>9.8387440880000003</v>
      </c>
      <c r="M462" s="1">
        <v>93.568635740000005</v>
      </c>
      <c r="N462" s="1">
        <v>4.2307197299999997</v>
      </c>
      <c r="O462" s="1">
        <v>2.086401773</v>
      </c>
      <c r="P462" s="1">
        <v>0.11424275640000001</v>
      </c>
      <c r="Q462" s="2">
        <f t="shared" si="5"/>
        <v>5</v>
      </c>
      <c r="R462" s="1">
        <f t="shared" si="6"/>
        <v>-0.45769429999999856</v>
      </c>
      <c r="S462" s="1">
        <f t="shared" si="7"/>
        <v>-0.59352637199999947</v>
      </c>
      <c r="T462" s="1">
        <f t="shared" si="8"/>
        <v>-0.13470135800000094</v>
      </c>
      <c r="U462" s="1">
        <f t="shared" si="9"/>
        <v>65</v>
      </c>
    </row>
    <row r="463" spans="1:21">
      <c r="A463" s="1" t="s">
        <v>271</v>
      </c>
      <c r="B463" s="1">
        <v>2020</v>
      </c>
      <c r="C463" s="1">
        <v>14862.92676</v>
      </c>
      <c r="D463" s="1">
        <v>32.242000580000003</v>
      </c>
      <c r="E463" s="1">
        <v>62.666457610000002</v>
      </c>
      <c r="F463" s="1">
        <v>14.1975397</v>
      </c>
      <c r="G463" s="1">
        <v>16.277855450000001</v>
      </c>
      <c r="H463" s="1">
        <v>6.8581472420000003</v>
      </c>
      <c r="I463" s="1">
        <v>48.282428850000002</v>
      </c>
      <c r="J463" s="1">
        <v>18.590984670000001</v>
      </c>
      <c r="K463" s="1">
        <v>23.013646550000001</v>
      </c>
      <c r="L463" s="1">
        <v>10.112939920000001</v>
      </c>
      <c r="M463" s="1">
        <v>92.89512895</v>
      </c>
      <c r="N463" s="1">
        <v>4.9645177570000003</v>
      </c>
      <c r="O463" s="1">
        <v>2.1222986740000001</v>
      </c>
      <c r="P463" s="1">
        <v>1.805461538E-2</v>
      </c>
      <c r="Q463" s="2" t="str">
        <f t="shared" si="5"/>
        <v/>
      </c>
      <c r="R463" s="1" t="str">
        <f t="shared" si="6"/>
        <v/>
      </c>
      <c r="S463" s="1" t="str">
        <f t="shared" si="7"/>
        <v/>
      </c>
      <c r="T463" s="1" t="str">
        <f t="shared" si="8"/>
        <v/>
      </c>
      <c r="U463" s="1">
        <f t="shared" si="9"/>
        <v>63</v>
      </c>
    </row>
  </sheetData>
  <autoFilter ref="A1:T46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465"/>
  <sheetViews>
    <sheetView workbookViewId="0"/>
  </sheetViews>
  <sheetFormatPr defaultColWidth="12.6328125" defaultRowHeight="15.75" customHeight="1"/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16</v>
      </c>
      <c r="M1" s="1" t="s">
        <v>19</v>
      </c>
      <c r="N1" s="1" t="s">
        <v>21</v>
      </c>
      <c r="O1" s="1" t="s">
        <v>23</v>
      </c>
      <c r="P1" s="1" t="s">
        <v>25</v>
      </c>
    </row>
    <row r="2" spans="1:16" ht="15.75" customHeight="1">
      <c r="A2" s="1" t="s">
        <v>87</v>
      </c>
      <c r="B2" s="1">
        <v>2020</v>
      </c>
      <c r="C2" s="1">
        <v>4105.2680659999996</v>
      </c>
      <c r="D2" s="1">
        <v>57.552997589999997</v>
      </c>
      <c r="E2" s="1" t="s">
        <v>272</v>
      </c>
      <c r="F2" s="1" t="s">
        <v>272</v>
      </c>
      <c r="G2" s="1" t="s">
        <v>272</v>
      </c>
      <c r="H2" s="1" t="s">
        <v>272</v>
      </c>
      <c r="I2" s="1" t="s">
        <v>272</v>
      </c>
      <c r="J2" s="1" t="s">
        <v>272</v>
      </c>
      <c r="K2" s="1" t="s">
        <v>272</v>
      </c>
      <c r="L2" s="1" t="s">
        <v>272</v>
      </c>
      <c r="M2" s="1">
        <v>100</v>
      </c>
      <c r="N2" s="1">
        <v>0</v>
      </c>
      <c r="O2" s="1">
        <v>0</v>
      </c>
      <c r="P2" s="1">
        <v>0</v>
      </c>
    </row>
    <row r="3" spans="1:16" ht="15.75" customHeight="1">
      <c r="A3" s="1" t="s">
        <v>87</v>
      </c>
      <c r="B3" s="1">
        <v>2015</v>
      </c>
      <c r="C3" s="1">
        <v>4232.8740230000003</v>
      </c>
      <c r="D3" s="1">
        <v>56.155002590000002</v>
      </c>
      <c r="E3" s="1" t="s">
        <v>272</v>
      </c>
      <c r="F3" s="1" t="s">
        <v>272</v>
      </c>
      <c r="G3" s="1" t="s">
        <v>272</v>
      </c>
      <c r="H3" s="1" t="s">
        <v>272</v>
      </c>
      <c r="I3" s="1" t="s">
        <v>272</v>
      </c>
      <c r="J3" s="1" t="s">
        <v>272</v>
      </c>
      <c r="K3" s="1" t="s">
        <v>272</v>
      </c>
      <c r="L3" s="1" t="s">
        <v>272</v>
      </c>
      <c r="M3" s="1">
        <v>100</v>
      </c>
      <c r="N3" s="1">
        <v>0</v>
      </c>
      <c r="O3" s="1">
        <v>0</v>
      </c>
      <c r="P3" s="1">
        <v>0</v>
      </c>
    </row>
    <row r="4" spans="1:16" ht="15.75" customHeight="1">
      <c r="A4" s="1" t="s">
        <v>33</v>
      </c>
      <c r="B4" s="1">
        <v>2020</v>
      </c>
      <c r="C4" s="1">
        <v>45195.777340000001</v>
      </c>
      <c r="D4" s="1">
        <v>92.111000059999995</v>
      </c>
      <c r="E4" s="1" t="s">
        <v>272</v>
      </c>
      <c r="F4" s="1" t="s">
        <v>272</v>
      </c>
      <c r="G4" s="1" t="s">
        <v>272</v>
      </c>
      <c r="H4" s="1" t="s">
        <v>272</v>
      </c>
      <c r="I4" s="1" t="s">
        <v>272</v>
      </c>
      <c r="J4" s="1" t="s">
        <v>272</v>
      </c>
      <c r="K4" s="1" t="s">
        <v>272</v>
      </c>
      <c r="L4" s="1" t="s">
        <v>272</v>
      </c>
      <c r="M4" s="1">
        <v>99.790420650000002</v>
      </c>
      <c r="N4" s="1">
        <v>0</v>
      </c>
      <c r="O4" s="1">
        <v>0.20957935010000001</v>
      </c>
      <c r="P4" s="1">
        <v>0</v>
      </c>
    </row>
    <row r="5" spans="1:16" ht="15.75" customHeight="1">
      <c r="A5" s="1" t="s">
        <v>119</v>
      </c>
      <c r="B5" s="1">
        <v>2015</v>
      </c>
      <c r="C5" s="1">
        <v>10659.737300000001</v>
      </c>
      <c r="D5" s="1">
        <v>78.046005249999993</v>
      </c>
      <c r="E5" s="1">
        <v>100.0000046</v>
      </c>
      <c r="F5" s="1">
        <v>0</v>
      </c>
      <c r="G5" s="1">
        <v>0</v>
      </c>
      <c r="H5" s="1">
        <v>0</v>
      </c>
      <c r="I5" s="1">
        <v>100</v>
      </c>
      <c r="J5" s="1">
        <v>0</v>
      </c>
      <c r="K5" s="1">
        <v>0</v>
      </c>
      <c r="L5" s="1">
        <v>0</v>
      </c>
      <c r="M5" s="1">
        <v>100</v>
      </c>
      <c r="N5" s="1">
        <v>0</v>
      </c>
      <c r="O5" s="1">
        <v>0</v>
      </c>
      <c r="P5" s="1">
        <v>0</v>
      </c>
    </row>
    <row r="6" spans="1:16" ht="15.75" customHeight="1">
      <c r="A6" s="1" t="s">
        <v>24</v>
      </c>
      <c r="B6" s="1">
        <v>2020</v>
      </c>
      <c r="C6" s="1">
        <v>77.26499939</v>
      </c>
      <c r="D6" s="1">
        <v>87.916000370000006</v>
      </c>
      <c r="E6" s="1">
        <v>100.00000369999999</v>
      </c>
      <c r="F6" s="1">
        <v>0</v>
      </c>
      <c r="G6" s="1">
        <v>0</v>
      </c>
      <c r="H6" s="1">
        <v>0</v>
      </c>
      <c r="I6" s="1">
        <v>100</v>
      </c>
      <c r="J6" s="1">
        <v>0</v>
      </c>
      <c r="K6" s="1">
        <v>0</v>
      </c>
      <c r="L6" s="1">
        <v>0</v>
      </c>
      <c r="M6" s="1">
        <v>100</v>
      </c>
      <c r="N6" s="1">
        <v>0</v>
      </c>
      <c r="O6" s="1">
        <v>0</v>
      </c>
      <c r="P6" s="1">
        <v>0</v>
      </c>
    </row>
    <row r="7" spans="1:16" ht="15.75" customHeight="1">
      <c r="A7" s="1" t="s">
        <v>109</v>
      </c>
      <c r="B7" s="1">
        <v>2020</v>
      </c>
      <c r="C7" s="1">
        <v>5540.7177730000003</v>
      </c>
      <c r="D7" s="1">
        <v>85.517005920000003</v>
      </c>
      <c r="E7" s="1">
        <v>100.0000033</v>
      </c>
      <c r="F7" s="1">
        <v>0</v>
      </c>
      <c r="G7" s="1">
        <v>0</v>
      </c>
      <c r="H7" s="1">
        <v>0</v>
      </c>
      <c r="I7" s="1">
        <v>100</v>
      </c>
      <c r="J7" s="1">
        <v>0</v>
      </c>
      <c r="K7" s="1">
        <v>0</v>
      </c>
      <c r="L7" s="1">
        <v>0</v>
      </c>
      <c r="M7" s="1">
        <v>100</v>
      </c>
      <c r="N7" s="1">
        <v>0</v>
      </c>
      <c r="O7" s="1">
        <v>0</v>
      </c>
      <c r="P7" s="1">
        <v>0</v>
      </c>
    </row>
    <row r="8" spans="1:16" ht="15.75" customHeight="1">
      <c r="A8" s="1" t="s">
        <v>240</v>
      </c>
      <c r="B8" s="1">
        <v>2020</v>
      </c>
      <c r="C8" s="1">
        <v>8654.6181639999995</v>
      </c>
      <c r="D8" s="1">
        <v>73.915000919999997</v>
      </c>
      <c r="E8" s="1">
        <v>100.0000028</v>
      </c>
      <c r="F8" s="1">
        <v>0</v>
      </c>
      <c r="G8" s="1">
        <v>0</v>
      </c>
      <c r="H8" s="1">
        <v>0</v>
      </c>
      <c r="I8" s="1">
        <v>100</v>
      </c>
      <c r="J8" s="1">
        <v>0</v>
      </c>
      <c r="K8" s="1">
        <v>0</v>
      </c>
      <c r="L8" s="1">
        <v>0</v>
      </c>
      <c r="M8" s="1">
        <v>100</v>
      </c>
      <c r="N8" s="1">
        <v>0</v>
      </c>
      <c r="O8" s="1">
        <v>0</v>
      </c>
      <c r="P8" s="1">
        <v>0</v>
      </c>
    </row>
    <row r="9" spans="1:16" ht="15.75" customHeight="1">
      <c r="A9" s="1" t="s">
        <v>116</v>
      </c>
      <c r="B9" s="1">
        <v>2015</v>
      </c>
      <c r="C9" s="1">
        <v>81787.414059999996</v>
      </c>
      <c r="D9" s="1">
        <v>77.200004579999998</v>
      </c>
      <c r="E9" s="1">
        <v>100.0000024</v>
      </c>
      <c r="F9" s="1">
        <v>0</v>
      </c>
      <c r="G9" s="1">
        <v>0</v>
      </c>
      <c r="H9" s="1">
        <v>0</v>
      </c>
      <c r="I9" s="1">
        <v>100</v>
      </c>
      <c r="J9" s="1">
        <v>0</v>
      </c>
      <c r="K9" s="1">
        <v>0</v>
      </c>
      <c r="L9" s="1">
        <v>0</v>
      </c>
      <c r="M9" s="1">
        <v>100</v>
      </c>
      <c r="N9" s="1">
        <v>0</v>
      </c>
      <c r="O9" s="1">
        <v>0</v>
      </c>
      <c r="P9" s="1">
        <v>0</v>
      </c>
    </row>
    <row r="10" spans="1:16" ht="15.75" customHeight="1">
      <c r="A10" s="1" t="s">
        <v>131</v>
      </c>
      <c r="B10" s="1">
        <v>2015</v>
      </c>
      <c r="C10" s="1">
        <v>330.23699950000002</v>
      </c>
      <c r="D10" s="1">
        <v>93.699996949999999</v>
      </c>
      <c r="E10" s="1">
        <v>100.00000230000001</v>
      </c>
      <c r="F10" s="1">
        <v>0</v>
      </c>
      <c r="G10" s="1">
        <v>0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100</v>
      </c>
      <c r="N10" s="1">
        <v>0</v>
      </c>
      <c r="O10" s="1">
        <v>0</v>
      </c>
      <c r="P10" s="1">
        <v>0</v>
      </c>
    </row>
    <row r="11" spans="1:16" ht="15.75" customHeight="1">
      <c r="A11" s="1" t="s">
        <v>119</v>
      </c>
      <c r="B11" s="1">
        <v>2020</v>
      </c>
      <c r="C11" s="1">
        <v>10423.05566</v>
      </c>
      <c r="D11" s="1">
        <v>79.715003969999998</v>
      </c>
      <c r="E11" s="1">
        <v>100.00000230000001</v>
      </c>
      <c r="F11" s="1">
        <v>0</v>
      </c>
      <c r="G11" s="1">
        <v>0</v>
      </c>
      <c r="H11" s="1">
        <v>0</v>
      </c>
      <c r="I11" s="1">
        <v>100</v>
      </c>
      <c r="J11" s="1">
        <v>0</v>
      </c>
      <c r="K11" s="1">
        <v>0</v>
      </c>
      <c r="L11" s="1">
        <v>0</v>
      </c>
      <c r="M11" s="1">
        <v>100</v>
      </c>
      <c r="N11" s="1">
        <v>0</v>
      </c>
      <c r="O11" s="1">
        <v>0</v>
      </c>
      <c r="P11" s="1">
        <v>0</v>
      </c>
    </row>
    <row r="12" spans="1:16" ht="15.75" customHeight="1">
      <c r="A12" s="1" t="s">
        <v>116</v>
      </c>
      <c r="B12" s="1">
        <v>2020</v>
      </c>
      <c r="C12" s="1">
        <v>83783.945309999996</v>
      </c>
      <c r="D12" s="1">
        <v>77.453002929999997</v>
      </c>
      <c r="E12" s="1">
        <v>100.00000230000001</v>
      </c>
      <c r="F12" s="1">
        <v>0</v>
      </c>
      <c r="G12" s="1">
        <v>0</v>
      </c>
      <c r="H12" s="1">
        <v>0</v>
      </c>
      <c r="I12" s="1">
        <v>100</v>
      </c>
      <c r="J12" s="1">
        <v>0</v>
      </c>
      <c r="K12" s="1">
        <v>0</v>
      </c>
      <c r="L12" s="1">
        <v>0</v>
      </c>
      <c r="M12" s="1">
        <v>100</v>
      </c>
      <c r="N12" s="1">
        <v>0</v>
      </c>
      <c r="O12" s="1">
        <v>0</v>
      </c>
      <c r="P12" s="1">
        <v>0</v>
      </c>
    </row>
    <row r="13" spans="1:16" ht="15.75" customHeight="1">
      <c r="A13" s="1" t="s">
        <v>120</v>
      </c>
      <c r="B13" s="1">
        <v>2020</v>
      </c>
      <c r="C13" s="1">
        <v>56.771999360000002</v>
      </c>
      <c r="D13" s="1">
        <v>87.282005310000002</v>
      </c>
      <c r="E13" s="1">
        <v>100.0000017</v>
      </c>
      <c r="F13" s="1">
        <v>0</v>
      </c>
      <c r="G13" s="1">
        <v>0</v>
      </c>
      <c r="H13" s="1">
        <v>0</v>
      </c>
      <c r="I13" s="1">
        <v>100</v>
      </c>
      <c r="J13" s="1">
        <v>0</v>
      </c>
      <c r="K13" s="1">
        <v>0</v>
      </c>
      <c r="L13" s="1">
        <v>0</v>
      </c>
      <c r="M13" s="1">
        <v>100</v>
      </c>
      <c r="N13" s="1">
        <v>0</v>
      </c>
      <c r="O13" s="1">
        <v>0</v>
      </c>
      <c r="P13" s="1">
        <v>0</v>
      </c>
    </row>
    <row r="14" spans="1:16" ht="15.75" customHeight="1">
      <c r="A14" s="1" t="s">
        <v>138</v>
      </c>
      <c r="B14" s="1">
        <v>2015</v>
      </c>
      <c r="C14" s="1">
        <v>7978.4960940000001</v>
      </c>
      <c r="D14" s="1">
        <v>92.179000849999994</v>
      </c>
      <c r="E14" s="1">
        <v>100.0000015</v>
      </c>
      <c r="F14" s="1">
        <v>0</v>
      </c>
      <c r="G14" s="1">
        <v>0</v>
      </c>
      <c r="H14" s="1">
        <v>0</v>
      </c>
      <c r="I14" s="1">
        <v>100</v>
      </c>
      <c r="J14" s="1">
        <v>0</v>
      </c>
      <c r="K14" s="1">
        <v>0</v>
      </c>
      <c r="L14" s="1">
        <v>0</v>
      </c>
      <c r="M14" s="1">
        <v>100</v>
      </c>
      <c r="N14" s="1">
        <v>0</v>
      </c>
      <c r="O14" s="1">
        <v>0</v>
      </c>
      <c r="P14" s="1">
        <v>0</v>
      </c>
    </row>
    <row r="15" spans="1:16" ht="15.75" customHeight="1">
      <c r="A15" s="1" t="s">
        <v>257</v>
      </c>
      <c r="B15" s="1">
        <v>2015</v>
      </c>
      <c r="C15" s="1">
        <v>65860.148440000004</v>
      </c>
      <c r="D15" s="1">
        <v>82.625999449999995</v>
      </c>
      <c r="E15" s="1">
        <v>100.0000015</v>
      </c>
      <c r="F15" s="1">
        <v>0</v>
      </c>
      <c r="G15" s="1">
        <v>0</v>
      </c>
      <c r="H15" s="1">
        <v>0</v>
      </c>
      <c r="I15" s="1">
        <v>100</v>
      </c>
      <c r="J15" s="1">
        <v>0</v>
      </c>
      <c r="K15" s="1">
        <v>0</v>
      </c>
      <c r="L15" s="1">
        <v>0</v>
      </c>
      <c r="M15" s="1">
        <v>100</v>
      </c>
      <c r="N15" s="1">
        <v>0</v>
      </c>
      <c r="O15" s="1">
        <v>0</v>
      </c>
      <c r="P15" s="1">
        <v>0</v>
      </c>
    </row>
    <row r="16" spans="1:16" ht="15.75" customHeight="1">
      <c r="A16" s="1" t="s">
        <v>182</v>
      </c>
      <c r="B16" s="1">
        <v>2020</v>
      </c>
      <c r="C16" s="1">
        <v>4822.2329099999997</v>
      </c>
      <c r="D16" s="1">
        <v>86.698997500000004</v>
      </c>
      <c r="E16" s="1">
        <v>100.00000129999999</v>
      </c>
      <c r="F16" s="1">
        <v>0</v>
      </c>
      <c r="G16" s="1">
        <v>0</v>
      </c>
      <c r="H16" s="1">
        <v>0</v>
      </c>
      <c r="I16" s="1">
        <v>100</v>
      </c>
      <c r="J16" s="1">
        <v>0</v>
      </c>
      <c r="K16" s="1">
        <v>0</v>
      </c>
      <c r="L16" s="1">
        <v>0</v>
      </c>
      <c r="M16" s="1">
        <v>100</v>
      </c>
      <c r="N16" s="1">
        <v>0</v>
      </c>
      <c r="O16" s="1">
        <v>0</v>
      </c>
      <c r="P16" s="1">
        <v>0</v>
      </c>
    </row>
    <row r="17" spans="1:16" ht="15.75" customHeight="1">
      <c r="A17" s="1" t="s">
        <v>189</v>
      </c>
      <c r="B17" s="1">
        <v>2015</v>
      </c>
      <c r="C17" s="1">
        <v>5199.8271480000003</v>
      </c>
      <c r="D17" s="1">
        <v>81.090995789999994</v>
      </c>
      <c r="E17" s="1">
        <v>100.0000012</v>
      </c>
      <c r="F17" s="1">
        <v>0</v>
      </c>
      <c r="G17" s="1">
        <v>0</v>
      </c>
      <c r="H17" s="1">
        <v>0</v>
      </c>
      <c r="I17" s="1">
        <v>100</v>
      </c>
      <c r="J17" s="1">
        <v>0</v>
      </c>
      <c r="K17" s="1">
        <v>0</v>
      </c>
      <c r="L17" s="1">
        <v>0</v>
      </c>
      <c r="M17" s="1">
        <v>100</v>
      </c>
      <c r="N17" s="1">
        <v>0</v>
      </c>
      <c r="O17" s="1">
        <v>0</v>
      </c>
      <c r="P17" s="1">
        <v>0</v>
      </c>
    </row>
    <row r="18" spans="1:16" ht="15.75" customHeight="1">
      <c r="A18" s="1" t="s">
        <v>94</v>
      </c>
      <c r="B18" s="1">
        <v>2020</v>
      </c>
      <c r="C18" s="1">
        <v>5792.203125</v>
      </c>
      <c r="D18" s="1">
        <v>88.116004939999996</v>
      </c>
      <c r="E18" s="1">
        <v>100.00000110000001</v>
      </c>
      <c r="F18" s="1">
        <v>0</v>
      </c>
      <c r="G18" s="1">
        <v>0</v>
      </c>
      <c r="H18" s="1">
        <v>0</v>
      </c>
      <c r="I18" s="1">
        <v>100</v>
      </c>
      <c r="J18" s="1">
        <v>0</v>
      </c>
      <c r="K18" s="1">
        <v>0</v>
      </c>
      <c r="L18" s="1">
        <v>0</v>
      </c>
      <c r="M18" s="1">
        <v>100</v>
      </c>
      <c r="N18" s="1">
        <v>0</v>
      </c>
      <c r="O18" s="1">
        <v>0</v>
      </c>
      <c r="P18" s="1">
        <v>0</v>
      </c>
    </row>
    <row r="19" spans="1:16" ht="15.75" customHeight="1">
      <c r="A19" s="1" t="s">
        <v>162</v>
      </c>
      <c r="B19" s="1">
        <v>2020</v>
      </c>
      <c r="C19" s="1">
        <v>441.53900149999998</v>
      </c>
      <c r="D19" s="1">
        <v>94.744003300000003</v>
      </c>
      <c r="E19" s="1">
        <v>100.0000004</v>
      </c>
      <c r="F19" s="1">
        <v>0</v>
      </c>
      <c r="G19" s="1">
        <v>0</v>
      </c>
      <c r="H19" s="1">
        <v>0</v>
      </c>
      <c r="I19" s="1">
        <v>100</v>
      </c>
      <c r="J19" s="1">
        <v>0</v>
      </c>
      <c r="K19" s="1">
        <v>0</v>
      </c>
      <c r="L19" s="1">
        <v>0</v>
      </c>
      <c r="M19" s="1">
        <v>100</v>
      </c>
      <c r="N19" s="1">
        <v>0</v>
      </c>
      <c r="O19" s="1">
        <v>0</v>
      </c>
      <c r="P19" s="1">
        <v>0</v>
      </c>
    </row>
    <row r="20" spans="1:16" ht="12.5">
      <c r="A20" s="1" t="s">
        <v>209</v>
      </c>
      <c r="B20" s="1">
        <v>2020</v>
      </c>
      <c r="C20" s="1">
        <v>9.8849999999999998</v>
      </c>
      <c r="D20" s="1">
        <v>100</v>
      </c>
      <c r="E20" s="1">
        <v>100</v>
      </c>
      <c r="F20" s="1">
        <v>0</v>
      </c>
      <c r="G20" s="1">
        <v>0</v>
      </c>
      <c r="H20" s="1">
        <v>0</v>
      </c>
      <c r="I20" s="1" t="s">
        <v>272</v>
      </c>
      <c r="J20" s="1" t="s">
        <v>272</v>
      </c>
      <c r="K20" s="1" t="s">
        <v>272</v>
      </c>
      <c r="L20" s="1" t="s">
        <v>272</v>
      </c>
      <c r="M20" s="1">
        <v>100</v>
      </c>
      <c r="N20" s="1">
        <v>0</v>
      </c>
      <c r="O20" s="1">
        <v>0</v>
      </c>
      <c r="P20" s="1">
        <v>0</v>
      </c>
    </row>
    <row r="21" spans="1:16" ht="12.5">
      <c r="A21" s="1" t="s">
        <v>178</v>
      </c>
      <c r="B21" s="1">
        <v>2015</v>
      </c>
      <c r="C21" s="1">
        <v>10.373999599999999</v>
      </c>
      <c r="D21" s="1">
        <v>100</v>
      </c>
      <c r="E21" s="1">
        <v>100</v>
      </c>
      <c r="F21" s="1">
        <v>0</v>
      </c>
      <c r="G21" s="1">
        <v>0</v>
      </c>
      <c r="H21" s="1">
        <v>0</v>
      </c>
      <c r="I21" s="1" t="s">
        <v>272</v>
      </c>
      <c r="J21" s="1" t="s">
        <v>272</v>
      </c>
      <c r="K21" s="1" t="s">
        <v>272</v>
      </c>
      <c r="L21" s="1" t="s">
        <v>272</v>
      </c>
      <c r="M21" s="1">
        <v>100</v>
      </c>
      <c r="N21" s="1">
        <v>0</v>
      </c>
      <c r="O21" s="1">
        <v>0</v>
      </c>
      <c r="P21" s="1">
        <v>0</v>
      </c>
    </row>
    <row r="22" spans="1:16" ht="12.5">
      <c r="A22" s="1" t="s">
        <v>178</v>
      </c>
      <c r="B22" s="1">
        <v>2020</v>
      </c>
      <c r="C22" s="1">
        <v>10.833999629999999</v>
      </c>
      <c r="D22" s="1">
        <v>100</v>
      </c>
      <c r="E22" s="1">
        <v>100</v>
      </c>
      <c r="F22" s="1">
        <v>0</v>
      </c>
      <c r="G22" s="1">
        <v>0</v>
      </c>
      <c r="H22" s="1">
        <v>0</v>
      </c>
      <c r="I22" s="1" t="s">
        <v>272</v>
      </c>
      <c r="J22" s="1" t="s">
        <v>272</v>
      </c>
      <c r="K22" s="1" t="s">
        <v>272</v>
      </c>
      <c r="L22" s="1" t="s">
        <v>272</v>
      </c>
      <c r="M22" s="1">
        <v>100</v>
      </c>
      <c r="N22" s="1">
        <v>0</v>
      </c>
      <c r="O22" s="1">
        <v>0</v>
      </c>
      <c r="P22" s="1">
        <v>0</v>
      </c>
    </row>
    <row r="23" spans="1:16" ht="12.5">
      <c r="A23" s="1" t="s">
        <v>253</v>
      </c>
      <c r="B23" s="1">
        <v>2015</v>
      </c>
      <c r="C23" s="1">
        <v>11.09899998</v>
      </c>
      <c r="D23" s="1">
        <v>59.729999540000001</v>
      </c>
      <c r="E23" s="1">
        <v>100</v>
      </c>
      <c r="F23" s="1">
        <v>0</v>
      </c>
      <c r="G23" s="1">
        <v>0</v>
      </c>
      <c r="H23" s="1">
        <v>0</v>
      </c>
      <c r="I23" s="1">
        <v>100</v>
      </c>
      <c r="J23" s="1">
        <v>0</v>
      </c>
      <c r="K23" s="1">
        <v>0</v>
      </c>
      <c r="L23" s="1">
        <v>0</v>
      </c>
      <c r="M23" s="1">
        <v>100</v>
      </c>
      <c r="N23" s="1">
        <v>0</v>
      </c>
      <c r="O23" s="1">
        <v>0</v>
      </c>
      <c r="P23" s="1">
        <v>0</v>
      </c>
    </row>
    <row r="24" spans="1:16" ht="12.5">
      <c r="A24" s="1" t="s">
        <v>253</v>
      </c>
      <c r="B24" s="1">
        <v>2020</v>
      </c>
      <c r="C24" s="1">
        <v>11.791999819999999</v>
      </c>
      <c r="D24" s="1">
        <v>64.013999940000005</v>
      </c>
      <c r="E24" s="1">
        <v>100</v>
      </c>
      <c r="F24" s="1">
        <v>0</v>
      </c>
      <c r="G24" s="1">
        <v>0</v>
      </c>
      <c r="H24" s="1">
        <v>0</v>
      </c>
      <c r="I24" s="1">
        <v>100</v>
      </c>
      <c r="J24" s="1">
        <v>0</v>
      </c>
      <c r="K24" s="1">
        <v>0</v>
      </c>
      <c r="L24" s="1">
        <v>0</v>
      </c>
      <c r="M24" s="1">
        <v>100</v>
      </c>
      <c r="N24" s="1">
        <v>0</v>
      </c>
      <c r="O24" s="1">
        <v>0</v>
      </c>
      <c r="P24" s="1">
        <v>0</v>
      </c>
    </row>
    <row r="25" spans="1:16" ht="12.5">
      <c r="A25" s="1" t="s">
        <v>219</v>
      </c>
      <c r="B25" s="1">
        <v>2015</v>
      </c>
      <c r="C25" s="1">
        <v>33.270000459999999</v>
      </c>
      <c r="D25" s="1">
        <v>96.738998409999994</v>
      </c>
      <c r="E25" s="1">
        <v>100</v>
      </c>
      <c r="F25" s="1">
        <v>0</v>
      </c>
      <c r="G25" s="1">
        <v>0</v>
      </c>
      <c r="H25" s="1">
        <v>0</v>
      </c>
      <c r="I25" s="1" t="s">
        <v>272</v>
      </c>
      <c r="J25" s="1" t="s">
        <v>272</v>
      </c>
      <c r="K25" s="1" t="s">
        <v>272</v>
      </c>
      <c r="L25" s="1" t="s">
        <v>272</v>
      </c>
      <c r="M25" s="1" t="s">
        <v>272</v>
      </c>
      <c r="N25" s="1" t="s">
        <v>272</v>
      </c>
      <c r="O25" s="1" t="s">
        <v>272</v>
      </c>
      <c r="P25" s="1" t="s">
        <v>272</v>
      </c>
    </row>
    <row r="26" spans="1:16" ht="12.5">
      <c r="A26" s="1" t="s">
        <v>118</v>
      </c>
      <c r="B26" s="1">
        <v>2020</v>
      </c>
      <c r="C26" s="1">
        <v>33.691001890000003</v>
      </c>
      <c r="D26" s="1">
        <v>100</v>
      </c>
      <c r="E26" s="1">
        <v>100</v>
      </c>
      <c r="F26" s="1">
        <v>0</v>
      </c>
      <c r="G26" s="1">
        <v>0</v>
      </c>
      <c r="H26" s="1">
        <v>0</v>
      </c>
      <c r="I26" s="1" t="s">
        <v>272</v>
      </c>
      <c r="J26" s="1" t="s">
        <v>272</v>
      </c>
      <c r="K26" s="1" t="s">
        <v>272</v>
      </c>
      <c r="L26" s="1" t="s">
        <v>272</v>
      </c>
      <c r="M26" s="1">
        <v>100</v>
      </c>
      <c r="N26" s="1">
        <v>0</v>
      </c>
      <c r="O26" s="1">
        <v>0</v>
      </c>
      <c r="P26" s="1">
        <v>0</v>
      </c>
    </row>
    <row r="27" spans="1:16" ht="12.5">
      <c r="A27" s="1" t="s">
        <v>118</v>
      </c>
      <c r="B27" s="1">
        <v>2015</v>
      </c>
      <c r="C27" s="1">
        <v>33.742000580000003</v>
      </c>
      <c r="D27" s="1">
        <v>100</v>
      </c>
      <c r="E27" s="1">
        <v>100</v>
      </c>
      <c r="F27" s="1">
        <v>0</v>
      </c>
      <c r="G27" s="1">
        <v>0</v>
      </c>
      <c r="H27" s="1">
        <v>0</v>
      </c>
      <c r="I27" s="1" t="s">
        <v>272</v>
      </c>
      <c r="J27" s="1" t="s">
        <v>272</v>
      </c>
      <c r="K27" s="1" t="s">
        <v>272</v>
      </c>
      <c r="L27" s="1" t="s">
        <v>272</v>
      </c>
      <c r="M27" s="1">
        <v>100</v>
      </c>
      <c r="N27" s="1">
        <v>0</v>
      </c>
      <c r="O27" s="1">
        <v>0</v>
      </c>
      <c r="P27" s="1">
        <v>0</v>
      </c>
    </row>
    <row r="28" spans="1:16" ht="12.5">
      <c r="A28" s="1" t="s">
        <v>219</v>
      </c>
      <c r="B28" s="1">
        <v>2020</v>
      </c>
      <c r="C28" s="1">
        <v>33.937999730000001</v>
      </c>
      <c r="D28" s="1">
        <v>97.499000550000005</v>
      </c>
      <c r="E28" s="1">
        <v>100</v>
      </c>
      <c r="F28" s="1">
        <v>0</v>
      </c>
      <c r="G28" s="1">
        <v>0</v>
      </c>
      <c r="H28" s="1">
        <v>0</v>
      </c>
      <c r="I28" s="1" t="s">
        <v>272</v>
      </c>
      <c r="J28" s="1" t="s">
        <v>272</v>
      </c>
      <c r="K28" s="1" t="s">
        <v>272</v>
      </c>
      <c r="L28" s="1" t="s">
        <v>272</v>
      </c>
      <c r="M28" s="1" t="s">
        <v>272</v>
      </c>
      <c r="N28" s="1" t="s">
        <v>272</v>
      </c>
      <c r="O28" s="1" t="s">
        <v>272</v>
      </c>
      <c r="P28" s="1" t="s">
        <v>272</v>
      </c>
    </row>
    <row r="29" spans="1:16" ht="12.5">
      <c r="A29" s="1" t="s">
        <v>154</v>
      </c>
      <c r="B29" s="1">
        <v>2015</v>
      </c>
      <c r="C29" s="1">
        <v>37.465000150000002</v>
      </c>
      <c r="D29" s="1">
        <v>14.303000450000001</v>
      </c>
      <c r="E29" s="1">
        <v>100</v>
      </c>
      <c r="F29" s="1">
        <v>0</v>
      </c>
      <c r="G29" s="1">
        <v>0</v>
      </c>
      <c r="H29" s="1">
        <v>0</v>
      </c>
      <c r="I29" s="1" t="s">
        <v>272</v>
      </c>
      <c r="J29" s="1" t="s">
        <v>272</v>
      </c>
      <c r="K29" s="1" t="s">
        <v>272</v>
      </c>
      <c r="L29" s="1" t="s">
        <v>272</v>
      </c>
      <c r="M29" s="1" t="s">
        <v>272</v>
      </c>
      <c r="N29" s="1" t="s">
        <v>272</v>
      </c>
      <c r="O29" s="1" t="s">
        <v>272</v>
      </c>
      <c r="P29" s="1" t="s">
        <v>272</v>
      </c>
    </row>
    <row r="30" spans="1:16" ht="12.5">
      <c r="A30" s="1" t="s">
        <v>170</v>
      </c>
      <c r="B30" s="1">
        <v>2015</v>
      </c>
      <c r="C30" s="1">
        <v>37.722999569999999</v>
      </c>
      <c r="D30" s="1">
        <v>100</v>
      </c>
      <c r="E30" s="1">
        <v>100</v>
      </c>
      <c r="F30" s="1">
        <v>0</v>
      </c>
      <c r="G30" s="1">
        <v>0</v>
      </c>
      <c r="H30" s="1">
        <v>0</v>
      </c>
      <c r="I30" s="1" t="s">
        <v>272</v>
      </c>
      <c r="J30" s="1" t="s">
        <v>272</v>
      </c>
      <c r="K30" s="1" t="s">
        <v>272</v>
      </c>
      <c r="L30" s="1" t="s">
        <v>272</v>
      </c>
      <c r="M30" s="1">
        <v>100</v>
      </c>
      <c r="N30" s="1">
        <v>0</v>
      </c>
      <c r="O30" s="1">
        <v>0</v>
      </c>
      <c r="P30" s="1">
        <v>0</v>
      </c>
    </row>
    <row r="31" spans="1:16" ht="12.5">
      <c r="A31" s="1" t="s">
        <v>154</v>
      </c>
      <c r="B31" s="1">
        <v>2020</v>
      </c>
      <c r="C31" s="1">
        <v>38.137001040000001</v>
      </c>
      <c r="D31" s="1">
        <v>14.416000370000001</v>
      </c>
      <c r="E31" s="1">
        <v>100</v>
      </c>
      <c r="F31" s="1">
        <v>0</v>
      </c>
      <c r="G31" s="1">
        <v>0</v>
      </c>
      <c r="H31" s="1">
        <v>0</v>
      </c>
      <c r="I31" s="1" t="s">
        <v>272</v>
      </c>
      <c r="J31" s="1" t="s">
        <v>272</v>
      </c>
      <c r="K31" s="1" t="s">
        <v>272</v>
      </c>
      <c r="L31" s="1" t="s">
        <v>272</v>
      </c>
      <c r="M31" s="1" t="s">
        <v>272</v>
      </c>
      <c r="N31" s="1" t="s">
        <v>272</v>
      </c>
      <c r="O31" s="1" t="s">
        <v>272</v>
      </c>
      <c r="P31" s="1" t="s">
        <v>272</v>
      </c>
    </row>
    <row r="32" spans="1:16" ht="12.5">
      <c r="A32" s="1" t="s">
        <v>170</v>
      </c>
      <c r="B32" s="1">
        <v>2020</v>
      </c>
      <c r="C32" s="1">
        <v>39.243999479999999</v>
      </c>
      <c r="D32" s="1">
        <v>100</v>
      </c>
      <c r="E32" s="1">
        <v>100</v>
      </c>
      <c r="F32" s="1">
        <v>0</v>
      </c>
      <c r="G32" s="1">
        <v>0</v>
      </c>
      <c r="H32" s="1">
        <v>0</v>
      </c>
      <c r="I32" s="1" t="s">
        <v>272</v>
      </c>
      <c r="J32" s="1" t="s">
        <v>272</v>
      </c>
      <c r="K32" s="1" t="s">
        <v>272</v>
      </c>
      <c r="L32" s="1" t="s">
        <v>272</v>
      </c>
      <c r="M32" s="1">
        <v>100</v>
      </c>
      <c r="N32" s="1">
        <v>0</v>
      </c>
      <c r="O32" s="1">
        <v>0</v>
      </c>
      <c r="P32" s="1">
        <v>0</v>
      </c>
    </row>
    <row r="33" spans="1:16" ht="12.5">
      <c r="A33" s="1" t="s">
        <v>106</v>
      </c>
      <c r="B33" s="1">
        <v>2015</v>
      </c>
      <c r="C33" s="1">
        <v>48.055000309999997</v>
      </c>
      <c r="D33" s="1">
        <v>41.63799667</v>
      </c>
      <c r="E33" s="1">
        <v>100</v>
      </c>
      <c r="F33" s="1">
        <v>0</v>
      </c>
      <c r="G33" s="1">
        <v>0</v>
      </c>
      <c r="H33" s="1">
        <v>0</v>
      </c>
      <c r="I33" s="1" t="s">
        <v>272</v>
      </c>
      <c r="J33" s="1" t="s">
        <v>272</v>
      </c>
      <c r="K33" s="1" t="s">
        <v>272</v>
      </c>
      <c r="L33" s="1" t="s">
        <v>272</v>
      </c>
      <c r="M33" s="1" t="s">
        <v>272</v>
      </c>
      <c r="N33" s="1" t="s">
        <v>272</v>
      </c>
      <c r="O33" s="1" t="s">
        <v>272</v>
      </c>
      <c r="P33" s="1" t="s">
        <v>272</v>
      </c>
    </row>
    <row r="34" spans="1:16" ht="12.5">
      <c r="A34" s="1" t="s">
        <v>106</v>
      </c>
      <c r="B34" s="1">
        <v>2020</v>
      </c>
      <c r="C34" s="1">
        <v>48.865001679999999</v>
      </c>
      <c r="D34" s="1">
        <v>42.397998809999997</v>
      </c>
      <c r="E34" s="1">
        <v>100</v>
      </c>
      <c r="F34" s="1">
        <v>0</v>
      </c>
      <c r="G34" s="1">
        <v>0</v>
      </c>
      <c r="H34" s="1">
        <v>0</v>
      </c>
      <c r="I34" s="1" t="s">
        <v>272</v>
      </c>
      <c r="J34" s="1" t="s">
        <v>272</v>
      </c>
      <c r="K34" s="1" t="s">
        <v>272</v>
      </c>
      <c r="L34" s="1" t="s">
        <v>272</v>
      </c>
      <c r="M34" s="1" t="s">
        <v>272</v>
      </c>
      <c r="N34" s="1" t="s">
        <v>272</v>
      </c>
      <c r="O34" s="1" t="s">
        <v>272</v>
      </c>
      <c r="P34" s="1" t="s">
        <v>272</v>
      </c>
    </row>
    <row r="35" spans="1:16" ht="12.5">
      <c r="A35" s="1" t="s">
        <v>120</v>
      </c>
      <c r="B35" s="1">
        <v>2015</v>
      </c>
      <c r="C35" s="1">
        <v>56.377998349999999</v>
      </c>
      <c r="D35" s="1">
        <v>86.070999150000006</v>
      </c>
      <c r="E35" s="1">
        <v>100</v>
      </c>
      <c r="F35" s="1">
        <v>0</v>
      </c>
      <c r="G35" s="1">
        <v>0</v>
      </c>
      <c r="H35" s="1">
        <v>0</v>
      </c>
      <c r="I35" s="1">
        <v>100</v>
      </c>
      <c r="J35" s="1">
        <v>0</v>
      </c>
      <c r="K35" s="1">
        <v>0</v>
      </c>
      <c r="L35" s="1">
        <v>0</v>
      </c>
      <c r="M35" s="1">
        <v>100</v>
      </c>
      <c r="N35" s="1">
        <v>0</v>
      </c>
      <c r="O35" s="1">
        <v>0</v>
      </c>
      <c r="P35" s="1">
        <v>0</v>
      </c>
    </row>
    <row r="36" spans="1:16" ht="12.5">
      <c r="A36" s="1" t="s">
        <v>188</v>
      </c>
      <c r="B36" s="1">
        <v>2020</v>
      </c>
      <c r="C36" s="1">
        <v>57.556999210000001</v>
      </c>
      <c r="D36" s="1">
        <v>91.797996519999998</v>
      </c>
      <c r="E36" s="1">
        <v>100</v>
      </c>
      <c r="F36" s="1">
        <v>0</v>
      </c>
      <c r="G36" s="1">
        <v>0</v>
      </c>
      <c r="H36" s="1">
        <v>0</v>
      </c>
      <c r="I36" s="1" t="s">
        <v>272</v>
      </c>
      <c r="J36" s="1" t="s">
        <v>272</v>
      </c>
      <c r="K36" s="1" t="s">
        <v>272</v>
      </c>
      <c r="L36" s="1" t="s">
        <v>272</v>
      </c>
      <c r="M36" s="1" t="s">
        <v>272</v>
      </c>
      <c r="N36" s="1" t="s">
        <v>272</v>
      </c>
      <c r="O36" s="1" t="s">
        <v>272</v>
      </c>
      <c r="P36" s="1" t="s">
        <v>272</v>
      </c>
    </row>
    <row r="37" spans="1:16" ht="12.5">
      <c r="A37" s="1" t="s">
        <v>112</v>
      </c>
      <c r="B37" s="1">
        <v>2015</v>
      </c>
      <c r="C37" s="1">
        <v>273.118988</v>
      </c>
      <c r="D37" s="1">
        <v>61.683002469999998</v>
      </c>
      <c r="E37" s="1">
        <v>100</v>
      </c>
      <c r="F37" s="1">
        <v>0</v>
      </c>
      <c r="G37" s="1">
        <v>0</v>
      </c>
      <c r="H37" s="1">
        <v>0</v>
      </c>
      <c r="I37" s="1" t="s">
        <v>272</v>
      </c>
      <c r="J37" s="1" t="s">
        <v>272</v>
      </c>
      <c r="K37" s="1" t="s">
        <v>272</v>
      </c>
      <c r="L37" s="1" t="s">
        <v>272</v>
      </c>
      <c r="M37" s="1" t="s">
        <v>272</v>
      </c>
      <c r="N37" s="1" t="s">
        <v>272</v>
      </c>
      <c r="O37" s="1" t="s">
        <v>272</v>
      </c>
      <c r="P37" s="1" t="s">
        <v>272</v>
      </c>
    </row>
    <row r="38" spans="1:16" ht="12.5">
      <c r="A38" s="1" t="s">
        <v>112</v>
      </c>
      <c r="B38" s="1">
        <v>2020</v>
      </c>
      <c r="C38" s="1">
        <v>280.90399170000001</v>
      </c>
      <c r="D38" s="1">
        <v>61.975002289999999</v>
      </c>
      <c r="E38" s="1">
        <v>100</v>
      </c>
      <c r="F38" s="1">
        <v>0</v>
      </c>
      <c r="G38" s="1">
        <v>0</v>
      </c>
      <c r="H38" s="1">
        <v>0</v>
      </c>
      <c r="I38" s="1" t="s">
        <v>272</v>
      </c>
      <c r="J38" s="1" t="s">
        <v>272</v>
      </c>
      <c r="K38" s="1" t="s">
        <v>272</v>
      </c>
      <c r="L38" s="1" t="s">
        <v>272</v>
      </c>
      <c r="M38" s="1" t="s">
        <v>272</v>
      </c>
      <c r="N38" s="1" t="s">
        <v>272</v>
      </c>
      <c r="O38" s="1" t="s">
        <v>272</v>
      </c>
      <c r="P38" s="1" t="s">
        <v>272</v>
      </c>
    </row>
    <row r="39" spans="1:16" ht="12.5">
      <c r="A39" s="1" t="s">
        <v>162</v>
      </c>
      <c r="B39" s="1">
        <v>2015</v>
      </c>
      <c r="C39" s="1">
        <v>433.55899049999999</v>
      </c>
      <c r="D39" s="1">
        <v>94.414001459999994</v>
      </c>
      <c r="E39" s="1">
        <v>100</v>
      </c>
      <c r="F39" s="1">
        <v>0</v>
      </c>
      <c r="G39" s="1">
        <v>0</v>
      </c>
      <c r="H39" s="1">
        <v>0</v>
      </c>
      <c r="I39" s="1">
        <v>100</v>
      </c>
      <c r="J39" s="1">
        <v>0</v>
      </c>
      <c r="K39" s="1">
        <v>0</v>
      </c>
      <c r="L39" s="1">
        <v>0</v>
      </c>
      <c r="M39" s="1">
        <v>100</v>
      </c>
      <c r="N39" s="1">
        <v>0</v>
      </c>
      <c r="O39" s="1">
        <v>0</v>
      </c>
      <c r="P39" s="1">
        <v>0</v>
      </c>
    </row>
    <row r="40" spans="1:16" ht="12.5">
      <c r="A40" s="1" t="s">
        <v>80</v>
      </c>
      <c r="B40" s="1">
        <v>2015</v>
      </c>
      <c r="C40" s="1">
        <v>602.09301760000005</v>
      </c>
      <c r="D40" s="1">
        <v>100</v>
      </c>
      <c r="E40" s="1">
        <v>100</v>
      </c>
      <c r="F40" s="1">
        <v>0</v>
      </c>
      <c r="G40" s="1">
        <v>0</v>
      </c>
      <c r="H40" s="1">
        <v>0</v>
      </c>
      <c r="I40" s="1" t="s">
        <v>272</v>
      </c>
      <c r="J40" s="1" t="s">
        <v>272</v>
      </c>
      <c r="K40" s="1" t="s">
        <v>272</v>
      </c>
      <c r="L40" s="1" t="s">
        <v>272</v>
      </c>
      <c r="M40" s="1">
        <v>100</v>
      </c>
      <c r="N40" s="1">
        <v>0</v>
      </c>
      <c r="O40" s="1">
        <v>0</v>
      </c>
      <c r="P40" s="1">
        <v>0</v>
      </c>
    </row>
    <row r="41" spans="1:16" ht="12.5">
      <c r="A41" s="1" t="s">
        <v>80</v>
      </c>
      <c r="B41" s="1">
        <v>2020</v>
      </c>
      <c r="C41" s="1">
        <v>649.34198000000004</v>
      </c>
      <c r="D41" s="1">
        <v>100</v>
      </c>
      <c r="E41" s="1">
        <v>100</v>
      </c>
      <c r="F41" s="1">
        <v>0</v>
      </c>
      <c r="G41" s="1">
        <v>0</v>
      </c>
      <c r="H41" s="1">
        <v>0</v>
      </c>
      <c r="I41" s="1" t="s">
        <v>272</v>
      </c>
      <c r="J41" s="1" t="s">
        <v>272</v>
      </c>
      <c r="K41" s="1" t="s">
        <v>272</v>
      </c>
      <c r="L41" s="1" t="s">
        <v>272</v>
      </c>
      <c r="M41" s="1">
        <v>100</v>
      </c>
      <c r="N41" s="1">
        <v>0</v>
      </c>
      <c r="O41" s="1">
        <v>0</v>
      </c>
      <c r="P41" s="1">
        <v>0</v>
      </c>
    </row>
    <row r="42" spans="1:16" ht="12.5">
      <c r="A42" s="1" t="s">
        <v>204</v>
      </c>
      <c r="B42" s="1">
        <v>2020</v>
      </c>
      <c r="C42" s="1">
        <v>895.30798340000001</v>
      </c>
      <c r="D42" s="1">
        <v>99.659004210000006</v>
      </c>
      <c r="E42" s="1">
        <v>100</v>
      </c>
      <c r="F42" s="1">
        <v>0</v>
      </c>
      <c r="G42" s="1">
        <v>0</v>
      </c>
      <c r="H42" s="1">
        <v>0</v>
      </c>
      <c r="I42" s="1" t="s">
        <v>272</v>
      </c>
      <c r="J42" s="1" t="s">
        <v>272</v>
      </c>
      <c r="K42" s="1" t="s">
        <v>272</v>
      </c>
      <c r="L42" s="1" t="s">
        <v>272</v>
      </c>
      <c r="M42" s="1" t="s">
        <v>272</v>
      </c>
      <c r="N42" s="1" t="s">
        <v>272</v>
      </c>
      <c r="O42" s="1" t="s">
        <v>272</v>
      </c>
      <c r="P42" s="1" t="s">
        <v>272</v>
      </c>
    </row>
    <row r="43" spans="1:16" ht="12.5">
      <c r="A43" s="1" t="s">
        <v>46</v>
      </c>
      <c r="B43" s="1">
        <v>2015</v>
      </c>
      <c r="C43" s="1">
        <v>1371.8530270000001</v>
      </c>
      <c r="D43" s="1">
        <v>88.998992920000006</v>
      </c>
      <c r="E43" s="1">
        <v>100</v>
      </c>
      <c r="F43" s="1">
        <v>0</v>
      </c>
      <c r="G43" s="1">
        <v>0</v>
      </c>
      <c r="H43" s="1">
        <v>0</v>
      </c>
      <c r="I43" s="1" t="s">
        <v>272</v>
      </c>
      <c r="J43" s="1" t="s">
        <v>272</v>
      </c>
      <c r="K43" s="1" t="s">
        <v>272</v>
      </c>
      <c r="L43" s="1" t="s">
        <v>272</v>
      </c>
      <c r="M43" s="1" t="s">
        <v>272</v>
      </c>
      <c r="N43" s="1" t="s">
        <v>272</v>
      </c>
      <c r="O43" s="1" t="s">
        <v>272</v>
      </c>
      <c r="P43" s="1" t="s">
        <v>272</v>
      </c>
    </row>
    <row r="44" spans="1:16" ht="12.5">
      <c r="A44" s="1" t="s">
        <v>46</v>
      </c>
      <c r="B44" s="1">
        <v>2020</v>
      </c>
      <c r="C44" s="1">
        <v>1701.5830080000001</v>
      </c>
      <c r="D44" s="1">
        <v>89.506004329999996</v>
      </c>
      <c r="E44" s="1">
        <v>100</v>
      </c>
      <c r="F44" s="1">
        <v>0</v>
      </c>
      <c r="G44" s="1">
        <v>0</v>
      </c>
      <c r="H44" s="1">
        <v>0</v>
      </c>
      <c r="I44" s="1" t="s">
        <v>272</v>
      </c>
      <c r="J44" s="1" t="s">
        <v>272</v>
      </c>
      <c r="K44" s="1" t="s">
        <v>272</v>
      </c>
      <c r="L44" s="1" t="s">
        <v>272</v>
      </c>
      <c r="M44" s="1" t="s">
        <v>272</v>
      </c>
      <c r="N44" s="1" t="s">
        <v>272</v>
      </c>
      <c r="O44" s="1" t="s">
        <v>272</v>
      </c>
      <c r="P44" s="1" t="s">
        <v>272</v>
      </c>
    </row>
    <row r="45" spans="1:16" ht="12.5">
      <c r="A45" s="1" t="s">
        <v>200</v>
      </c>
      <c r="B45" s="1">
        <v>2020</v>
      </c>
      <c r="C45" s="1">
        <v>2860.8400879999999</v>
      </c>
      <c r="D45" s="1">
        <v>93.581001279999995</v>
      </c>
      <c r="E45" s="1">
        <v>100</v>
      </c>
      <c r="F45" s="1">
        <v>0</v>
      </c>
      <c r="G45" s="1">
        <v>0</v>
      </c>
      <c r="H45" s="1">
        <v>0</v>
      </c>
      <c r="I45" s="1" t="s">
        <v>272</v>
      </c>
      <c r="J45" s="1" t="s">
        <v>272</v>
      </c>
      <c r="K45" s="1" t="s">
        <v>272</v>
      </c>
      <c r="L45" s="1" t="s">
        <v>272</v>
      </c>
      <c r="M45" s="1" t="s">
        <v>272</v>
      </c>
      <c r="N45" s="1" t="s">
        <v>272</v>
      </c>
      <c r="O45" s="1" t="s">
        <v>272</v>
      </c>
      <c r="P45" s="1" t="s">
        <v>272</v>
      </c>
    </row>
    <row r="46" spans="1:16" ht="12.5">
      <c r="A46" s="1" t="s">
        <v>146</v>
      </c>
      <c r="B46" s="1">
        <v>2015</v>
      </c>
      <c r="C46" s="1">
        <v>3835.5878910000001</v>
      </c>
      <c r="D46" s="1">
        <v>100</v>
      </c>
      <c r="E46" s="1">
        <v>100</v>
      </c>
      <c r="F46" s="1">
        <v>0</v>
      </c>
      <c r="G46" s="1">
        <v>0</v>
      </c>
      <c r="H46" s="1">
        <v>0</v>
      </c>
      <c r="I46" s="1" t="s">
        <v>272</v>
      </c>
      <c r="J46" s="1" t="s">
        <v>272</v>
      </c>
      <c r="K46" s="1" t="s">
        <v>272</v>
      </c>
      <c r="L46" s="1" t="s">
        <v>272</v>
      </c>
      <c r="M46" s="1" t="s">
        <v>272</v>
      </c>
      <c r="N46" s="1" t="s">
        <v>272</v>
      </c>
      <c r="O46" s="1" t="s">
        <v>272</v>
      </c>
      <c r="P46" s="1" t="s">
        <v>272</v>
      </c>
    </row>
    <row r="47" spans="1:16" ht="12.5">
      <c r="A47" s="1" t="s">
        <v>146</v>
      </c>
      <c r="B47" s="1">
        <v>2020</v>
      </c>
      <c r="C47" s="1">
        <v>4270.5629879999997</v>
      </c>
      <c r="D47" s="1">
        <v>100</v>
      </c>
      <c r="E47" s="1">
        <v>100</v>
      </c>
      <c r="F47" s="1">
        <v>0</v>
      </c>
      <c r="G47" s="1">
        <v>0</v>
      </c>
      <c r="H47" s="1">
        <v>0</v>
      </c>
      <c r="I47" s="1" t="s">
        <v>272</v>
      </c>
      <c r="J47" s="1" t="s">
        <v>272</v>
      </c>
      <c r="K47" s="1" t="s">
        <v>272</v>
      </c>
      <c r="L47" s="1" t="s">
        <v>272</v>
      </c>
      <c r="M47" s="1" t="s">
        <v>272</v>
      </c>
      <c r="N47" s="1" t="s">
        <v>272</v>
      </c>
      <c r="O47" s="1" t="s">
        <v>272</v>
      </c>
      <c r="P47" s="1" t="s">
        <v>272</v>
      </c>
    </row>
    <row r="48" spans="1:16" ht="12.5">
      <c r="A48" s="1" t="s">
        <v>226</v>
      </c>
      <c r="B48" s="1">
        <v>2015</v>
      </c>
      <c r="C48" s="1">
        <v>5592.1430659999996</v>
      </c>
      <c r="D48" s="1">
        <v>100</v>
      </c>
      <c r="E48" s="1">
        <v>100</v>
      </c>
      <c r="F48" s="1">
        <v>0</v>
      </c>
      <c r="G48" s="1">
        <v>0</v>
      </c>
      <c r="H48" s="1">
        <v>0</v>
      </c>
      <c r="I48" s="1" t="s">
        <v>272</v>
      </c>
      <c r="J48" s="1" t="s">
        <v>272</v>
      </c>
      <c r="K48" s="1" t="s">
        <v>272</v>
      </c>
      <c r="L48" s="1" t="s">
        <v>272</v>
      </c>
      <c r="M48" s="1">
        <v>100</v>
      </c>
      <c r="N48" s="1">
        <v>0</v>
      </c>
      <c r="O48" s="1">
        <v>0</v>
      </c>
      <c r="P48" s="1">
        <v>0</v>
      </c>
    </row>
    <row r="49" spans="1:16" ht="12.5">
      <c r="A49" s="1" t="s">
        <v>226</v>
      </c>
      <c r="B49" s="1">
        <v>2020</v>
      </c>
      <c r="C49" s="1">
        <v>5850.3427730000003</v>
      </c>
      <c r="D49" s="1">
        <v>100</v>
      </c>
      <c r="E49" s="1">
        <v>100</v>
      </c>
      <c r="F49" s="1">
        <v>0</v>
      </c>
      <c r="G49" s="1">
        <v>0</v>
      </c>
      <c r="H49" s="1">
        <v>0</v>
      </c>
      <c r="I49" s="1" t="s">
        <v>272</v>
      </c>
      <c r="J49" s="1" t="s">
        <v>272</v>
      </c>
      <c r="K49" s="1" t="s">
        <v>272</v>
      </c>
      <c r="L49" s="1" t="s">
        <v>272</v>
      </c>
      <c r="M49" s="1">
        <v>100</v>
      </c>
      <c r="N49" s="1">
        <v>0</v>
      </c>
      <c r="O49" s="1">
        <v>0</v>
      </c>
      <c r="P49" s="1">
        <v>0</v>
      </c>
    </row>
    <row r="50" spans="1:16" ht="12.5">
      <c r="A50" s="1" t="s">
        <v>251</v>
      </c>
      <c r="B50" s="1">
        <v>2020</v>
      </c>
      <c r="C50" s="1">
        <v>6031.1870120000003</v>
      </c>
      <c r="D50" s="1">
        <v>52.516002659999998</v>
      </c>
      <c r="E50" s="1">
        <v>100</v>
      </c>
      <c r="F50" s="1">
        <v>0</v>
      </c>
      <c r="G50" s="1">
        <v>0</v>
      </c>
      <c r="H50" s="1">
        <v>0</v>
      </c>
      <c r="I50" s="1">
        <v>100</v>
      </c>
      <c r="J50" s="1">
        <v>0</v>
      </c>
      <c r="K50" s="1">
        <v>0</v>
      </c>
      <c r="L50" s="1">
        <v>0</v>
      </c>
      <c r="M50" s="1">
        <v>100</v>
      </c>
      <c r="N50" s="1">
        <v>0</v>
      </c>
      <c r="O50" s="1">
        <v>0</v>
      </c>
      <c r="P50" s="1">
        <v>0</v>
      </c>
    </row>
    <row r="51" spans="1:16" ht="12.5">
      <c r="A51" s="1" t="s">
        <v>79</v>
      </c>
      <c r="B51" s="1">
        <v>2015</v>
      </c>
      <c r="C51" s="1">
        <v>7185.9921880000002</v>
      </c>
      <c r="D51" s="1">
        <v>100</v>
      </c>
      <c r="E51" s="1">
        <v>100</v>
      </c>
      <c r="F51" s="1">
        <v>0</v>
      </c>
      <c r="G51" s="1">
        <v>0</v>
      </c>
      <c r="H51" s="1">
        <v>0</v>
      </c>
      <c r="I51" s="1" t="s">
        <v>272</v>
      </c>
      <c r="J51" s="1" t="s">
        <v>272</v>
      </c>
      <c r="K51" s="1" t="s">
        <v>272</v>
      </c>
      <c r="L51" s="1" t="s">
        <v>272</v>
      </c>
      <c r="M51" s="1">
        <v>100</v>
      </c>
      <c r="N51" s="1">
        <v>0</v>
      </c>
      <c r="O51" s="1">
        <v>0</v>
      </c>
      <c r="P51" s="1">
        <v>0</v>
      </c>
    </row>
    <row r="52" spans="1:16" ht="12.5">
      <c r="A52" s="1" t="s">
        <v>79</v>
      </c>
      <c r="B52" s="1">
        <v>2020</v>
      </c>
      <c r="C52" s="1">
        <v>7496.9877930000002</v>
      </c>
      <c r="D52" s="1">
        <v>100</v>
      </c>
      <c r="E52" s="1">
        <v>100</v>
      </c>
      <c r="F52" s="1">
        <v>0</v>
      </c>
      <c r="G52" s="1">
        <v>0</v>
      </c>
      <c r="H52" s="1">
        <v>0</v>
      </c>
      <c r="I52" s="1" t="s">
        <v>272</v>
      </c>
      <c r="J52" s="1" t="s">
        <v>272</v>
      </c>
      <c r="K52" s="1" t="s">
        <v>272</v>
      </c>
      <c r="L52" s="1" t="s">
        <v>272</v>
      </c>
      <c r="M52" s="1">
        <v>100</v>
      </c>
      <c r="N52" s="1">
        <v>0</v>
      </c>
      <c r="O52" s="1">
        <v>0</v>
      </c>
      <c r="P52" s="1">
        <v>0</v>
      </c>
    </row>
    <row r="53" spans="1:16" ht="12.5">
      <c r="A53" s="1" t="s">
        <v>240</v>
      </c>
      <c r="B53" s="1">
        <v>2015</v>
      </c>
      <c r="C53" s="1">
        <v>8296.7753909999992</v>
      </c>
      <c r="D53" s="1">
        <v>73.718002319999997</v>
      </c>
      <c r="E53" s="1">
        <v>100</v>
      </c>
      <c r="F53" s="1">
        <v>0</v>
      </c>
      <c r="G53" s="1">
        <v>0</v>
      </c>
      <c r="H53" s="1">
        <v>0</v>
      </c>
      <c r="I53" s="1">
        <v>100</v>
      </c>
      <c r="J53" s="1">
        <v>0</v>
      </c>
      <c r="K53" s="1">
        <v>0</v>
      </c>
      <c r="L53" s="1">
        <v>0</v>
      </c>
      <c r="M53" s="1">
        <v>100</v>
      </c>
      <c r="N53" s="1">
        <v>0</v>
      </c>
      <c r="O53" s="1">
        <v>0</v>
      </c>
      <c r="P53" s="1">
        <v>0</v>
      </c>
    </row>
    <row r="54" spans="1:16" ht="12.5">
      <c r="A54" s="1" t="s">
        <v>138</v>
      </c>
      <c r="B54" s="1">
        <v>2020</v>
      </c>
      <c r="C54" s="1">
        <v>8655.5410159999992</v>
      </c>
      <c r="D54" s="1">
        <v>92.58699799</v>
      </c>
      <c r="E54" s="1">
        <v>100</v>
      </c>
      <c r="F54" s="1">
        <v>0</v>
      </c>
      <c r="G54" s="1">
        <v>0</v>
      </c>
      <c r="H54" s="1">
        <v>0</v>
      </c>
      <c r="I54" s="1">
        <v>100</v>
      </c>
      <c r="J54" s="1">
        <v>0</v>
      </c>
      <c r="K54" s="1">
        <v>0</v>
      </c>
      <c r="L54" s="1">
        <v>0</v>
      </c>
      <c r="M54" s="1">
        <v>100</v>
      </c>
      <c r="N54" s="1">
        <v>0</v>
      </c>
      <c r="O54" s="1">
        <v>0</v>
      </c>
      <c r="P54" s="1">
        <v>0</v>
      </c>
    </row>
    <row r="55" spans="1:16" ht="12.5">
      <c r="A55" s="1" t="s">
        <v>40</v>
      </c>
      <c r="B55" s="1">
        <v>2015</v>
      </c>
      <c r="C55" s="1">
        <v>8678.6669920000004</v>
      </c>
      <c r="D55" s="1">
        <v>57.715000150000002</v>
      </c>
      <c r="E55" s="1">
        <v>100</v>
      </c>
      <c r="F55" s="1">
        <v>0</v>
      </c>
      <c r="G55" s="1">
        <v>0</v>
      </c>
      <c r="H55" s="1">
        <v>0</v>
      </c>
      <c r="I55" s="1">
        <v>100</v>
      </c>
      <c r="J55" s="1">
        <v>0</v>
      </c>
      <c r="K55" s="1">
        <v>0</v>
      </c>
      <c r="L55" s="1">
        <v>0</v>
      </c>
      <c r="M55" s="1">
        <v>100</v>
      </c>
      <c r="N55" s="1">
        <v>0</v>
      </c>
      <c r="O55" s="1">
        <v>0</v>
      </c>
      <c r="P55" s="1">
        <v>0</v>
      </c>
    </row>
    <row r="56" spans="1:16" ht="12.5">
      <c r="A56" s="1" t="s">
        <v>40</v>
      </c>
      <c r="B56" s="1">
        <v>2020</v>
      </c>
      <c r="C56" s="1">
        <v>9006.4003909999992</v>
      </c>
      <c r="D56" s="1">
        <v>58.748001100000003</v>
      </c>
      <c r="E56" s="1">
        <v>100</v>
      </c>
      <c r="F56" s="1">
        <v>0</v>
      </c>
      <c r="G56" s="1">
        <v>0</v>
      </c>
      <c r="H56" s="1">
        <v>0</v>
      </c>
      <c r="I56" s="1">
        <v>100</v>
      </c>
      <c r="J56" s="1">
        <v>0</v>
      </c>
      <c r="K56" s="1">
        <v>0</v>
      </c>
      <c r="L56" s="1">
        <v>0</v>
      </c>
      <c r="M56" s="1">
        <v>100</v>
      </c>
      <c r="N56" s="1">
        <v>0</v>
      </c>
      <c r="O56" s="1">
        <v>0</v>
      </c>
      <c r="P56" s="1">
        <v>0</v>
      </c>
    </row>
    <row r="57" spans="1:16" ht="12.5">
      <c r="A57" s="1" t="s">
        <v>205</v>
      </c>
      <c r="B57" s="1">
        <v>2020</v>
      </c>
      <c r="C57" s="1">
        <v>19237.681639999999</v>
      </c>
      <c r="D57" s="1">
        <v>54.194000240000001</v>
      </c>
      <c r="E57" s="1">
        <v>100</v>
      </c>
      <c r="F57" s="1">
        <v>0</v>
      </c>
      <c r="G57" s="1">
        <v>0</v>
      </c>
      <c r="H57" s="1">
        <v>0</v>
      </c>
      <c r="I57" s="1">
        <v>100</v>
      </c>
      <c r="J57" s="1">
        <v>0</v>
      </c>
      <c r="K57" s="1">
        <v>0</v>
      </c>
      <c r="L57" s="1">
        <v>0</v>
      </c>
      <c r="M57" s="1">
        <v>100</v>
      </c>
      <c r="N57" s="1">
        <v>0</v>
      </c>
      <c r="O57" s="1">
        <v>0</v>
      </c>
      <c r="P57" s="1">
        <v>0</v>
      </c>
    </row>
    <row r="58" spans="1:16" ht="12.5">
      <c r="A58" s="1" t="s">
        <v>205</v>
      </c>
      <c r="B58" s="1">
        <v>2015</v>
      </c>
      <c r="C58" s="1">
        <v>19925.181639999999</v>
      </c>
      <c r="D58" s="1">
        <v>53.886997219999998</v>
      </c>
      <c r="E58" s="1">
        <v>100</v>
      </c>
      <c r="F58" s="1">
        <v>0</v>
      </c>
      <c r="G58" s="1">
        <v>0</v>
      </c>
      <c r="H58" s="1">
        <v>0</v>
      </c>
      <c r="I58" s="1">
        <v>100</v>
      </c>
      <c r="J58" s="1">
        <v>0</v>
      </c>
      <c r="K58" s="1">
        <v>0</v>
      </c>
      <c r="L58" s="1">
        <v>0</v>
      </c>
      <c r="M58" s="1">
        <v>100</v>
      </c>
      <c r="N58" s="1">
        <v>0</v>
      </c>
      <c r="O58" s="1">
        <v>0</v>
      </c>
      <c r="P58" s="1">
        <v>0</v>
      </c>
    </row>
    <row r="59" spans="1:16" ht="12.5">
      <c r="A59" s="1" t="s">
        <v>221</v>
      </c>
      <c r="B59" s="1">
        <v>2020</v>
      </c>
      <c r="C59" s="1">
        <v>34813.867189999997</v>
      </c>
      <c r="D59" s="1">
        <v>84.287002560000005</v>
      </c>
      <c r="E59" s="1">
        <v>100</v>
      </c>
      <c r="F59" s="1">
        <v>0</v>
      </c>
      <c r="G59" s="1">
        <v>0</v>
      </c>
      <c r="H59" s="1">
        <v>0</v>
      </c>
      <c r="I59" s="1" t="s">
        <v>272</v>
      </c>
      <c r="J59" s="1" t="s">
        <v>272</v>
      </c>
      <c r="K59" s="1" t="s">
        <v>272</v>
      </c>
      <c r="L59" s="1" t="s">
        <v>272</v>
      </c>
      <c r="M59" s="1" t="s">
        <v>272</v>
      </c>
      <c r="N59" s="1" t="s">
        <v>272</v>
      </c>
      <c r="O59" s="1" t="s">
        <v>272</v>
      </c>
      <c r="P59" s="1" t="s">
        <v>272</v>
      </c>
    </row>
    <row r="60" spans="1:16" ht="12.5">
      <c r="A60" s="1" t="s">
        <v>110</v>
      </c>
      <c r="B60" s="1">
        <v>2015</v>
      </c>
      <c r="C60" s="1">
        <v>64453.195310000003</v>
      </c>
      <c r="D60" s="1">
        <v>79.65499878</v>
      </c>
      <c r="E60" s="1">
        <v>100</v>
      </c>
      <c r="F60" s="1">
        <v>0</v>
      </c>
      <c r="G60" s="1">
        <v>0</v>
      </c>
      <c r="H60" s="1">
        <v>0</v>
      </c>
      <c r="I60" s="1">
        <v>100</v>
      </c>
      <c r="J60" s="1">
        <v>0</v>
      </c>
      <c r="K60" s="1">
        <v>0</v>
      </c>
      <c r="L60" s="1">
        <v>0</v>
      </c>
      <c r="M60" s="1">
        <v>100</v>
      </c>
      <c r="N60" s="1">
        <v>0</v>
      </c>
      <c r="O60" s="1">
        <v>0</v>
      </c>
      <c r="P60" s="1">
        <v>0</v>
      </c>
    </row>
    <row r="61" spans="1:16" ht="12.5">
      <c r="A61" s="1" t="s">
        <v>243</v>
      </c>
      <c r="B61" s="1">
        <v>2020</v>
      </c>
      <c r="C61" s="1">
        <v>69799.976559999996</v>
      </c>
      <c r="D61" s="1">
        <v>51.430000309999997</v>
      </c>
      <c r="E61" s="1">
        <v>100</v>
      </c>
      <c r="F61" s="1">
        <v>0</v>
      </c>
      <c r="G61" s="1">
        <v>0</v>
      </c>
      <c r="H61" s="1">
        <v>0</v>
      </c>
      <c r="I61" s="1">
        <v>100</v>
      </c>
      <c r="J61" s="1">
        <v>0</v>
      </c>
      <c r="K61" s="1">
        <v>0</v>
      </c>
      <c r="L61" s="1">
        <v>0</v>
      </c>
      <c r="M61" s="1">
        <v>100</v>
      </c>
      <c r="N61" s="1">
        <v>0</v>
      </c>
      <c r="O61" s="1">
        <v>0</v>
      </c>
      <c r="P61" s="1">
        <v>0</v>
      </c>
    </row>
    <row r="62" spans="1:16" ht="12.5">
      <c r="A62" s="1" t="s">
        <v>180</v>
      </c>
      <c r="B62" s="1">
        <v>2020</v>
      </c>
      <c r="C62" s="1">
        <v>17134.873049999998</v>
      </c>
      <c r="D62" s="1">
        <v>92.236000059999995</v>
      </c>
      <c r="E62" s="1">
        <v>99.999999290000005</v>
      </c>
      <c r="F62" s="1">
        <v>0</v>
      </c>
      <c r="G62" s="1">
        <v>7.1240862099999999E-7</v>
      </c>
      <c r="H62" s="1">
        <v>0</v>
      </c>
      <c r="I62" s="1">
        <v>100</v>
      </c>
      <c r="J62" s="1">
        <v>0</v>
      </c>
      <c r="K62" s="1">
        <v>0</v>
      </c>
      <c r="L62" s="1">
        <v>0</v>
      </c>
      <c r="M62" s="1">
        <v>100</v>
      </c>
      <c r="N62" s="1">
        <v>0</v>
      </c>
      <c r="O62" s="1">
        <v>0</v>
      </c>
      <c r="P62" s="1">
        <v>0</v>
      </c>
    </row>
    <row r="63" spans="1:16" ht="12.5">
      <c r="A63" s="1" t="s">
        <v>77</v>
      </c>
      <c r="B63" s="1">
        <v>2020</v>
      </c>
      <c r="C63" s="1">
        <v>19116.208979999999</v>
      </c>
      <c r="D63" s="1">
        <v>87.72699738</v>
      </c>
      <c r="E63" s="1">
        <v>99.999998719999994</v>
      </c>
      <c r="F63" s="1">
        <v>0</v>
      </c>
      <c r="G63" s="1">
        <v>1.2771393330000001E-6</v>
      </c>
      <c r="H63" s="1">
        <v>0</v>
      </c>
      <c r="I63" s="1">
        <v>100</v>
      </c>
      <c r="J63" s="1">
        <v>0</v>
      </c>
      <c r="K63" s="1">
        <v>0</v>
      </c>
      <c r="L63" s="1">
        <v>0</v>
      </c>
      <c r="M63" s="1">
        <v>100</v>
      </c>
      <c r="N63" s="1">
        <v>0</v>
      </c>
      <c r="O63" s="1">
        <v>0</v>
      </c>
      <c r="P63" s="1">
        <v>0</v>
      </c>
    </row>
    <row r="64" spans="1:16" ht="12.5">
      <c r="A64" s="1" t="s">
        <v>180</v>
      </c>
      <c r="B64" s="1">
        <v>2015</v>
      </c>
      <c r="C64" s="1">
        <v>16938.492190000001</v>
      </c>
      <c r="D64" s="1">
        <v>90.172996519999998</v>
      </c>
      <c r="E64" s="1">
        <v>99.999998559999995</v>
      </c>
      <c r="F64" s="1">
        <v>0</v>
      </c>
      <c r="G64" s="1">
        <v>1.441336238E-6</v>
      </c>
      <c r="H64" s="1">
        <v>0</v>
      </c>
      <c r="I64" s="1">
        <v>100</v>
      </c>
      <c r="J64" s="1">
        <v>0</v>
      </c>
      <c r="K64" s="1">
        <v>0</v>
      </c>
      <c r="L64" s="1">
        <v>0</v>
      </c>
      <c r="M64" s="1">
        <v>100</v>
      </c>
      <c r="N64" s="1">
        <v>0</v>
      </c>
      <c r="O64" s="1">
        <v>0</v>
      </c>
      <c r="P64" s="1">
        <v>0</v>
      </c>
    </row>
    <row r="65" spans="1:16" ht="12.5">
      <c r="A65" s="1" t="s">
        <v>257</v>
      </c>
      <c r="B65" s="1">
        <v>2020</v>
      </c>
      <c r="C65" s="1">
        <v>67886.007809999996</v>
      </c>
      <c r="D65" s="1">
        <v>83.902999879999996</v>
      </c>
      <c r="E65" s="1">
        <v>99.999998559999995</v>
      </c>
      <c r="F65" s="1">
        <v>0</v>
      </c>
      <c r="G65" s="1">
        <v>1.4385328199999999E-6</v>
      </c>
      <c r="H65" s="1">
        <v>0</v>
      </c>
      <c r="I65" s="1">
        <v>100</v>
      </c>
      <c r="J65" s="1">
        <v>0</v>
      </c>
      <c r="K65" s="1">
        <v>0</v>
      </c>
      <c r="L65" s="1">
        <v>0</v>
      </c>
      <c r="M65" s="1">
        <v>100</v>
      </c>
      <c r="N65" s="1">
        <v>0</v>
      </c>
      <c r="O65" s="1">
        <v>0</v>
      </c>
      <c r="P65" s="1">
        <v>0</v>
      </c>
    </row>
    <row r="66" spans="1:16" ht="12.5">
      <c r="A66" s="1" t="s">
        <v>110</v>
      </c>
      <c r="B66" s="1">
        <v>2020</v>
      </c>
      <c r="C66" s="1">
        <v>65273.511720000002</v>
      </c>
      <c r="D66" s="1">
        <v>80.974998470000003</v>
      </c>
      <c r="E66" s="1">
        <v>99.999998500000004</v>
      </c>
      <c r="F66" s="1">
        <v>0</v>
      </c>
      <c r="G66" s="1">
        <v>1.49610841E-6</v>
      </c>
      <c r="H66" s="1">
        <v>0</v>
      </c>
      <c r="I66" s="1">
        <v>100</v>
      </c>
      <c r="J66" s="1">
        <v>0</v>
      </c>
      <c r="K66" s="1">
        <v>0</v>
      </c>
      <c r="L66" s="1">
        <v>0</v>
      </c>
      <c r="M66" s="1">
        <v>100</v>
      </c>
      <c r="N66" s="1">
        <v>0</v>
      </c>
      <c r="O66" s="1">
        <v>0</v>
      </c>
      <c r="P66" s="1">
        <v>0</v>
      </c>
    </row>
    <row r="67" spans="1:16" ht="12.5">
      <c r="A67" s="1" t="s">
        <v>94</v>
      </c>
      <c r="B67" s="1">
        <v>2015</v>
      </c>
      <c r="C67" s="1">
        <v>5688.6948240000002</v>
      </c>
      <c r="D67" s="1">
        <v>87.526000980000006</v>
      </c>
      <c r="E67" s="1">
        <v>99.99999785</v>
      </c>
      <c r="F67" s="1">
        <v>0</v>
      </c>
      <c r="G67" s="1">
        <v>2.1458404119999999E-6</v>
      </c>
      <c r="H67" s="1">
        <v>0</v>
      </c>
      <c r="I67" s="1">
        <v>100</v>
      </c>
      <c r="J67" s="1">
        <v>0</v>
      </c>
      <c r="K67" s="1">
        <v>0</v>
      </c>
      <c r="L67" s="1">
        <v>0</v>
      </c>
      <c r="M67" s="1">
        <v>100</v>
      </c>
      <c r="N67" s="1">
        <v>0</v>
      </c>
      <c r="O67" s="1">
        <v>0</v>
      </c>
      <c r="P67" s="1">
        <v>0</v>
      </c>
    </row>
    <row r="68" spans="1:16" ht="12.5">
      <c r="A68" s="1" t="s">
        <v>54</v>
      </c>
      <c r="B68" s="1">
        <v>2015</v>
      </c>
      <c r="C68" s="1">
        <v>11287.93066</v>
      </c>
      <c r="D68" s="1">
        <v>97.875999449999995</v>
      </c>
      <c r="E68" s="1">
        <v>99.999997699999994</v>
      </c>
      <c r="F68" s="1">
        <v>0</v>
      </c>
      <c r="G68" s="1">
        <v>2.2980245119999998E-6</v>
      </c>
      <c r="H68" s="1">
        <v>0</v>
      </c>
      <c r="I68" s="1">
        <v>100</v>
      </c>
      <c r="J68" s="1">
        <v>0</v>
      </c>
      <c r="K68" s="1">
        <v>0</v>
      </c>
      <c r="L68" s="1">
        <v>0</v>
      </c>
      <c r="M68" s="1">
        <v>100</v>
      </c>
      <c r="N68" s="1">
        <v>0</v>
      </c>
      <c r="O68" s="1">
        <v>0</v>
      </c>
      <c r="P68" s="1">
        <v>0</v>
      </c>
    </row>
    <row r="69" spans="1:16" ht="12.5">
      <c r="A69" s="1" t="s">
        <v>24</v>
      </c>
      <c r="B69" s="1">
        <v>2015</v>
      </c>
      <c r="C69" s="1">
        <v>77.992996219999995</v>
      </c>
      <c r="D69" s="1">
        <v>88.344993590000001</v>
      </c>
      <c r="E69" s="1">
        <v>99.999997550000003</v>
      </c>
      <c r="F69" s="1">
        <v>0</v>
      </c>
      <c r="G69" s="1">
        <v>2.4455383569999998E-6</v>
      </c>
      <c r="H69" s="1">
        <v>0</v>
      </c>
      <c r="I69" s="1">
        <v>100</v>
      </c>
      <c r="J69" s="1">
        <v>0</v>
      </c>
      <c r="K69" s="1">
        <v>0</v>
      </c>
      <c r="L69" s="1">
        <v>0</v>
      </c>
      <c r="M69" s="1">
        <v>100</v>
      </c>
      <c r="N69" s="1">
        <v>0</v>
      </c>
      <c r="O69" s="1">
        <v>0</v>
      </c>
      <c r="P69" s="1">
        <v>0</v>
      </c>
    </row>
    <row r="70" spans="1:16" ht="12.5">
      <c r="A70" s="1" t="s">
        <v>130</v>
      </c>
      <c r="B70" s="1">
        <v>2020</v>
      </c>
      <c r="C70" s="1">
        <v>9660.3496090000008</v>
      </c>
      <c r="D70" s="1">
        <v>71.942001340000004</v>
      </c>
      <c r="E70" s="1">
        <v>99.999997469999997</v>
      </c>
      <c r="F70" s="1">
        <v>0</v>
      </c>
      <c r="G70" s="1">
        <v>2.5272441919999999E-6</v>
      </c>
      <c r="H70" s="1">
        <v>0</v>
      </c>
      <c r="I70" s="1">
        <v>100</v>
      </c>
      <c r="J70" s="1">
        <v>0</v>
      </c>
      <c r="K70" s="1">
        <v>0</v>
      </c>
      <c r="L70" s="1">
        <v>0</v>
      </c>
      <c r="M70" s="1">
        <v>100</v>
      </c>
      <c r="N70" s="1">
        <v>0</v>
      </c>
      <c r="O70" s="1">
        <v>0</v>
      </c>
      <c r="P70" s="1">
        <v>0</v>
      </c>
    </row>
    <row r="71" spans="1:16" ht="12.5">
      <c r="A71" s="1" t="s">
        <v>182</v>
      </c>
      <c r="B71" s="1">
        <v>2015</v>
      </c>
      <c r="C71" s="1">
        <v>4614.5268550000001</v>
      </c>
      <c r="D71" s="1">
        <v>86.340995789999994</v>
      </c>
      <c r="E71" s="1">
        <v>99.999997350000001</v>
      </c>
      <c r="F71" s="1">
        <v>0</v>
      </c>
      <c r="G71" s="1">
        <v>2.6453484029999998E-6</v>
      </c>
      <c r="H71" s="1">
        <v>0</v>
      </c>
      <c r="I71" s="1">
        <v>100</v>
      </c>
      <c r="J71" s="1">
        <v>0</v>
      </c>
      <c r="K71" s="1">
        <v>0</v>
      </c>
      <c r="L71" s="1">
        <v>0</v>
      </c>
      <c r="M71" s="1">
        <v>100</v>
      </c>
      <c r="N71" s="1">
        <v>0</v>
      </c>
      <c r="O71" s="1">
        <v>0</v>
      </c>
      <c r="P71" s="1">
        <v>0</v>
      </c>
    </row>
    <row r="72" spans="1:16" ht="12.5">
      <c r="A72" s="1" t="s">
        <v>131</v>
      </c>
      <c r="B72" s="1">
        <v>2020</v>
      </c>
      <c r="C72" s="1">
        <v>341.25</v>
      </c>
      <c r="D72" s="1">
        <v>93.897994999999995</v>
      </c>
      <c r="E72" s="1">
        <v>99.999997210000004</v>
      </c>
      <c r="F72" s="1">
        <v>0</v>
      </c>
      <c r="G72" s="1">
        <v>2.7946500150000002E-6</v>
      </c>
      <c r="H72" s="1">
        <v>0</v>
      </c>
      <c r="I72" s="1">
        <v>100</v>
      </c>
      <c r="J72" s="1">
        <v>0</v>
      </c>
      <c r="K72" s="1">
        <v>0</v>
      </c>
      <c r="L72" s="1">
        <v>0</v>
      </c>
      <c r="M72" s="1">
        <v>100</v>
      </c>
      <c r="N72" s="1">
        <v>0</v>
      </c>
      <c r="O72" s="1">
        <v>0</v>
      </c>
      <c r="P72" s="1">
        <v>0</v>
      </c>
    </row>
    <row r="73" spans="1:16" ht="12.5">
      <c r="A73" s="1" t="s">
        <v>109</v>
      </c>
      <c r="B73" s="1">
        <v>2015</v>
      </c>
      <c r="C73" s="1">
        <v>5481.1279299999997</v>
      </c>
      <c r="D73" s="1">
        <v>85.224998470000003</v>
      </c>
      <c r="E73" s="1">
        <v>99.999996659999994</v>
      </c>
      <c r="F73" s="1">
        <v>0</v>
      </c>
      <c r="G73" s="1">
        <v>3.3406530800000001E-6</v>
      </c>
      <c r="H73" s="1">
        <v>0</v>
      </c>
      <c r="I73" s="1">
        <v>100</v>
      </c>
      <c r="J73" s="1">
        <v>0</v>
      </c>
      <c r="K73" s="1">
        <v>0</v>
      </c>
      <c r="L73" s="1">
        <v>0</v>
      </c>
      <c r="M73" s="1">
        <v>100</v>
      </c>
      <c r="N73" s="1">
        <v>0</v>
      </c>
      <c r="O73" s="1">
        <v>0</v>
      </c>
      <c r="P73" s="1">
        <v>0</v>
      </c>
    </row>
    <row r="74" spans="1:16" ht="12.5">
      <c r="A74" s="1" t="s">
        <v>54</v>
      </c>
      <c r="B74" s="1">
        <v>2020</v>
      </c>
      <c r="C74" s="1">
        <v>11589.61621</v>
      </c>
      <c r="D74" s="1">
        <v>98.078994750000007</v>
      </c>
      <c r="E74" s="1">
        <v>99.999996449999998</v>
      </c>
      <c r="F74" s="1">
        <v>0</v>
      </c>
      <c r="G74" s="1">
        <v>3.5547967910000002E-6</v>
      </c>
      <c r="H74" s="1">
        <v>0</v>
      </c>
      <c r="I74" s="1">
        <v>100</v>
      </c>
      <c r="J74" s="1">
        <v>0</v>
      </c>
      <c r="K74" s="1">
        <v>0</v>
      </c>
      <c r="L74" s="1">
        <v>0</v>
      </c>
      <c r="M74" s="1">
        <v>100</v>
      </c>
      <c r="N74" s="1">
        <v>0</v>
      </c>
      <c r="O74" s="1">
        <v>0</v>
      </c>
      <c r="P74" s="1">
        <v>0</v>
      </c>
    </row>
    <row r="75" spans="1:16" ht="12.5">
      <c r="A75" s="1" t="s">
        <v>189</v>
      </c>
      <c r="B75" s="1">
        <v>2020</v>
      </c>
      <c r="C75" s="1">
        <v>5421.2421880000002</v>
      </c>
      <c r="D75" s="1">
        <v>82.973991389999995</v>
      </c>
      <c r="E75" s="1">
        <v>99.999995499999997</v>
      </c>
      <c r="F75" s="1">
        <v>0</v>
      </c>
      <c r="G75" s="1">
        <v>4.5034074529999998E-6</v>
      </c>
      <c r="H75" s="1">
        <v>0</v>
      </c>
      <c r="I75" s="1">
        <v>100</v>
      </c>
      <c r="J75" s="1">
        <v>0</v>
      </c>
      <c r="K75" s="1">
        <v>0</v>
      </c>
      <c r="L75" s="1">
        <v>0</v>
      </c>
      <c r="M75" s="1">
        <v>100</v>
      </c>
      <c r="N75" s="1">
        <v>0</v>
      </c>
      <c r="O75" s="1">
        <v>0</v>
      </c>
      <c r="P75" s="1">
        <v>0</v>
      </c>
    </row>
    <row r="76" spans="1:16" ht="12.5">
      <c r="A76" s="1" t="s">
        <v>215</v>
      </c>
      <c r="B76" s="1">
        <v>2015</v>
      </c>
      <c r="C76" s="1">
        <v>35.865000000000002</v>
      </c>
      <c r="D76" s="1">
        <v>100</v>
      </c>
      <c r="E76" s="1">
        <v>99.999774200000004</v>
      </c>
      <c r="F76" s="1">
        <v>0</v>
      </c>
      <c r="G76" s="1">
        <v>2.2580388819999999E-4</v>
      </c>
      <c r="H76" s="1">
        <v>0</v>
      </c>
      <c r="I76" s="1" t="s">
        <v>272</v>
      </c>
      <c r="J76" s="1" t="s">
        <v>272</v>
      </c>
      <c r="K76" s="1" t="s">
        <v>272</v>
      </c>
      <c r="L76" s="1" t="s">
        <v>272</v>
      </c>
      <c r="M76" s="1">
        <v>99.999774200000004</v>
      </c>
      <c r="N76" s="1">
        <v>0</v>
      </c>
      <c r="O76" s="1">
        <v>2.2580388819999999E-4</v>
      </c>
      <c r="P76" s="1">
        <v>0</v>
      </c>
    </row>
    <row r="77" spans="1:16" ht="12.5">
      <c r="A77" s="1" t="s">
        <v>215</v>
      </c>
      <c r="B77" s="1">
        <v>2020</v>
      </c>
      <c r="C77" s="1">
        <v>38.658999999999999</v>
      </c>
      <c r="D77" s="1">
        <v>100</v>
      </c>
      <c r="E77" s="1">
        <v>99.999271390000004</v>
      </c>
      <c r="F77" s="1">
        <v>0</v>
      </c>
      <c r="G77" s="1">
        <v>7.2861055070000001E-4</v>
      </c>
      <c r="H77" s="1">
        <v>0</v>
      </c>
      <c r="I77" s="1" t="s">
        <v>272</v>
      </c>
      <c r="J77" s="1" t="s">
        <v>272</v>
      </c>
      <c r="K77" s="1" t="s">
        <v>272</v>
      </c>
      <c r="L77" s="1" t="s">
        <v>272</v>
      </c>
      <c r="M77" s="1">
        <v>99.999271390000004</v>
      </c>
      <c r="N77" s="1">
        <v>0</v>
      </c>
      <c r="O77" s="1">
        <v>7.2861055070000001E-4</v>
      </c>
      <c r="P77" s="1">
        <v>0</v>
      </c>
    </row>
    <row r="78" spans="1:16" ht="12.5">
      <c r="A78" s="1" t="s">
        <v>188</v>
      </c>
      <c r="B78" s="1">
        <v>2015</v>
      </c>
      <c r="C78" s="1">
        <v>55.778999329999998</v>
      </c>
      <c r="D78" s="1">
        <v>91.356994630000003</v>
      </c>
      <c r="E78" s="1">
        <v>99.980183389999993</v>
      </c>
      <c r="F78" s="1">
        <v>0</v>
      </c>
      <c r="G78" s="1">
        <v>1.9816611519999999E-2</v>
      </c>
      <c r="H78" s="1">
        <v>0</v>
      </c>
      <c r="I78" s="1" t="s">
        <v>272</v>
      </c>
      <c r="J78" s="1" t="s">
        <v>272</v>
      </c>
      <c r="K78" s="1" t="s">
        <v>272</v>
      </c>
      <c r="L78" s="1" t="s">
        <v>272</v>
      </c>
      <c r="M78" s="1" t="s">
        <v>272</v>
      </c>
      <c r="N78" s="1" t="s">
        <v>272</v>
      </c>
      <c r="O78" s="1" t="s">
        <v>272</v>
      </c>
      <c r="P78" s="1" t="s">
        <v>272</v>
      </c>
    </row>
    <row r="79" spans="1:16" ht="12.5">
      <c r="A79" s="1" t="s">
        <v>84</v>
      </c>
      <c r="B79" s="1">
        <v>2020</v>
      </c>
      <c r="C79" s="1">
        <v>17.56399918</v>
      </c>
      <c r="D79" s="1">
        <v>75.495002749999998</v>
      </c>
      <c r="E79" s="1">
        <v>99.971610220000002</v>
      </c>
      <c r="F79" s="1">
        <v>0</v>
      </c>
      <c r="G79" s="1">
        <v>2.8389782700000001E-2</v>
      </c>
      <c r="H79" s="1">
        <v>0</v>
      </c>
      <c r="I79" s="1" t="s">
        <v>272</v>
      </c>
      <c r="J79" s="1" t="s">
        <v>272</v>
      </c>
      <c r="K79" s="1" t="s">
        <v>272</v>
      </c>
      <c r="L79" s="1" t="s">
        <v>272</v>
      </c>
      <c r="M79" s="1" t="s">
        <v>272</v>
      </c>
      <c r="N79" s="1" t="s">
        <v>272</v>
      </c>
      <c r="O79" s="1" t="s">
        <v>272</v>
      </c>
      <c r="P79" s="1" t="s">
        <v>272</v>
      </c>
    </row>
    <row r="80" spans="1:16" ht="12.5">
      <c r="A80" s="1" t="s">
        <v>256</v>
      </c>
      <c r="B80" s="1">
        <v>2015</v>
      </c>
      <c r="C80" s="1">
        <v>9262.8964840000008</v>
      </c>
      <c r="D80" s="1">
        <v>85.674003600000006</v>
      </c>
      <c r="E80" s="1">
        <v>99.971332469999993</v>
      </c>
      <c r="F80" s="1">
        <v>0</v>
      </c>
      <c r="G80" s="1">
        <v>2.8667534309999999E-2</v>
      </c>
      <c r="H80" s="1">
        <v>0</v>
      </c>
      <c r="I80" s="1" t="s">
        <v>272</v>
      </c>
      <c r="J80" s="1" t="s">
        <v>272</v>
      </c>
      <c r="K80" s="1" t="s">
        <v>272</v>
      </c>
      <c r="L80" s="1" t="s">
        <v>272</v>
      </c>
      <c r="M80" s="1" t="s">
        <v>272</v>
      </c>
      <c r="N80" s="1" t="s">
        <v>272</v>
      </c>
      <c r="O80" s="1" t="s">
        <v>272</v>
      </c>
      <c r="P80" s="1" t="s">
        <v>272</v>
      </c>
    </row>
    <row r="81" spans="1:16" ht="12.5">
      <c r="A81" s="1" t="s">
        <v>34</v>
      </c>
      <c r="B81" s="1">
        <v>2020</v>
      </c>
      <c r="C81" s="1">
        <v>2963.2338869999999</v>
      </c>
      <c r="D81" s="1">
        <v>63.312999730000001</v>
      </c>
      <c r="E81" s="1">
        <v>99.971180689999997</v>
      </c>
      <c r="F81" s="1">
        <v>0</v>
      </c>
      <c r="G81" s="1">
        <v>2.8819308009999999E-2</v>
      </c>
      <c r="H81" s="1">
        <v>0</v>
      </c>
      <c r="I81" s="1">
        <v>100</v>
      </c>
      <c r="J81" s="1">
        <v>0</v>
      </c>
      <c r="K81" s="1">
        <v>0</v>
      </c>
      <c r="L81" s="1">
        <v>0</v>
      </c>
      <c r="M81" s="1">
        <v>99.954481220000005</v>
      </c>
      <c r="N81" s="1">
        <v>0</v>
      </c>
      <c r="O81" s="1">
        <v>4.5518783639999998E-2</v>
      </c>
      <c r="P81" s="1">
        <v>0</v>
      </c>
    </row>
    <row r="82" spans="1:16" ht="12.5">
      <c r="A82" s="1" t="s">
        <v>130</v>
      </c>
      <c r="B82" s="1">
        <v>2015</v>
      </c>
      <c r="C82" s="1">
        <v>9777.9248050000006</v>
      </c>
      <c r="D82" s="1">
        <v>70.5</v>
      </c>
      <c r="E82" s="1">
        <v>99.970528959999996</v>
      </c>
      <c r="F82" s="1">
        <v>0</v>
      </c>
      <c r="G82" s="1">
        <v>2.9471039399999999E-2</v>
      </c>
      <c r="H82" s="1">
        <v>0</v>
      </c>
      <c r="I82" s="1">
        <v>99.900089719999997</v>
      </c>
      <c r="J82" s="1">
        <v>0</v>
      </c>
      <c r="K82" s="1">
        <v>9.9910284789999998E-2</v>
      </c>
      <c r="L82" s="1">
        <v>0</v>
      </c>
      <c r="M82" s="1">
        <v>100</v>
      </c>
      <c r="N82" s="1">
        <v>0</v>
      </c>
      <c r="O82" s="1">
        <v>0</v>
      </c>
      <c r="P82" s="1">
        <v>0</v>
      </c>
    </row>
    <row r="83" spans="1:16" ht="12.5">
      <c r="A83" s="1" t="s">
        <v>38</v>
      </c>
      <c r="B83" s="1">
        <v>2015</v>
      </c>
      <c r="C83" s="1">
        <v>23932.498049999998</v>
      </c>
      <c r="D83" s="1">
        <v>85.701004030000007</v>
      </c>
      <c r="E83" s="1">
        <v>99.970005670000006</v>
      </c>
      <c r="F83" s="1">
        <v>0</v>
      </c>
      <c r="G83" s="1">
        <v>2.9994330570000002E-2</v>
      </c>
      <c r="H83" s="1">
        <v>0</v>
      </c>
      <c r="I83" s="1">
        <v>100</v>
      </c>
      <c r="J83" s="1">
        <v>0</v>
      </c>
      <c r="K83" s="1">
        <v>0</v>
      </c>
      <c r="L83" s="1">
        <v>0</v>
      </c>
      <c r="M83" s="1">
        <v>99.965000000000003</v>
      </c>
      <c r="N83" s="1">
        <v>0</v>
      </c>
      <c r="O83" s="1">
        <v>3.5000000000000003E-2</v>
      </c>
      <c r="P83" s="1">
        <v>0</v>
      </c>
    </row>
    <row r="84" spans="1:16" ht="12.5">
      <c r="A84" s="1" t="s">
        <v>38</v>
      </c>
      <c r="B84" s="1">
        <v>2020</v>
      </c>
      <c r="C84" s="1">
        <v>25499.880860000001</v>
      </c>
      <c r="D84" s="1">
        <v>86.240997309999997</v>
      </c>
      <c r="E84" s="1">
        <v>99.969811820000004</v>
      </c>
      <c r="F84" s="1">
        <v>0</v>
      </c>
      <c r="G84" s="1">
        <v>3.0188178730000001E-2</v>
      </c>
      <c r="H84" s="1">
        <v>0</v>
      </c>
      <c r="I84" s="1">
        <v>100</v>
      </c>
      <c r="J84" s="1">
        <v>0</v>
      </c>
      <c r="K84" s="1">
        <v>0</v>
      </c>
      <c r="L84" s="1">
        <v>0</v>
      </c>
      <c r="M84" s="1">
        <v>99.965000000000003</v>
      </c>
      <c r="N84" s="1">
        <v>0</v>
      </c>
      <c r="O84" s="1">
        <v>3.5000000000000003E-2</v>
      </c>
      <c r="P84" s="1">
        <v>0</v>
      </c>
    </row>
    <row r="85" spans="1:16" ht="12.5">
      <c r="A85" s="1" t="s">
        <v>198</v>
      </c>
      <c r="B85" s="1">
        <v>2020</v>
      </c>
      <c r="C85" s="1">
        <v>37846.605470000002</v>
      </c>
      <c r="D85" s="1">
        <v>60.043003079999998</v>
      </c>
      <c r="E85" s="1">
        <v>99.966591550000004</v>
      </c>
      <c r="F85" s="1">
        <v>0</v>
      </c>
      <c r="G85" s="1">
        <v>3.3408445289999998E-2</v>
      </c>
      <c r="H85" s="1">
        <v>0</v>
      </c>
      <c r="I85" s="1">
        <v>100</v>
      </c>
      <c r="J85" s="1">
        <v>0</v>
      </c>
      <c r="K85" s="1">
        <v>0</v>
      </c>
      <c r="L85" s="1">
        <v>0</v>
      </c>
      <c r="M85" s="1">
        <v>99.944354840000003</v>
      </c>
      <c r="N85" s="1">
        <v>0</v>
      </c>
      <c r="O85" s="1">
        <v>5.5645161290000002E-2</v>
      </c>
      <c r="P85" s="1">
        <v>0</v>
      </c>
    </row>
    <row r="86" spans="1:16" ht="12.5">
      <c r="A86" s="1" t="s">
        <v>256</v>
      </c>
      <c r="B86" s="1">
        <v>2020</v>
      </c>
      <c r="C86" s="1">
        <v>9890.4003909999992</v>
      </c>
      <c r="D86" s="1">
        <v>87.047996519999998</v>
      </c>
      <c r="E86" s="1">
        <v>99.965596000000005</v>
      </c>
      <c r="F86" s="1">
        <v>0</v>
      </c>
      <c r="G86" s="1">
        <v>3.4403999999999997E-2</v>
      </c>
      <c r="H86" s="1">
        <v>0</v>
      </c>
      <c r="I86" s="1" t="s">
        <v>272</v>
      </c>
      <c r="J86" s="1" t="s">
        <v>272</v>
      </c>
      <c r="K86" s="1" t="s">
        <v>272</v>
      </c>
      <c r="L86" s="1" t="s">
        <v>272</v>
      </c>
      <c r="M86" s="1" t="s">
        <v>272</v>
      </c>
      <c r="N86" s="1" t="s">
        <v>272</v>
      </c>
      <c r="O86" s="1" t="s">
        <v>272</v>
      </c>
      <c r="P86" s="1" t="s">
        <v>272</v>
      </c>
    </row>
    <row r="87" spans="1:16" ht="12.5">
      <c r="A87" s="1" t="s">
        <v>209</v>
      </c>
      <c r="B87" s="1">
        <v>2015</v>
      </c>
      <c r="C87" s="1">
        <v>9.6959999999999997</v>
      </c>
      <c r="D87" s="1">
        <v>100</v>
      </c>
      <c r="E87" s="1">
        <v>99.964919269999996</v>
      </c>
      <c r="F87" s="1">
        <v>0</v>
      </c>
      <c r="G87" s="1">
        <v>3.5080726299999997E-2</v>
      </c>
      <c r="H87" s="1">
        <v>0</v>
      </c>
      <c r="I87" s="1" t="s">
        <v>272</v>
      </c>
      <c r="J87" s="1" t="s">
        <v>272</v>
      </c>
      <c r="K87" s="1" t="s">
        <v>272</v>
      </c>
      <c r="L87" s="1" t="s">
        <v>272</v>
      </c>
      <c r="M87" s="1">
        <v>99.964919269999996</v>
      </c>
      <c r="N87" s="1">
        <v>0</v>
      </c>
      <c r="O87" s="1">
        <v>3.5080726299999997E-2</v>
      </c>
      <c r="P87" s="1">
        <v>0</v>
      </c>
    </row>
    <row r="88" spans="1:16" ht="12.5">
      <c r="A88" s="1" t="s">
        <v>84</v>
      </c>
      <c r="B88" s="1">
        <v>2015</v>
      </c>
      <c r="C88" s="1">
        <v>17.580999370000001</v>
      </c>
      <c r="D88" s="1">
        <v>74.403999330000005</v>
      </c>
      <c r="E88" s="1">
        <v>99.953671020000002</v>
      </c>
      <c r="F88" s="1">
        <v>0</v>
      </c>
      <c r="G88" s="1">
        <v>4.6328976289999997E-2</v>
      </c>
      <c r="H88" s="1">
        <v>0</v>
      </c>
      <c r="I88" s="1" t="s">
        <v>272</v>
      </c>
      <c r="J88" s="1" t="s">
        <v>272</v>
      </c>
      <c r="K88" s="1" t="s">
        <v>272</v>
      </c>
      <c r="L88" s="1" t="s">
        <v>272</v>
      </c>
      <c r="M88" s="1" t="s">
        <v>272</v>
      </c>
      <c r="N88" s="1" t="s">
        <v>272</v>
      </c>
      <c r="O88" s="1" t="s">
        <v>272</v>
      </c>
      <c r="P88" s="1" t="s">
        <v>272</v>
      </c>
    </row>
    <row r="89" spans="1:16" ht="12.5">
      <c r="A89" s="1" t="s">
        <v>202</v>
      </c>
      <c r="B89" s="1">
        <v>2020</v>
      </c>
      <c r="C89" s="1">
        <v>51269.183590000001</v>
      </c>
      <c r="D89" s="1">
        <v>81.414001459999994</v>
      </c>
      <c r="E89" s="1">
        <v>99.931396649999996</v>
      </c>
      <c r="F89" s="1">
        <v>0</v>
      </c>
      <c r="G89" s="1">
        <v>6.8603352960000002E-2</v>
      </c>
      <c r="H89" s="1">
        <v>0</v>
      </c>
      <c r="I89" s="1" t="s">
        <v>272</v>
      </c>
      <c r="J89" s="1" t="s">
        <v>272</v>
      </c>
      <c r="K89" s="1" t="s">
        <v>272</v>
      </c>
      <c r="L89" s="1" t="s">
        <v>272</v>
      </c>
      <c r="M89" s="1" t="s">
        <v>272</v>
      </c>
      <c r="N89" s="1" t="s">
        <v>272</v>
      </c>
      <c r="O89" s="1" t="s">
        <v>272</v>
      </c>
      <c r="P89" s="1" t="s">
        <v>272</v>
      </c>
    </row>
    <row r="90" spans="1:16" ht="12.5">
      <c r="A90" s="1" t="s">
        <v>235</v>
      </c>
      <c r="B90" s="1">
        <v>2015</v>
      </c>
      <c r="C90" s="1">
        <v>46671.917970000002</v>
      </c>
      <c r="D90" s="1">
        <v>79.60199738</v>
      </c>
      <c r="E90" s="1">
        <v>99.926720459999999</v>
      </c>
      <c r="F90" s="1">
        <v>0</v>
      </c>
      <c r="G90" s="1">
        <v>7.3279544409999994E-2</v>
      </c>
      <c r="H90" s="1">
        <v>0</v>
      </c>
      <c r="I90" s="1">
        <v>100</v>
      </c>
      <c r="J90" s="1">
        <v>0</v>
      </c>
      <c r="K90" s="1">
        <v>0</v>
      </c>
      <c r="L90" s="1">
        <v>0</v>
      </c>
      <c r="M90" s="1">
        <v>99.907945209999994</v>
      </c>
      <c r="N90" s="1">
        <v>0</v>
      </c>
      <c r="O90" s="1">
        <v>9.2054794519999997E-2</v>
      </c>
      <c r="P90" s="1">
        <v>0</v>
      </c>
    </row>
    <row r="91" spans="1:16" ht="12.5">
      <c r="A91" s="1" t="s">
        <v>235</v>
      </c>
      <c r="B91" s="1">
        <v>2020</v>
      </c>
      <c r="C91" s="1">
        <v>46754.78125</v>
      </c>
      <c r="D91" s="1">
        <v>80.809997559999999</v>
      </c>
      <c r="E91" s="1">
        <v>99.925612610000002</v>
      </c>
      <c r="F91" s="1">
        <v>0</v>
      </c>
      <c r="G91" s="1">
        <v>7.4387391420000004E-2</v>
      </c>
      <c r="H91" s="1">
        <v>0</v>
      </c>
      <c r="I91" s="1">
        <v>100</v>
      </c>
      <c r="J91" s="1">
        <v>0</v>
      </c>
      <c r="K91" s="1">
        <v>0</v>
      </c>
      <c r="L91" s="1">
        <v>0</v>
      </c>
      <c r="M91" s="1">
        <v>99.907945209999994</v>
      </c>
      <c r="N91" s="1">
        <v>0</v>
      </c>
      <c r="O91" s="1">
        <v>9.2054794519999997E-2</v>
      </c>
      <c r="P91" s="1">
        <v>0</v>
      </c>
    </row>
    <row r="92" spans="1:16" ht="12.5">
      <c r="A92" s="1" t="s">
        <v>156</v>
      </c>
      <c r="B92" s="1">
        <v>2015</v>
      </c>
      <c r="C92" s="1">
        <v>566.74102779999998</v>
      </c>
      <c r="D92" s="1">
        <v>90.179000849999994</v>
      </c>
      <c r="E92" s="1">
        <v>99.925170660000006</v>
      </c>
      <c r="F92" s="1">
        <v>0</v>
      </c>
      <c r="G92" s="1">
        <v>7.4829340019999996E-2</v>
      </c>
      <c r="H92" s="1">
        <v>0</v>
      </c>
      <c r="I92" s="1">
        <v>99.238095240000007</v>
      </c>
      <c r="J92" s="1">
        <v>0</v>
      </c>
      <c r="K92" s="1">
        <v>0.7619047619</v>
      </c>
      <c r="L92" s="1">
        <v>0</v>
      </c>
      <c r="M92" s="1">
        <v>100</v>
      </c>
      <c r="N92" s="1">
        <v>0</v>
      </c>
      <c r="O92" s="1">
        <v>0</v>
      </c>
      <c r="P92" s="1">
        <v>0</v>
      </c>
    </row>
    <row r="93" spans="1:16" ht="12.5">
      <c r="A93" s="1" t="s">
        <v>139</v>
      </c>
      <c r="B93" s="1">
        <v>2020</v>
      </c>
      <c r="C93" s="1">
        <v>60461.828130000002</v>
      </c>
      <c r="D93" s="1">
        <v>71.038993840000003</v>
      </c>
      <c r="E93" s="1">
        <v>99.91703407</v>
      </c>
      <c r="F93" s="1">
        <v>0</v>
      </c>
      <c r="G93" s="1">
        <v>8.2965925910000002E-2</v>
      </c>
      <c r="H93" s="1">
        <v>0</v>
      </c>
      <c r="I93" s="1" t="s">
        <v>272</v>
      </c>
      <c r="J93" s="1" t="s">
        <v>272</v>
      </c>
      <c r="K93" s="1" t="s">
        <v>272</v>
      </c>
      <c r="L93" s="1" t="s">
        <v>272</v>
      </c>
      <c r="M93" s="1" t="s">
        <v>272</v>
      </c>
      <c r="N93" s="1" t="s">
        <v>272</v>
      </c>
      <c r="O93" s="1" t="s">
        <v>272</v>
      </c>
      <c r="P93" s="1" t="s">
        <v>272</v>
      </c>
    </row>
    <row r="94" spans="1:16" ht="12.5">
      <c r="A94" s="1" t="s">
        <v>139</v>
      </c>
      <c r="B94" s="1">
        <v>2015</v>
      </c>
      <c r="C94" s="1">
        <v>60578.488279999998</v>
      </c>
      <c r="D94" s="1">
        <v>69.565002440000001</v>
      </c>
      <c r="E94" s="1">
        <v>99.91703407</v>
      </c>
      <c r="F94" s="1">
        <v>0</v>
      </c>
      <c r="G94" s="1">
        <v>8.2965925910000002E-2</v>
      </c>
      <c r="H94" s="1">
        <v>0</v>
      </c>
      <c r="I94" s="1" t="s">
        <v>272</v>
      </c>
      <c r="J94" s="1" t="s">
        <v>272</v>
      </c>
      <c r="K94" s="1" t="s">
        <v>272</v>
      </c>
      <c r="L94" s="1" t="s">
        <v>272</v>
      </c>
      <c r="M94" s="1" t="s">
        <v>272</v>
      </c>
      <c r="N94" s="1" t="s">
        <v>272</v>
      </c>
      <c r="O94" s="1" t="s">
        <v>272</v>
      </c>
      <c r="P94" s="1" t="s">
        <v>272</v>
      </c>
    </row>
    <row r="95" spans="1:16" ht="12.5">
      <c r="A95" s="1" t="s">
        <v>199</v>
      </c>
      <c r="B95" s="1">
        <v>2020</v>
      </c>
      <c r="C95" s="1">
        <v>10196.70703</v>
      </c>
      <c r="D95" s="1">
        <v>66.309997559999999</v>
      </c>
      <c r="E95" s="1">
        <v>99.911993670000001</v>
      </c>
      <c r="F95" s="1">
        <v>0</v>
      </c>
      <c r="G95" s="1">
        <v>8.8006333689999994E-2</v>
      </c>
      <c r="H95" s="1">
        <v>0</v>
      </c>
      <c r="I95" s="1">
        <v>99.738776090000002</v>
      </c>
      <c r="J95" s="1">
        <v>0</v>
      </c>
      <c r="K95" s="1">
        <v>0.26122391220000002</v>
      </c>
      <c r="L95" s="1">
        <v>0</v>
      </c>
      <c r="M95" s="1">
        <v>100</v>
      </c>
      <c r="N95" s="1">
        <v>0</v>
      </c>
      <c r="O95" s="1">
        <v>0</v>
      </c>
      <c r="P95" s="1">
        <v>0</v>
      </c>
    </row>
    <row r="96" spans="1:16" ht="12.5">
      <c r="A96" s="1" t="s">
        <v>204</v>
      </c>
      <c r="B96" s="1">
        <v>2015</v>
      </c>
      <c r="C96" s="1">
        <v>863.35900879999997</v>
      </c>
      <c r="D96" s="1">
        <v>99.339004520000003</v>
      </c>
      <c r="E96" s="1">
        <v>99.911530189999993</v>
      </c>
      <c r="F96" s="1">
        <v>0</v>
      </c>
      <c r="G96" s="1">
        <v>8.8469814100000002E-2</v>
      </c>
      <c r="H96" s="1">
        <v>0</v>
      </c>
      <c r="I96" s="1" t="s">
        <v>272</v>
      </c>
      <c r="J96" s="1" t="s">
        <v>272</v>
      </c>
      <c r="K96" s="1" t="s">
        <v>272</v>
      </c>
      <c r="L96" s="1" t="s">
        <v>272</v>
      </c>
      <c r="M96" s="1" t="s">
        <v>272</v>
      </c>
      <c r="N96" s="1" t="s">
        <v>272</v>
      </c>
      <c r="O96" s="1" t="s">
        <v>272</v>
      </c>
      <c r="P96" s="1" t="s">
        <v>272</v>
      </c>
    </row>
    <row r="97" spans="1:16" ht="12.5">
      <c r="A97" s="1" t="s">
        <v>199</v>
      </c>
      <c r="B97" s="1">
        <v>2015</v>
      </c>
      <c r="C97" s="1">
        <v>10368.3457</v>
      </c>
      <c r="D97" s="1">
        <v>63.513999939999998</v>
      </c>
      <c r="E97" s="1">
        <v>99.904689840000003</v>
      </c>
      <c r="F97" s="1">
        <v>0</v>
      </c>
      <c r="G97" s="1">
        <v>9.5310157000000006E-2</v>
      </c>
      <c r="H97" s="1">
        <v>0</v>
      </c>
      <c r="I97" s="1">
        <v>99.738776090000002</v>
      </c>
      <c r="J97" s="1">
        <v>0</v>
      </c>
      <c r="K97" s="1">
        <v>0.26122391220000002</v>
      </c>
      <c r="L97" s="1">
        <v>0</v>
      </c>
      <c r="M97" s="1">
        <v>100</v>
      </c>
      <c r="N97" s="1">
        <v>0</v>
      </c>
      <c r="O97" s="1">
        <v>0</v>
      </c>
      <c r="P97" s="1">
        <v>0</v>
      </c>
    </row>
    <row r="98" spans="1:16" ht="12.5">
      <c r="A98" s="1" t="s">
        <v>57</v>
      </c>
      <c r="B98" s="1">
        <v>2020</v>
      </c>
      <c r="C98" s="1">
        <v>62.272998809999997</v>
      </c>
      <c r="D98" s="1">
        <v>100</v>
      </c>
      <c r="E98" s="1">
        <v>99.903140019999995</v>
      </c>
      <c r="F98" s="1">
        <v>0</v>
      </c>
      <c r="G98" s="1">
        <v>9.6859982940000006E-2</v>
      </c>
      <c r="H98" s="1">
        <v>0</v>
      </c>
      <c r="I98" s="1" t="s">
        <v>272</v>
      </c>
      <c r="J98" s="1" t="s">
        <v>272</v>
      </c>
      <c r="K98" s="1" t="s">
        <v>272</v>
      </c>
      <c r="L98" s="1" t="s">
        <v>272</v>
      </c>
      <c r="M98" s="1">
        <v>99.903140019999995</v>
      </c>
      <c r="N98" s="1">
        <v>0</v>
      </c>
      <c r="O98" s="1">
        <v>9.6859982940000006E-2</v>
      </c>
      <c r="P98" s="1">
        <v>0</v>
      </c>
    </row>
    <row r="99" spans="1:16" ht="12.5">
      <c r="A99" s="1" t="s">
        <v>57</v>
      </c>
      <c r="B99" s="1">
        <v>2015</v>
      </c>
      <c r="C99" s="1">
        <v>63.694999690000003</v>
      </c>
      <c r="D99" s="1">
        <v>100</v>
      </c>
      <c r="E99" s="1">
        <v>99.903140019999995</v>
      </c>
      <c r="F99" s="1">
        <v>0</v>
      </c>
      <c r="G99" s="1">
        <v>9.6859982940000006E-2</v>
      </c>
      <c r="H99" s="1">
        <v>0</v>
      </c>
      <c r="I99" s="1" t="s">
        <v>272</v>
      </c>
      <c r="J99" s="1" t="s">
        <v>272</v>
      </c>
      <c r="K99" s="1" t="s">
        <v>272</v>
      </c>
      <c r="L99" s="1" t="s">
        <v>272</v>
      </c>
      <c r="M99" s="1">
        <v>99.903140019999995</v>
      </c>
      <c r="N99" s="1">
        <v>0</v>
      </c>
      <c r="O99" s="1">
        <v>9.6859982940000006E-2</v>
      </c>
      <c r="P99" s="1">
        <v>0</v>
      </c>
    </row>
    <row r="100" spans="1:16" ht="12.5">
      <c r="A100" s="1" t="s">
        <v>65</v>
      </c>
      <c r="B100" s="1">
        <v>2020</v>
      </c>
      <c r="C100" s="1">
        <v>437.48300169999999</v>
      </c>
      <c r="D100" s="1">
        <v>78.250007629999999</v>
      </c>
      <c r="E100" s="1">
        <v>99.900036799999995</v>
      </c>
      <c r="F100" s="1">
        <v>0</v>
      </c>
      <c r="G100" s="1">
        <v>9.9963200360000004E-2</v>
      </c>
      <c r="H100" s="1">
        <v>0</v>
      </c>
      <c r="I100" s="1" t="s">
        <v>272</v>
      </c>
      <c r="J100" s="1" t="s">
        <v>272</v>
      </c>
      <c r="K100" s="1" t="s">
        <v>272</v>
      </c>
      <c r="L100" s="1" t="s">
        <v>272</v>
      </c>
      <c r="M100" s="1">
        <v>99.65</v>
      </c>
      <c r="N100" s="1">
        <v>0</v>
      </c>
      <c r="O100" s="1">
        <v>0.35</v>
      </c>
      <c r="P100" s="1">
        <v>0</v>
      </c>
    </row>
    <row r="101" spans="1:16" ht="12.5">
      <c r="A101" s="1" t="s">
        <v>153</v>
      </c>
      <c r="B101" s="1">
        <v>2020</v>
      </c>
      <c r="C101" s="1">
        <v>6871.2871089999999</v>
      </c>
      <c r="D101" s="1">
        <v>80.691001889999995</v>
      </c>
      <c r="E101" s="1">
        <v>99.891523800000002</v>
      </c>
      <c r="F101" s="1">
        <v>0</v>
      </c>
      <c r="G101" s="1">
        <v>0.1084762012</v>
      </c>
      <c r="H101" s="1">
        <v>0</v>
      </c>
      <c r="I101" s="1" t="s">
        <v>272</v>
      </c>
      <c r="J101" s="1" t="s">
        <v>272</v>
      </c>
      <c r="K101" s="1" t="s">
        <v>272</v>
      </c>
      <c r="L101" s="1" t="s">
        <v>272</v>
      </c>
      <c r="M101" s="1" t="s">
        <v>272</v>
      </c>
      <c r="N101" s="1" t="s">
        <v>272</v>
      </c>
      <c r="O101" s="1" t="s">
        <v>272</v>
      </c>
      <c r="P101" s="1" t="s">
        <v>272</v>
      </c>
    </row>
    <row r="102" spans="1:16" ht="12.5">
      <c r="A102" s="1" t="s">
        <v>260</v>
      </c>
      <c r="B102" s="1">
        <v>2020</v>
      </c>
      <c r="C102" s="1">
        <v>331002.65629999997</v>
      </c>
      <c r="D102" s="1">
        <v>82.664001459999994</v>
      </c>
      <c r="E102" s="1">
        <v>99.883526680000003</v>
      </c>
      <c r="F102" s="1">
        <v>0</v>
      </c>
      <c r="G102" s="1">
        <v>0.1164733182</v>
      </c>
      <c r="H102" s="1">
        <v>0</v>
      </c>
      <c r="I102" s="1">
        <v>99.670787340000004</v>
      </c>
      <c r="J102" s="1">
        <v>0</v>
      </c>
      <c r="K102" s="1">
        <v>0.3292126628</v>
      </c>
      <c r="L102" s="1">
        <v>0</v>
      </c>
      <c r="M102" s="1">
        <v>99.928144470000007</v>
      </c>
      <c r="N102" s="1">
        <v>0</v>
      </c>
      <c r="O102" s="1">
        <v>7.1855529599999995E-2</v>
      </c>
      <c r="P102" s="1">
        <v>0</v>
      </c>
    </row>
    <row r="103" spans="1:16" ht="12.5">
      <c r="A103" s="1" t="s">
        <v>91</v>
      </c>
      <c r="B103" s="1">
        <v>2020</v>
      </c>
      <c r="C103" s="1">
        <v>10708.98242</v>
      </c>
      <c r="D103" s="1">
        <v>74.061004639999993</v>
      </c>
      <c r="E103" s="1">
        <v>99.880591670000001</v>
      </c>
      <c r="F103" s="1">
        <v>0</v>
      </c>
      <c r="G103" s="1">
        <v>0.11940833250000001</v>
      </c>
      <c r="H103" s="1">
        <v>0</v>
      </c>
      <c r="I103" s="1">
        <v>99.817599299999998</v>
      </c>
      <c r="J103" s="1">
        <v>0</v>
      </c>
      <c r="K103" s="1">
        <v>0.18240069649999999</v>
      </c>
      <c r="L103" s="1">
        <v>0</v>
      </c>
      <c r="M103" s="1">
        <v>99.902650929999993</v>
      </c>
      <c r="N103" s="1">
        <v>0</v>
      </c>
      <c r="O103" s="1">
        <v>9.7349067900000003E-2</v>
      </c>
      <c r="P103" s="1">
        <v>0</v>
      </c>
    </row>
    <row r="104" spans="1:16" ht="12.5">
      <c r="A104" s="1" t="s">
        <v>91</v>
      </c>
      <c r="B104" s="1">
        <v>2015</v>
      </c>
      <c r="C104" s="1">
        <v>10601.389649999999</v>
      </c>
      <c r="D104" s="1">
        <v>73.47699738</v>
      </c>
      <c r="E104" s="1">
        <v>99.880092689999998</v>
      </c>
      <c r="F104" s="1">
        <v>0</v>
      </c>
      <c r="G104" s="1">
        <v>0.11990731189999999</v>
      </c>
      <c r="H104" s="1">
        <v>0</v>
      </c>
      <c r="I104" s="1">
        <v>99.817599299999998</v>
      </c>
      <c r="J104" s="1">
        <v>0</v>
      </c>
      <c r="K104" s="1">
        <v>0.18240069649999999</v>
      </c>
      <c r="L104" s="1">
        <v>0</v>
      </c>
      <c r="M104" s="1">
        <v>99.902650929999993</v>
      </c>
      <c r="N104" s="1">
        <v>0</v>
      </c>
      <c r="O104" s="1">
        <v>9.7349067900000003E-2</v>
      </c>
      <c r="P104" s="1">
        <v>0</v>
      </c>
    </row>
    <row r="105" spans="1:16" ht="12.5">
      <c r="A105" s="1" t="s">
        <v>156</v>
      </c>
      <c r="B105" s="1">
        <v>2020</v>
      </c>
      <c r="C105" s="1">
        <v>625.97601320000001</v>
      </c>
      <c r="D105" s="1">
        <v>91.452995299999998</v>
      </c>
      <c r="E105" s="1">
        <v>99.879932539999999</v>
      </c>
      <c r="F105" s="1">
        <v>0</v>
      </c>
      <c r="G105" s="1">
        <v>0.1200674649</v>
      </c>
      <c r="H105" s="1">
        <v>0</v>
      </c>
      <c r="I105" s="1">
        <v>98.595238100000003</v>
      </c>
      <c r="J105" s="1">
        <v>0</v>
      </c>
      <c r="K105" s="1">
        <v>1.404761905</v>
      </c>
      <c r="L105" s="1">
        <v>0</v>
      </c>
      <c r="M105" s="1">
        <v>100</v>
      </c>
      <c r="N105" s="1">
        <v>0</v>
      </c>
      <c r="O105" s="1">
        <v>0</v>
      </c>
      <c r="P105" s="1">
        <v>0</v>
      </c>
    </row>
    <row r="106" spans="1:16" ht="12.5">
      <c r="A106" s="1" t="s">
        <v>166</v>
      </c>
      <c r="B106" s="1">
        <v>2015</v>
      </c>
      <c r="C106" s="1">
        <v>1259.4570309999999</v>
      </c>
      <c r="D106" s="1">
        <v>41</v>
      </c>
      <c r="E106" s="1">
        <v>99.866481820000004</v>
      </c>
      <c r="F106" s="1">
        <v>0</v>
      </c>
      <c r="G106" s="1">
        <v>0.13351818090000001</v>
      </c>
      <c r="H106" s="1">
        <v>0</v>
      </c>
      <c r="I106" s="1">
        <v>99.827682339999996</v>
      </c>
      <c r="J106" s="1">
        <v>0</v>
      </c>
      <c r="K106" s="1">
        <v>0.17231766179999999</v>
      </c>
      <c r="L106" s="1">
        <v>0</v>
      </c>
      <c r="M106" s="1">
        <v>99.922315220000002</v>
      </c>
      <c r="N106" s="1">
        <v>0</v>
      </c>
      <c r="O106" s="1">
        <v>7.7684781189999996E-2</v>
      </c>
      <c r="P106" s="1">
        <v>0</v>
      </c>
    </row>
    <row r="107" spans="1:16" ht="12.5">
      <c r="A107" s="1" t="s">
        <v>166</v>
      </c>
      <c r="B107" s="1">
        <v>2020</v>
      </c>
      <c r="C107" s="1">
        <v>1271.7669679999999</v>
      </c>
      <c r="D107" s="1">
        <v>40.759998320000001</v>
      </c>
      <c r="E107" s="1">
        <v>99.866254699999999</v>
      </c>
      <c r="F107" s="1">
        <v>0</v>
      </c>
      <c r="G107" s="1">
        <v>0.13374530139999999</v>
      </c>
      <c r="H107" s="1">
        <v>0</v>
      </c>
      <c r="I107" s="1">
        <v>99.827682339999996</v>
      </c>
      <c r="J107" s="1">
        <v>0</v>
      </c>
      <c r="K107" s="1">
        <v>0.17231766179999999</v>
      </c>
      <c r="L107" s="1">
        <v>0</v>
      </c>
      <c r="M107" s="1">
        <v>99.922315220000002</v>
      </c>
      <c r="N107" s="1">
        <v>0</v>
      </c>
      <c r="O107" s="1">
        <v>7.7684781189999996E-2</v>
      </c>
      <c r="P107" s="1">
        <v>0</v>
      </c>
    </row>
    <row r="108" spans="1:16" ht="12.5">
      <c r="A108" s="1" t="s">
        <v>64</v>
      </c>
      <c r="B108" s="1">
        <v>2015</v>
      </c>
      <c r="C108" s="1">
        <v>29.148000719999999</v>
      </c>
      <c r="D108" s="1">
        <v>46.583000179999999</v>
      </c>
      <c r="E108" s="1">
        <v>99.864383559999993</v>
      </c>
      <c r="F108" s="1">
        <v>0</v>
      </c>
      <c r="G108" s="1">
        <v>0.13561643840000001</v>
      </c>
      <c r="H108" s="1">
        <v>0</v>
      </c>
      <c r="I108" s="1" t="s">
        <v>272</v>
      </c>
      <c r="J108" s="1" t="s">
        <v>272</v>
      </c>
      <c r="K108" s="1" t="s">
        <v>272</v>
      </c>
      <c r="L108" s="1" t="s">
        <v>272</v>
      </c>
      <c r="M108" s="1" t="s">
        <v>272</v>
      </c>
      <c r="N108" s="1" t="s">
        <v>272</v>
      </c>
      <c r="O108" s="1" t="s">
        <v>272</v>
      </c>
      <c r="P108" s="1" t="s">
        <v>272</v>
      </c>
    </row>
    <row r="109" spans="1:16" ht="12.5">
      <c r="A109" s="1" t="s">
        <v>64</v>
      </c>
      <c r="B109" s="1">
        <v>2020</v>
      </c>
      <c r="C109" s="1">
        <v>30.23699951</v>
      </c>
      <c r="D109" s="1">
        <v>48.51499939</v>
      </c>
      <c r="E109" s="1">
        <v>99.864383559999993</v>
      </c>
      <c r="F109" s="1">
        <v>0</v>
      </c>
      <c r="G109" s="1">
        <v>0.13561643840000001</v>
      </c>
      <c r="H109" s="1">
        <v>0</v>
      </c>
      <c r="I109" s="1" t="s">
        <v>272</v>
      </c>
      <c r="J109" s="1" t="s">
        <v>272</v>
      </c>
      <c r="K109" s="1" t="s">
        <v>272</v>
      </c>
      <c r="L109" s="1" t="s">
        <v>272</v>
      </c>
      <c r="M109" s="1" t="s">
        <v>272</v>
      </c>
      <c r="N109" s="1" t="s">
        <v>272</v>
      </c>
      <c r="O109" s="1" t="s">
        <v>272</v>
      </c>
      <c r="P109" s="1" t="s">
        <v>272</v>
      </c>
    </row>
    <row r="110" spans="1:16" ht="12.5">
      <c r="A110" s="1" t="s">
        <v>164</v>
      </c>
      <c r="B110" s="1">
        <v>2020</v>
      </c>
      <c r="C110" s="1">
        <v>375.26501459999997</v>
      </c>
      <c r="D110" s="1">
        <v>89.13999939</v>
      </c>
      <c r="E110" s="1">
        <v>99.841970779999997</v>
      </c>
      <c r="F110" s="1">
        <v>0</v>
      </c>
      <c r="G110" s="1">
        <v>0.15802921580000001</v>
      </c>
      <c r="H110" s="1">
        <v>0</v>
      </c>
      <c r="I110" s="1" t="s">
        <v>272</v>
      </c>
      <c r="J110" s="1" t="s">
        <v>272</v>
      </c>
      <c r="K110" s="1" t="s">
        <v>272</v>
      </c>
      <c r="L110" s="1" t="s">
        <v>272</v>
      </c>
      <c r="M110" s="1" t="s">
        <v>272</v>
      </c>
      <c r="N110" s="1" t="s">
        <v>272</v>
      </c>
      <c r="O110" s="1" t="s">
        <v>272</v>
      </c>
      <c r="P110" s="1" t="s">
        <v>272</v>
      </c>
    </row>
    <row r="111" spans="1:16" ht="12.5">
      <c r="A111" s="1" t="s">
        <v>239</v>
      </c>
      <c r="B111" s="1">
        <v>2020</v>
      </c>
      <c r="C111" s="1">
        <v>10099.26953</v>
      </c>
      <c r="D111" s="1">
        <v>87.97699738</v>
      </c>
      <c r="E111" s="1">
        <v>99.826867629999995</v>
      </c>
      <c r="F111" s="1">
        <v>0</v>
      </c>
      <c r="G111" s="1">
        <v>0.17313237349999999</v>
      </c>
      <c r="H111" s="1">
        <v>0</v>
      </c>
      <c r="I111" s="1">
        <v>99.719374740000006</v>
      </c>
      <c r="J111" s="1">
        <v>0</v>
      </c>
      <c r="K111" s="1">
        <v>0.28062526259999998</v>
      </c>
      <c r="L111" s="1">
        <v>0</v>
      </c>
      <c r="M111" s="1">
        <v>99.841557679999994</v>
      </c>
      <c r="N111" s="1">
        <v>0</v>
      </c>
      <c r="O111" s="1">
        <v>0.1584423157</v>
      </c>
      <c r="P111" s="1">
        <v>0</v>
      </c>
    </row>
    <row r="112" spans="1:16" ht="12.5">
      <c r="A112" s="1" t="s">
        <v>85</v>
      </c>
      <c r="B112" s="1">
        <v>2020</v>
      </c>
      <c r="C112" s="1">
        <v>5094.1137699999999</v>
      </c>
      <c r="D112" s="1">
        <v>80.770996089999997</v>
      </c>
      <c r="E112" s="1">
        <v>99.810536929999998</v>
      </c>
      <c r="F112" s="1">
        <v>0.18945947460000001</v>
      </c>
      <c r="G112" s="1">
        <v>3.5944518969999999E-6</v>
      </c>
      <c r="H112" s="1">
        <v>0</v>
      </c>
      <c r="I112" s="1">
        <v>99.646249999999995</v>
      </c>
      <c r="J112" s="1">
        <v>0.35375000000000001</v>
      </c>
      <c r="K112" s="1">
        <v>0</v>
      </c>
      <c r="L112" s="1">
        <v>0</v>
      </c>
      <c r="M112" s="1">
        <v>99.849652860000006</v>
      </c>
      <c r="N112" s="1">
        <v>0.15034714290000001</v>
      </c>
      <c r="O112" s="1">
        <v>0</v>
      </c>
      <c r="P112" s="1">
        <v>0</v>
      </c>
    </row>
    <row r="113" spans="1:16" ht="12.5">
      <c r="A113" s="1" t="s">
        <v>122</v>
      </c>
      <c r="B113" s="1">
        <v>2020</v>
      </c>
      <c r="C113" s="1">
        <v>400.12701420000002</v>
      </c>
      <c r="D113" s="1">
        <v>98.498992920000006</v>
      </c>
      <c r="E113" s="1">
        <v>99.803126039999995</v>
      </c>
      <c r="F113" s="1">
        <v>0</v>
      </c>
      <c r="G113" s="1">
        <v>0.19687396130000001</v>
      </c>
      <c r="H113" s="1">
        <v>0</v>
      </c>
      <c r="I113" s="1" t="s">
        <v>272</v>
      </c>
      <c r="J113" s="1" t="s">
        <v>272</v>
      </c>
      <c r="K113" s="1" t="s">
        <v>272</v>
      </c>
      <c r="L113" s="1" t="s">
        <v>272</v>
      </c>
      <c r="M113" s="1" t="s">
        <v>272</v>
      </c>
      <c r="N113" s="1" t="s">
        <v>272</v>
      </c>
      <c r="O113" s="1" t="s">
        <v>272</v>
      </c>
      <c r="P113" s="1" t="s">
        <v>272</v>
      </c>
    </row>
    <row r="114" spans="1:16" ht="12.5">
      <c r="A114" s="1" t="s">
        <v>164</v>
      </c>
      <c r="B114" s="1">
        <v>2015</v>
      </c>
      <c r="C114" s="1">
        <v>378.48300169999999</v>
      </c>
      <c r="D114" s="1">
        <v>88.981002810000007</v>
      </c>
      <c r="E114" s="1">
        <v>99.796030000000002</v>
      </c>
      <c r="F114" s="1">
        <v>0</v>
      </c>
      <c r="G114" s="1">
        <v>0.20396999539999999</v>
      </c>
      <c r="H114" s="1">
        <v>0</v>
      </c>
      <c r="I114" s="1" t="s">
        <v>272</v>
      </c>
      <c r="J114" s="1" t="s">
        <v>272</v>
      </c>
      <c r="K114" s="1" t="s">
        <v>272</v>
      </c>
      <c r="L114" s="1" t="s">
        <v>272</v>
      </c>
      <c r="M114" s="1" t="s">
        <v>272</v>
      </c>
      <c r="N114" s="1" t="s">
        <v>272</v>
      </c>
      <c r="O114" s="1" t="s">
        <v>272</v>
      </c>
      <c r="P114" s="1" t="s">
        <v>272</v>
      </c>
    </row>
    <row r="115" spans="1:16" ht="12.5">
      <c r="A115" s="1" t="s">
        <v>90</v>
      </c>
      <c r="B115" s="1">
        <v>2015</v>
      </c>
      <c r="C115" s="1">
        <v>1160.987061</v>
      </c>
      <c r="D115" s="1">
        <v>66.945999150000006</v>
      </c>
      <c r="E115" s="1">
        <v>99.788517569999996</v>
      </c>
      <c r="F115" s="1">
        <v>0</v>
      </c>
      <c r="G115" s="1">
        <v>0.21148243489999999</v>
      </c>
      <c r="H115" s="1">
        <v>0</v>
      </c>
      <c r="I115" s="1">
        <v>99.861185539999994</v>
      </c>
      <c r="J115" s="1">
        <v>0</v>
      </c>
      <c r="K115" s="1">
        <v>0.1388144553</v>
      </c>
      <c r="L115" s="1">
        <v>0</v>
      </c>
      <c r="M115" s="1">
        <v>99.752642309999999</v>
      </c>
      <c r="N115" s="1">
        <v>0</v>
      </c>
      <c r="O115" s="1">
        <v>0.24735769429999999</v>
      </c>
      <c r="P115" s="1">
        <v>0</v>
      </c>
    </row>
    <row r="116" spans="1:16" ht="12.5">
      <c r="A116" s="1" t="s">
        <v>229</v>
      </c>
      <c r="B116" s="1">
        <v>2020</v>
      </c>
      <c r="C116" s="1">
        <v>5459.6430659999996</v>
      </c>
      <c r="D116" s="1">
        <v>53.759998320000001</v>
      </c>
      <c r="E116" s="1">
        <v>99.787698579999997</v>
      </c>
      <c r="F116" s="1">
        <v>0.2123014241</v>
      </c>
      <c r="G116" s="1">
        <v>0</v>
      </c>
      <c r="H116" s="1">
        <v>0</v>
      </c>
      <c r="I116" s="1">
        <v>100</v>
      </c>
      <c r="J116" s="1">
        <v>0</v>
      </c>
      <c r="K116" s="1">
        <v>0</v>
      </c>
      <c r="L116" s="1">
        <v>0</v>
      </c>
      <c r="M116" s="1">
        <v>99.605094059999999</v>
      </c>
      <c r="N116" s="1">
        <v>0.39490593740000002</v>
      </c>
      <c r="O116" s="1">
        <v>0</v>
      </c>
      <c r="P116" s="1">
        <v>0</v>
      </c>
    </row>
    <row r="117" spans="1:16" ht="12.5">
      <c r="A117" s="1" t="s">
        <v>229</v>
      </c>
      <c r="B117" s="1">
        <v>2015</v>
      </c>
      <c r="C117" s="1">
        <v>5435.6137699999999</v>
      </c>
      <c r="D117" s="1">
        <v>53.888999939999998</v>
      </c>
      <c r="E117" s="1">
        <v>99.787189130000002</v>
      </c>
      <c r="F117" s="1">
        <v>0.21281086739999999</v>
      </c>
      <c r="G117" s="1">
        <v>0</v>
      </c>
      <c r="H117" s="1">
        <v>0</v>
      </c>
      <c r="I117" s="1">
        <v>100</v>
      </c>
      <c r="J117" s="1">
        <v>0</v>
      </c>
      <c r="K117" s="1">
        <v>0</v>
      </c>
      <c r="L117" s="1">
        <v>0</v>
      </c>
      <c r="M117" s="1">
        <v>99.605094059999999</v>
      </c>
      <c r="N117" s="1">
        <v>0.39490593740000002</v>
      </c>
      <c r="O117" s="1">
        <v>0</v>
      </c>
      <c r="P117" s="1">
        <v>0</v>
      </c>
    </row>
    <row r="118" spans="1:16" ht="12.5">
      <c r="A118" s="1" t="s">
        <v>239</v>
      </c>
      <c r="B118" s="1">
        <v>2015</v>
      </c>
      <c r="C118" s="1">
        <v>9764.9492190000001</v>
      </c>
      <c r="D118" s="1">
        <v>86.553001399999999</v>
      </c>
      <c r="E118" s="1">
        <v>99.781231030000001</v>
      </c>
      <c r="F118" s="1">
        <v>0</v>
      </c>
      <c r="G118" s="1">
        <v>0.2187689729</v>
      </c>
      <c r="H118" s="1">
        <v>0</v>
      </c>
      <c r="I118" s="1">
        <v>99.549986529999998</v>
      </c>
      <c r="J118" s="1">
        <v>0</v>
      </c>
      <c r="K118" s="1">
        <v>0.4500134657</v>
      </c>
      <c r="L118" s="1">
        <v>0</v>
      </c>
      <c r="M118" s="1">
        <v>99.817160389999998</v>
      </c>
      <c r="N118" s="1">
        <v>0</v>
      </c>
      <c r="O118" s="1">
        <v>0.18283961479999999</v>
      </c>
      <c r="P118" s="1">
        <v>0</v>
      </c>
    </row>
    <row r="119" spans="1:16" ht="12.5">
      <c r="A119" s="1" t="s">
        <v>20</v>
      </c>
      <c r="B119" s="1">
        <v>2020</v>
      </c>
      <c r="C119" s="1">
        <v>55.196998600000001</v>
      </c>
      <c r="D119" s="1">
        <v>87.152999879999996</v>
      </c>
      <c r="E119" s="1">
        <v>99.773771659999994</v>
      </c>
      <c r="F119" s="1">
        <v>0</v>
      </c>
      <c r="G119" s="1">
        <v>0.22622834150000001</v>
      </c>
      <c r="H119" s="1">
        <v>0</v>
      </c>
      <c r="I119" s="1" t="s">
        <v>272</v>
      </c>
      <c r="J119" s="1" t="s">
        <v>272</v>
      </c>
      <c r="K119" s="1" t="s">
        <v>272</v>
      </c>
      <c r="L119" s="1" t="s">
        <v>272</v>
      </c>
      <c r="M119" s="1" t="s">
        <v>272</v>
      </c>
      <c r="N119" s="1" t="s">
        <v>272</v>
      </c>
      <c r="O119" s="1" t="s">
        <v>272</v>
      </c>
      <c r="P119" s="1" t="s">
        <v>272</v>
      </c>
    </row>
    <row r="120" spans="1:16" ht="12.5">
      <c r="A120" s="1" t="s">
        <v>90</v>
      </c>
      <c r="B120" s="1">
        <v>2020</v>
      </c>
      <c r="C120" s="1">
        <v>1207.360962</v>
      </c>
      <c r="D120" s="1">
        <v>66.820999150000006</v>
      </c>
      <c r="E120" s="1">
        <v>99.765173180000005</v>
      </c>
      <c r="F120" s="1">
        <v>0</v>
      </c>
      <c r="G120" s="1">
        <v>0.2348268167</v>
      </c>
      <c r="H120" s="1">
        <v>0</v>
      </c>
      <c r="I120" s="1">
        <v>99.845761719999999</v>
      </c>
      <c r="J120" s="1">
        <v>0</v>
      </c>
      <c r="K120" s="1">
        <v>0.1542382836</v>
      </c>
      <c r="L120" s="1">
        <v>0</v>
      </c>
      <c r="M120" s="1">
        <v>99.725158120000003</v>
      </c>
      <c r="N120" s="1">
        <v>0</v>
      </c>
      <c r="O120" s="1">
        <v>0.27484188250000002</v>
      </c>
      <c r="P120" s="1">
        <v>0</v>
      </c>
    </row>
    <row r="121" spans="1:16" ht="12.5">
      <c r="A121" s="1" t="s">
        <v>103</v>
      </c>
      <c r="B121" s="1">
        <v>2015</v>
      </c>
      <c r="C121" s="1">
        <v>1315.329956</v>
      </c>
      <c r="D121" s="1">
        <v>68.416000370000006</v>
      </c>
      <c r="E121" s="1">
        <v>99.751307569999994</v>
      </c>
      <c r="F121" s="1">
        <v>0</v>
      </c>
      <c r="G121" s="1">
        <v>0.24869242890000001</v>
      </c>
      <c r="H121" s="1">
        <v>0</v>
      </c>
      <c r="I121" s="1">
        <v>99.244115809999997</v>
      </c>
      <c r="J121" s="1">
        <v>0</v>
      </c>
      <c r="K121" s="1">
        <v>0.75588419029999998</v>
      </c>
      <c r="L121" s="1">
        <v>0</v>
      </c>
      <c r="M121" s="1">
        <v>99.98545421</v>
      </c>
      <c r="N121" s="1">
        <v>0</v>
      </c>
      <c r="O121" s="1">
        <v>1.454579307E-2</v>
      </c>
      <c r="P121" s="1">
        <v>0</v>
      </c>
    </row>
    <row r="122" spans="1:16" ht="12.5">
      <c r="A122" s="1" t="s">
        <v>246</v>
      </c>
      <c r="B122" s="1">
        <v>2020</v>
      </c>
      <c r="C122" s="1">
        <v>1.3500000240000001</v>
      </c>
      <c r="D122" s="1">
        <v>0</v>
      </c>
      <c r="E122" s="1">
        <v>99.707676649999996</v>
      </c>
      <c r="F122" s="1">
        <v>0</v>
      </c>
      <c r="G122" s="1">
        <v>0.29232334589999998</v>
      </c>
      <c r="H122" s="1">
        <v>0</v>
      </c>
      <c r="I122" s="1">
        <v>99.707676649999996</v>
      </c>
      <c r="J122" s="1">
        <v>0</v>
      </c>
      <c r="K122" s="1">
        <v>0.29232334589999998</v>
      </c>
      <c r="L122" s="1">
        <v>0</v>
      </c>
      <c r="M122" s="1" t="s">
        <v>272</v>
      </c>
      <c r="N122" s="1" t="s">
        <v>272</v>
      </c>
      <c r="O122" s="1" t="s">
        <v>272</v>
      </c>
      <c r="P122" s="1" t="s">
        <v>272</v>
      </c>
    </row>
    <row r="123" spans="1:16" ht="12.5">
      <c r="A123" s="1" t="s">
        <v>123</v>
      </c>
      <c r="B123" s="1">
        <v>2015</v>
      </c>
      <c r="C123" s="1">
        <v>161.85099790000001</v>
      </c>
      <c r="D123" s="1">
        <v>94.533996579999993</v>
      </c>
      <c r="E123" s="1">
        <v>99.6952</v>
      </c>
      <c r="F123" s="1">
        <v>0</v>
      </c>
      <c r="G123" s="1">
        <v>0.30480000000000002</v>
      </c>
      <c r="H123" s="1">
        <v>0</v>
      </c>
      <c r="I123" s="1" t="s">
        <v>272</v>
      </c>
      <c r="J123" s="1" t="s">
        <v>272</v>
      </c>
      <c r="K123" s="1" t="s">
        <v>272</v>
      </c>
      <c r="L123" s="1" t="s">
        <v>272</v>
      </c>
      <c r="M123" s="1" t="s">
        <v>272</v>
      </c>
      <c r="N123" s="1" t="s">
        <v>272</v>
      </c>
      <c r="O123" s="1" t="s">
        <v>272</v>
      </c>
      <c r="P123" s="1" t="s">
        <v>272</v>
      </c>
    </row>
    <row r="124" spans="1:16" ht="12.5">
      <c r="A124" s="1" t="s">
        <v>123</v>
      </c>
      <c r="B124" s="1">
        <v>2020</v>
      </c>
      <c r="C124" s="1">
        <v>168.78300479999999</v>
      </c>
      <c r="D124" s="1">
        <v>94.938003539999997</v>
      </c>
      <c r="E124" s="1">
        <v>99.6952</v>
      </c>
      <c r="F124" s="1">
        <v>0</v>
      </c>
      <c r="G124" s="1">
        <v>0.30480000000000002</v>
      </c>
      <c r="H124" s="1">
        <v>0</v>
      </c>
      <c r="I124" s="1" t="s">
        <v>272</v>
      </c>
      <c r="J124" s="1" t="s">
        <v>272</v>
      </c>
      <c r="K124" s="1" t="s">
        <v>272</v>
      </c>
      <c r="L124" s="1" t="s">
        <v>272</v>
      </c>
      <c r="M124" s="1" t="s">
        <v>272</v>
      </c>
      <c r="N124" s="1" t="s">
        <v>272</v>
      </c>
      <c r="O124" s="1" t="s">
        <v>272</v>
      </c>
      <c r="P124" s="1" t="s">
        <v>272</v>
      </c>
    </row>
    <row r="125" spans="1:16" ht="12.5">
      <c r="A125" s="1" t="s">
        <v>201</v>
      </c>
      <c r="B125" s="1">
        <v>2015</v>
      </c>
      <c r="C125" s="1">
        <v>2565.7080080000001</v>
      </c>
      <c r="D125" s="1">
        <v>98.944992069999998</v>
      </c>
      <c r="E125" s="1">
        <v>99.691501380000005</v>
      </c>
      <c r="F125" s="1">
        <v>0</v>
      </c>
      <c r="G125" s="1">
        <v>0.30849861699999997</v>
      </c>
      <c r="H125" s="1">
        <v>0</v>
      </c>
      <c r="I125" s="1" t="s">
        <v>272</v>
      </c>
      <c r="J125" s="1" t="s">
        <v>272</v>
      </c>
      <c r="K125" s="1" t="s">
        <v>272</v>
      </c>
      <c r="L125" s="1" t="s">
        <v>272</v>
      </c>
      <c r="M125" s="1" t="s">
        <v>272</v>
      </c>
      <c r="N125" s="1" t="s">
        <v>272</v>
      </c>
      <c r="O125" s="1" t="s">
        <v>272</v>
      </c>
      <c r="P125" s="1" t="s">
        <v>272</v>
      </c>
    </row>
    <row r="126" spans="1:16" ht="12.5">
      <c r="A126" s="1" t="s">
        <v>168</v>
      </c>
      <c r="B126" s="1">
        <v>2020</v>
      </c>
      <c r="C126" s="1">
        <v>128932.75</v>
      </c>
      <c r="D126" s="1">
        <v>80.730995179999994</v>
      </c>
      <c r="E126" s="1">
        <v>99.679568279999998</v>
      </c>
      <c r="F126" s="1">
        <v>0</v>
      </c>
      <c r="G126" s="1">
        <v>0.3204317169</v>
      </c>
      <c r="H126" s="1">
        <v>0</v>
      </c>
      <c r="I126" s="1">
        <v>98.337068930000001</v>
      </c>
      <c r="J126" s="1">
        <v>0</v>
      </c>
      <c r="K126" s="1">
        <v>1.6629310669999999</v>
      </c>
      <c r="L126" s="1">
        <v>0</v>
      </c>
      <c r="M126" s="1">
        <v>100</v>
      </c>
      <c r="N126" s="1">
        <v>0</v>
      </c>
      <c r="O126" s="1">
        <v>0</v>
      </c>
      <c r="P126" s="1">
        <v>0</v>
      </c>
    </row>
    <row r="127" spans="1:16" ht="12.5">
      <c r="A127" s="1" t="s">
        <v>192</v>
      </c>
      <c r="B127" s="1">
        <v>2020</v>
      </c>
      <c r="C127" s="1">
        <v>18.091999049999998</v>
      </c>
      <c r="D127" s="1">
        <v>80.987998959999999</v>
      </c>
      <c r="E127" s="1">
        <v>99.657545499999998</v>
      </c>
      <c r="F127" s="1">
        <v>0</v>
      </c>
      <c r="G127" s="1">
        <v>0.34245449839999997</v>
      </c>
      <c r="H127" s="1">
        <v>0</v>
      </c>
      <c r="I127" s="1">
        <v>99.756985029999996</v>
      </c>
      <c r="J127" s="1">
        <v>0</v>
      </c>
      <c r="K127" s="1">
        <v>0.2430149677</v>
      </c>
      <c r="L127" s="1">
        <v>0</v>
      </c>
      <c r="M127" s="1">
        <v>99.634201989999994</v>
      </c>
      <c r="N127" s="1">
        <v>0</v>
      </c>
      <c r="O127" s="1">
        <v>0.36579800779999999</v>
      </c>
      <c r="P127" s="1">
        <v>0</v>
      </c>
    </row>
    <row r="128" spans="1:16" ht="12.5">
      <c r="A128" s="1" t="s">
        <v>192</v>
      </c>
      <c r="B128" s="1">
        <v>2015</v>
      </c>
      <c r="C128" s="1">
        <v>17.665000920000001</v>
      </c>
      <c r="D128" s="1">
        <v>78.158996579999993</v>
      </c>
      <c r="E128" s="1">
        <v>99.630150850000007</v>
      </c>
      <c r="F128" s="1">
        <v>0</v>
      </c>
      <c r="G128" s="1">
        <v>0.36984914990000001</v>
      </c>
      <c r="H128" s="1">
        <v>0</v>
      </c>
      <c r="I128" s="1">
        <v>99.61387148</v>
      </c>
      <c r="J128" s="1">
        <v>0</v>
      </c>
      <c r="K128" s="1">
        <v>0.38612851729999997</v>
      </c>
      <c r="L128" s="1">
        <v>0</v>
      </c>
      <c r="M128" s="1">
        <v>99.634701730000003</v>
      </c>
      <c r="N128" s="1">
        <v>0</v>
      </c>
      <c r="O128" s="1">
        <v>0.36529827059999997</v>
      </c>
      <c r="P128" s="1">
        <v>0</v>
      </c>
    </row>
    <row r="129" spans="1:16" ht="12.5">
      <c r="A129" s="1" t="s">
        <v>20</v>
      </c>
      <c r="B129" s="1">
        <v>2015</v>
      </c>
      <c r="C129" s="1">
        <v>55.805999759999999</v>
      </c>
      <c r="D129" s="1">
        <v>87.238006589999998</v>
      </c>
      <c r="E129" s="1">
        <v>99.619103150000001</v>
      </c>
      <c r="F129" s="1">
        <v>0</v>
      </c>
      <c r="G129" s="1">
        <v>0.38089684610000002</v>
      </c>
      <c r="H129" s="1">
        <v>0</v>
      </c>
      <c r="I129" s="1" t="s">
        <v>272</v>
      </c>
      <c r="J129" s="1" t="s">
        <v>272</v>
      </c>
      <c r="K129" s="1" t="s">
        <v>272</v>
      </c>
      <c r="L129" s="1" t="s">
        <v>272</v>
      </c>
      <c r="M129" s="1" t="s">
        <v>272</v>
      </c>
      <c r="N129" s="1" t="s">
        <v>272</v>
      </c>
      <c r="O129" s="1" t="s">
        <v>272</v>
      </c>
      <c r="P129" s="1" t="s">
        <v>272</v>
      </c>
    </row>
    <row r="130" spans="1:16" ht="12.5">
      <c r="A130" s="1" t="s">
        <v>122</v>
      </c>
      <c r="B130" s="1">
        <v>2015</v>
      </c>
      <c r="C130" s="1">
        <v>400.26000979999998</v>
      </c>
      <c r="D130" s="1">
        <v>98.443000789999999</v>
      </c>
      <c r="E130" s="1">
        <v>99.611028129999994</v>
      </c>
      <c r="F130" s="1">
        <v>0</v>
      </c>
      <c r="G130" s="1">
        <v>0.38897187239999997</v>
      </c>
      <c r="H130" s="1">
        <v>0</v>
      </c>
      <c r="I130" s="1" t="s">
        <v>272</v>
      </c>
      <c r="J130" s="1" t="s">
        <v>272</v>
      </c>
      <c r="K130" s="1" t="s">
        <v>272</v>
      </c>
      <c r="L130" s="1" t="s">
        <v>272</v>
      </c>
      <c r="M130" s="1" t="s">
        <v>272</v>
      </c>
      <c r="N130" s="1" t="s">
        <v>272</v>
      </c>
      <c r="O130" s="1" t="s">
        <v>272</v>
      </c>
      <c r="P130" s="1" t="s">
        <v>272</v>
      </c>
    </row>
    <row r="131" spans="1:16" ht="12.5">
      <c r="A131" s="1" t="s">
        <v>195</v>
      </c>
      <c r="B131" s="1">
        <v>2020</v>
      </c>
      <c r="C131" s="1">
        <v>7132.5297849999997</v>
      </c>
      <c r="D131" s="1">
        <v>62.182994839999999</v>
      </c>
      <c r="E131" s="1">
        <v>99.593466329999998</v>
      </c>
      <c r="F131" s="1">
        <v>0.40653024389999998</v>
      </c>
      <c r="G131" s="1">
        <v>3.4229177000000001E-6</v>
      </c>
      <c r="H131" s="1">
        <v>0</v>
      </c>
      <c r="I131" s="1">
        <v>99.111227529999994</v>
      </c>
      <c r="J131" s="1">
        <v>0.88877246840000002</v>
      </c>
      <c r="K131" s="1">
        <v>0</v>
      </c>
      <c r="L131" s="1">
        <v>0</v>
      </c>
      <c r="M131" s="1">
        <v>99.886748539999999</v>
      </c>
      <c r="N131" s="1">
        <v>0.11325146429999999</v>
      </c>
      <c r="O131" s="1">
        <v>0</v>
      </c>
      <c r="P131" s="1">
        <v>0</v>
      </c>
    </row>
    <row r="132" spans="1:16" ht="12.5">
      <c r="A132" s="1" t="s">
        <v>103</v>
      </c>
      <c r="B132" s="1">
        <v>2020</v>
      </c>
      <c r="C132" s="1">
        <v>1326.5389399999999</v>
      </c>
      <c r="D132" s="1">
        <v>69.229003910000003</v>
      </c>
      <c r="E132" s="1">
        <v>99.59078178</v>
      </c>
      <c r="F132" s="1">
        <v>0</v>
      </c>
      <c r="G132" s="1">
        <v>0.40921822320000001</v>
      </c>
      <c r="H132" s="1">
        <v>0</v>
      </c>
      <c r="I132" s="1" t="s">
        <v>272</v>
      </c>
      <c r="J132" s="1" t="s">
        <v>272</v>
      </c>
      <c r="K132" s="1" t="s">
        <v>272</v>
      </c>
      <c r="L132" s="1" t="s">
        <v>272</v>
      </c>
      <c r="M132" s="1">
        <v>99.98545421</v>
      </c>
      <c r="N132" s="1">
        <v>0</v>
      </c>
      <c r="O132" s="1">
        <v>1.454579307E-2</v>
      </c>
      <c r="P132" s="1">
        <v>0</v>
      </c>
    </row>
    <row r="133" spans="1:16" ht="12.5">
      <c r="A133" s="1" t="s">
        <v>201</v>
      </c>
      <c r="B133" s="1">
        <v>2020</v>
      </c>
      <c r="C133" s="1">
        <v>2881.0600589999999</v>
      </c>
      <c r="D133" s="1">
        <v>99.23500061</v>
      </c>
      <c r="E133" s="1">
        <v>99.568101940000005</v>
      </c>
      <c r="F133" s="1">
        <v>0</v>
      </c>
      <c r="G133" s="1">
        <v>0.4318980637</v>
      </c>
      <c r="H133" s="1">
        <v>0</v>
      </c>
      <c r="I133" s="1" t="s">
        <v>272</v>
      </c>
      <c r="J133" s="1" t="s">
        <v>272</v>
      </c>
      <c r="K133" s="1" t="s">
        <v>272</v>
      </c>
      <c r="L133" s="1" t="s">
        <v>272</v>
      </c>
      <c r="M133" s="1" t="s">
        <v>272</v>
      </c>
      <c r="N133" s="1" t="s">
        <v>272</v>
      </c>
      <c r="O133" s="1" t="s">
        <v>272</v>
      </c>
      <c r="P133" s="1" t="s">
        <v>272</v>
      </c>
    </row>
    <row r="134" spans="1:16" ht="12.5">
      <c r="A134" s="1" t="s">
        <v>34</v>
      </c>
      <c r="B134" s="1">
        <v>2015</v>
      </c>
      <c r="C134" s="1">
        <v>2925.5590820000002</v>
      </c>
      <c r="D134" s="1">
        <v>63.085002899999999</v>
      </c>
      <c r="E134" s="1">
        <v>99.5525667</v>
      </c>
      <c r="F134" s="1">
        <v>0</v>
      </c>
      <c r="G134" s="1">
        <v>9.8505083660000006E-2</v>
      </c>
      <c r="H134" s="1">
        <v>0.3489282205</v>
      </c>
      <c r="I134" s="1">
        <v>99.054779269999997</v>
      </c>
      <c r="J134" s="1">
        <v>0</v>
      </c>
      <c r="K134" s="1">
        <v>0</v>
      </c>
      <c r="L134" s="1">
        <v>0.94522073470000001</v>
      </c>
      <c r="M134" s="1">
        <v>99.8438534</v>
      </c>
      <c r="N134" s="1">
        <v>0</v>
      </c>
      <c r="O134" s="1">
        <v>0.15614659810000001</v>
      </c>
      <c r="P134" s="1">
        <v>0</v>
      </c>
    </row>
    <row r="135" spans="1:16" ht="12.5">
      <c r="A135" s="1" t="s">
        <v>221</v>
      </c>
      <c r="B135" s="1">
        <v>2015</v>
      </c>
      <c r="C135" s="1">
        <v>31717.675780000001</v>
      </c>
      <c r="D135" s="1">
        <v>83.180000309999997</v>
      </c>
      <c r="E135" s="1">
        <v>99.548026379999996</v>
      </c>
      <c r="F135" s="1">
        <v>0</v>
      </c>
      <c r="G135" s="1">
        <v>0.45197361660000002</v>
      </c>
      <c r="H135" s="1">
        <v>0</v>
      </c>
      <c r="I135" s="1" t="s">
        <v>272</v>
      </c>
      <c r="J135" s="1" t="s">
        <v>272</v>
      </c>
      <c r="K135" s="1" t="s">
        <v>272</v>
      </c>
      <c r="L135" s="1" t="s">
        <v>272</v>
      </c>
      <c r="M135" s="1" t="s">
        <v>272</v>
      </c>
      <c r="N135" s="1" t="s">
        <v>272</v>
      </c>
      <c r="O135" s="1" t="s">
        <v>272</v>
      </c>
      <c r="P135" s="1" t="s">
        <v>272</v>
      </c>
    </row>
    <row r="136" spans="1:16" ht="12.5">
      <c r="A136" s="1" t="s">
        <v>160</v>
      </c>
      <c r="B136" s="1">
        <v>2020</v>
      </c>
      <c r="C136" s="1">
        <v>540.54199219999998</v>
      </c>
      <c r="D136" s="1">
        <v>40.668998719999998</v>
      </c>
      <c r="E136" s="1">
        <v>99.544438600000007</v>
      </c>
      <c r="F136" s="1">
        <v>4.8050691299999997E-2</v>
      </c>
      <c r="G136" s="1">
        <v>0.40751070499999997</v>
      </c>
      <c r="H136" s="1">
        <v>0</v>
      </c>
      <c r="I136" s="1">
        <v>99.919012499999994</v>
      </c>
      <c r="J136" s="1">
        <v>8.0987500000000004E-2</v>
      </c>
      <c r="K136" s="1">
        <v>0</v>
      </c>
      <c r="L136" s="1">
        <v>0</v>
      </c>
      <c r="M136" s="1">
        <v>98.997988930000005</v>
      </c>
      <c r="N136" s="1">
        <v>0</v>
      </c>
      <c r="O136" s="1">
        <v>1.0020110689999999</v>
      </c>
      <c r="P136" s="1">
        <v>0</v>
      </c>
    </row>
    <row r="137" spans="1:16" ht="12.5">
      <c r="A137" s="1" t="s">
        <v>65</v>
      </c>
      <c r="B137" s="1">
        <v>2015</v>
      </c>
      <c r="C137" s="1">
        <v>414.91400149999998</v>
      </c>
      <c r="D137" s="1">
        <v>76.662994380000001</v>
      </c>
      <c r="E137" s="1">
        <v>99.509976159999994</v>
      </c>
      <c r="F137" s="1">
        <v>0</v>
      </c>
      <c r="G137" s="1">
        <v>0.39667583379999999</v>
      </c>
      <c r="H137" s="1">
        <v>9.3348002949999995E-2</v>
      </c>
      <c r="I137" s="1">
        <v>99.05</v>
      </c>
      <c r="J137" s="1">
        <v>0</v>
      </c>
      <c r="K137" s="1">
        <v>0.55000000000000004</v>
      </c>
      <c r="L137" s="1">
        <v>0.4</v>
      </c>
      <c r="M137" s="1">
        <v>99.65</v>
      </c>
      <c r="N137" s="1">
        <v>0</v>
      </c>
      <c r="O137" s="1">
        <v>0.35</v>
      </c>
      <c r="P137" s="1">
        <v>0</v>
      </c>
    </row>
    <row r="138" spans="1:16" ht="12.5">
      <c r="A138" s="1" t="s">
        <v>77</v>
      </c>
      <c r="B138" s="1">
        <v>2015</v>
      </c>
      <c r="C138" s="1">
        <v>17969.355469999999</v>
      </c>
      <c r="D138" s="1">
        <v>87.36000061</v>
      </c>
      <c r="E138" s="1">
        <v>99.506492719999997</v>
      </c>
      <c r="F138" s="1">
        <v>0</v>
      </c>
      <c r="G138" s="1">
        <v>0.49350727579999998</v>
      </c>
      <c r="H138" s="1">
        <v>0</v>
      </c>
      <c r="I138" s="1">
        <v>97.067698500000006</v>
      </c>
      <c r="J138" s="1">
        <v>0</v>
      </c>
      <c r="K138" s="1">
        <v>2.9323014980000002</v>
      </c>
      <c r="L138" s="1">
        <v>0</v>
      </c>
      <c r="M138" s="1">
        <v>99.859356980000001</v>
      </c>
      <c r="N138" s="1">
        <v>0</v>
      </c>
      <c r="O138" s="1">
        <v>0.1406430186</v>
      </c>
      <c r="P138" s="1">
        <v>0</v>
      </c>
    </row>
    <row r="139" spans="1:16" ht="12.5">
      <c r="A139" s="1" t="s">
        <v>230</v>
      </c>
      <c r="B139" s="1">
        <v>2015</v>
      </c>
      <c r="C139" s="1">
        <v>2071.1989749999998</v>
      </c>
      <c r="D139" s="1">
        <v>53.78100586</v>
      </c>
      <c r="E139" s="1">
        <v>99.5</v>
      </c>
      <c r="F139" s="1">
        <v>0</v>
      </c>
      <c r="G139" s="1">
        <v>0.5</v>
      </c>
      <c r="H139" s="1">
        <v>0</v>
      </c>
      <c r="I139" s="1" t="s">
        <v>272</v>
      </c>
      <c r="J139" s="1" t="s">
        <v>272</v>
      </c>
      <c r="K139" s="1" t="s">
        <v>272</v>
      </c>
      <c r="L139" s="1" t="s">
        <v>272</v>
      </c>
      <c r="M139" s="1" t="s">
        <v>272</v>
      </c>
      <c r="N139" s="1" t="s">
        <v>272</v>
      </c>
      <c r="O139" s="1" t="s">
        <v>272</v>
      </c>
      <c r="P139" s="1" t="s">
        <v>272</v>
      </c>
    </row>
    <row r="140" spans="1:16" ht="12.5">
      <c r="A140" s="1" t="s">
        <v>230</v>
      </c>
      <c r="B140" s="1">
        <v>2020</v>
      </c>
      <c r="C140" s="1">
        <v>2078.931885</v>
      </c>
      <c r="D140" s="1">
        <v>55.118003850000001</v>
      </c>
      <c r="E140" s="1">
        <v>99.5</v>
      </c>
      <c r="F140" s="1">
        <v>0</v>
      </c>
      <c r="G140" s="1">
        <v>0.5</v>
      </c>
      <c r="H140" s="1">
        <v>0</v>
      </c>
      <c r="I140" s="1" t="s">
        <v>272</v>
      </c>
      <c r="J140" s="1" t="s">
        <v>272</v>
      </c>
      <c r="K140" s="1" t="s">
        <v>272</v>
      </c>
      <c r="L140" s="1" t="s">
        <v>272</v>
      </c>
      <c r="M140" s="1" t="s">
        <v>272</v>
      </c>
      <c r="N140" s="1" t="s">
        <v>272</v>
      </c>
      <c r="O140" s="1" t="s">
        <v>272</v>
      </c>
      <c r="P140" s="1" t="s">
        <v>272</v>
      </c>
    </row>
    <row r="141" spans="1:16" ht="12.5">
      <c r="A141" s="1" t="s">
        <v>89</v>
      </c>
      <c r="B141" s="1">
        <v>2015</v>
      </c>
      <c r="C141" s="1">
        <v>159.8500061</v>
      </c>
      <c r="D141" s="1">
        <v>89.35199738</v>
      </c>
      <c r="E141" s="1">
        <v>99.49775185</v>
      </c>
      <c r="F141" s="1">
        <v>0</v>
      </c>
      <c r="G141" s="1">
        <v>0.50224815249999999</v>
      </c>
      <c r="H141" s="1">
        <v>0</v>
      </c>
      <c r="I141" s="1" t="s">
        <v>272</v>
      </c>
      <c r="J141" s="1" t="s">
        <v>272</v>
      </c>
      <c r="K141" s="1" t="s">
        <v>272</v>
      </c>
      <c r="L141" s="1" t="s">
        <v>272</v>
      </c>
      <c r="M141" s="1" t="s">
        <v>272</v>
      </c>
      <c r="N141" s="1" t="s">
        <v>272</v>
      </c>
      <c r="O141" s="1" t="s">
        <v>272</v>
      </c>
      <c r="P141" s="1" t="s">
        <v>272</v>
      </c>
    </row>
    <row r="142" spans="1:16" ht="12.5">
      <c r="A142" s="1" t="s">
        <v>89</v>
      </c>
      <c r="B142" s="1">
        <v>2017</v>
      </c>
      <c r="C142" s="1">
        <v>161.98599239999999</v>
      </c>
      <c r="D142" s="1">
        <v>89.203002929999997</v>
      </c>
      <c r="E142" s="1">
        <v>99.49775185</v>
      </c>
      <c r="F142" s="1">
        <v>0</v>
      </c>
      <c r="G142" s="1">
        <v>0.50224815249999999</v>
      </c>
      <c r="H142" s="1">
        <v>0</v>
      </c>
      <c r="I142" s="1" t="s">
        <v>272</v>
      </c>
      <c r="J142" s="1" t="s">
        <v>272</v>
      </c>
      <c r="K142" s="1" t="s">
        <v>272</v>
      </c>
      <c r="L142" s="1" t="s">
        <v>272</v>
      </c>
      <c r="M142" s="1" t="s">
        <v>272</v>
      </c>
      <c r="N142" s="1" t="s">
        <v>272</v>
      </c>
      <c r="O142" s="1" t="s">
        <v>272</v>
      </c>
      <c r="P142" s="1" t="s">
        <v>272</v>
      </c>
    </row>
    <row r="143" spans="1:16" ht="12.5">
      <c r="A143" s="1" t="s">
        <v>262</v>
      </c>
      <c r="B143" s="1">
        <v>2020</v>
      </c>
      <c r="C143" s="1">
        <v>3473.7270509999998</v>
      </c>
      <c r="D143" s="1">
        <v>95.51499939</v>
      </c>
      <c r="E143" s="1">
        <v>99.495757560000001</v>
      </c>
      <c r="F143" s="1">
        <v>0.50424244119999995</v>
      </c>
      <c r="G143" s="1">
        <v>0</v>
      </c>
      <c r="H143" s="1">
        <v>0</v>
      </c>
      <c r="I143" s="1">
        <v>95.300830000000005</v>
      </c>
      <c r="J143" s="1">
        <v>4.6991699999999996</v>
      </c>
      <c r="K143" s="1">
        <v>0</v>
      </c>
      <c r="L143" s="1">
        <v>0</v>
      </c>
      <c r="M143" s="1">
        <v>99.692734439999995</v>
      </c>
      <c r="N143" s="1">
        <v>0.30726556170000002</v>
      </c>
      <c r="O143" s="1">
        <v>0</v>
      </c>
      <c r="P143" s="1">
        <v>0</v>
      </c>
    </row>
    <row r="144" spans="1:16" ht="12.5">
      <c r="A144" s="1" t="s">
        <v>202</v>
      </c>
      <c r="B144" s="1">
        <v>2015</v>
      </c>
      <c r="C144" s="1">
        <v>50823.085939999997</v>
      </c>
      <c r="D144" s="1">
        <v>81.634002690000003</v>
      </c>
      <c r="E144" s="1">
        <v>99.472746409999999</v>
      </c>
      <c r="F144" s="1">
        <v>0</v>
      </c>
      <c r="G144" s="1">
        <v>0.5272535907</v>
      </c>
      <c r="H144" s="1">
        <v>0</v>
      </c>
      <c r="I144" s="1" t="s">
        <v>272</v>
      </c>
      <c r="J144" s="1" t="s">
        <v>272</v>
      </c>
      <c r="K144" s="1" t="s">
        <v>272</v>
      </c>
      <c r="L144" s="1" t="s">
        <v>272</v>
      </c>
      <c r="M144" s="1" t="s">
        <v>272</v>
      </c>
      <c r="N144" s="1" t="s">
        <v>272</v>
      </c>
      <c r="O144" s="1" t="s">
        <v>272</v>
      </c>
      <c r="P144" s="1" t="s">
        <v>272</v>
      </c>
    </row>
    <row r="145" spans="1:16" ht="12.5">
      <c r="A145" s="1" t="s">
        <v>246</v>
      </c>
      <c r="B145" s="1">
        <v>2015</v>
      </c>
      <c r="C145" s="1">
        <v>1.2469999789999999</v>
      </c>
      <c r="D145" s="1">
        <v>0</v>
      </c>
      <c r="E145" s="1">
        <v>99.457396000000003</v>
      </c>
      <c r="F145" s="1">
        <v>0</v>
      </c>
      <c r="G145" s="1">
        <v>0.54260399999999998</v>
      </c>
      <c r="H145" s="1">
        <v>0</v>
      </c>
      <c r="I145" s="1">
        <v>99.457396000000003</v>
      </c>
      <c r="J145" s="1">
        <v>0</v>
      </c>
      <c r="K145" s="1">
        <v>0.54260399999999998</v>
      </c>
      <c r="L145" s="1">
        <v>0</v>
      </c>
      <c r="M145" s="1" t="s">
        <v>272</v>
      </c>
      <c r="N145" s="1" t="s">
        <v>272</v>
      </c>
      <c r="O145" s="1" t="s">
        <v>272</v>
      </c>
      <c r="P145" s="1" t="s">
        <v>272</v>
      </c>
    </row>
    <row r="146" spans="1:16" ht="12.5">
      <c r="A146" s="1" t="s">
        <v>260</v>
      </c>
      <c r="B146" s="1">
        <v>2015</v>
      </c>
      <c r="C146" s="1">
        <v>320878.3125</v>
      </c>
      <c r="D146" s="1">
        <v>81.671005249999993</v>
      </c>
      <c r="E146" s="1">
        <v>99.447157759999996</v>
      </c>
      <c r="F146" s="1">
        <v>0</v>
      </c>
      <c r="G146" s="1">
        <v>0.55284223720000003</v>
      </c>
      <c r="H146" s="1">
        <v>0</v>
      </c>
      <c r="I146" s="1">
        <v>97.780118509999994</v>
      </c>
      <c r="J146" s="1">
        <v>0</v>
      </c>
      <c r="K146" s="1">
        <v>2.2198814850000002</v>
      </c>
      <c r="L146" s="1">
        <v>0</v>
      </c>
      <c r="M146" s="1">
        <v>99.821279809999993</v>
      </c>
      <c r="N146" s="1">
        <v>0</v>
      </c>
      <c r="O146" s="1">
        <v>0.1787201944</v>
      </c>
      <c r="P146" s="1">
        <v>0</v>
      </c>
    </row>
    <row r="147" spans="1:16" ht="12.5">
      <c r="A147" s="1" t="s">
        <v>99</v>
      </c>
      <c r="B147" s="1">
        <v>2020</v>
      </c>
      <c r="C147" s="1">
        <v>102334.4063</v>
      </c>
      <c r="D147" s="1">
        <v>42.783000950000002</v>
      </c>
      <c r="E147" s="1">
        <v>99.440175960000005</v>
      </c>
      <c r="F147" s="1">
        <v>0.23760910860000001</v>
      </c>
      <c r="G147" s="1">
        <v>0.3222149265</v>
      </c>
      <c r="H147" s="1">
        <v>0</v>
      </c>
      <c r="I147" s="1">
        <v>99.332835149999994</v>
      </c>
      <c r="J147" s="1">
        <v>0.33594182239999998</v>
      </c>
      <c r="K147" s="1">
        <v>0.33122303190000002</v>
      </c>
      <c r="L147" s="1">
        <v>0</v>
      </c>
      <c r="M147" s="1">
        <v>99.583731099999994</v>
      </c>
      <c r="N147" s="1">
        <v>0.10610120670000001</v>
      </c>
      <c r="O147" s="1">
        <v>0.31016769430000002</v>
      </c>
      <c r="P147" s="1">
        <v>0</v>
      </c>
    </row>
    <row r="148" spans="1:16" ht="12.5">
      <c r="A148" s="1" t="s">
        <v>200</v>
      </c>
      <c r="B148" s="1">
        <v>2015</v>
      </c>
      <c r="C148" s="1">
        <v>3381.5119629999999</v>
      </c>
      <c r="D148" s="1">
        <v>93.624000550000005</v>
      </c>
      <c r="E148" s="1">
        <v>99.425449760000006</v>
      </c>
      <c r="F148" s="1">
        <v>0</v>
      </c>
      <c r="G148" s="1">
        <v>0.57455024300000002</v>
      </c>
      <c r="H148" s="1">
        <v>0</v>
      </c>
      <c r="I148" s="1" t="s">
        <v>272</v>
      </c>
      <c r="J148" s="1" t="s">
        <v>272</v>
      </c>
      <c r="K148" s="1" t="s">
        <v>272</v>
      </c>
      <c r="L148" s="1" t="s">
        <v>272</v>
      </c>
      <c r="M148" s="1" t="s">
        <v>272</v>
      </c>
      <c r="N148" s="1" t="s">
        <v>272</v>
      </c>
      <c r="O148" s="1" t="s">
        <v>272</v>
      </c>
      <c r="P148" s="1" t="s">
        <v>272</v>
      </c>
    </row>
    <row r="149" spans="1:16" ht="12.5">
      <c r="A149" s="1" t="s">
        <v>85</v>
      </c>
      <c r="B149" s="1">
        <v>2015</v>
      </c>
      <c r="C149" s="1">
        <v>4847.8051759999998</v>
      </c>
      <c r="D149" s="1">
        <v>76.861999510000004</v>
      </c>
      <c r="E149" s="1">
        <v>99.378686819999999</v>
      </c>
      <c r="F149" s="1">
        <v>0.25413037840000002</v>
      </c>
      <c r="G149" s="1">
        <v>0.21133501860000001</v>
      </c>
      <c r="H149" s="1">
        <v>0.15584778429999999</v>
      </c>
      <c r="I149" s="1">
        <v>98.186032490000002</v>
      </c>
      <c r="J149" s="1">
        <v>0.4100611535</v>
      </c>
      <c r="K149" s="1">
        <v>0.73034857679999998</v>
      </c>
      <c r="L149" s="1">
        <v>0.67355777780000003</v>
      </c>
      <c r="M149" s="1">
        <v>99.737715109999996</v>
      </c>
      <c r="N149" s="1">
        <v>0.20719007179999999</v>
      </c>
      <c r="O149" s="1">
        <v>5.5094818300000001E-2</v>
      </c>
      <c r="P149" s="1">
        <v>0</v>
      </c>
    </row>
    <row r="150" spans="1:16" ht="12.5">
      <c r="A150" s="1" t="s">
        <v>267</v>
      </c>
      <c r="B150" s="1">
        <v>2015</v>
      </c>
      <c r="C150" s="1">
        <v>12.26200008</v>
      </c>
      <c r="D150" s="1">
        <v>0</v>
      </c>
      <c r="E150" s="1">
        <v>99.321381529999996</v>
      </c>
      <c r="F150" s="1">
        <v>0</v>
      </c>
      <c r="G150" s="1">
        <v>0.67861847409999998</v>
      </c>
      <c r="H150" s="1">
        <v>0</v>
      </c>
      <c r="I150" s="1">
        <v>99.321381529999996</v>
      </c>
      <c r="J150" s="1">
        <v>0</v>
      </c>
      <c r="K150" s="1">
        <v>0.67861847409999998</v>
      </c>
      <c r="L150" s="1">
        <v>0</v>
      </c>
      <c r="M150" s="1" t="s">
        <v>272</v>
      </c>
      <c r="N150" s="1" t="s">
        <v>272</v>
      </c>
      <c r="O150" s="1" t="s">
        <v>272</v>
      </c>
      <c r="P150" s="1" t="s">
        <v>272</v>
      </c>
    </row>
    <row r="151" spans="1:16" ht="12.5">
      <c r="A151" s="1" t="s">
        <v>63</v>
      </c>
      <c r="B151" s="1">
        <v>2020</v>
      </c>
      <c r="C151" s="1">
        <v>212559.4063</v>
      </c>
      <c r="D151" s="1">
        <v>87.072998049999995</v>
      </c>
      <c r="E151" s="1">
        <v>99.320852990000006</v>
      </c>
      <c r="F151" s="1">
        <v>0.12654900390000001</v>
      </c>
      <c r="G151" s="1">
        <v>0.55259800989999996</v>
      </c>
      <c r="H151" s="1" t="s">
        <v>272</v>
      </c>
      <c r="I151" s="1">
        <v>95.945259530000001</v>
      </c>
      <c r="J151" s="1">
        <v>0.97895091540000001</v>
      </c>
      <c r="K151" s="1">
        <v>3.0757895510000002</v>
      </c>
      <c r="L151" s="1" t="s">
        <v>272</v>
      </c>
      <c r="M151" s="1">
        <v>99.822001310000005</v>
      </c>
      <c r="N151" s="1">
        <v>0</v>
      </c>
      <c r="O151" s="1">
        <v>0.1779986949</v>
      </c>
      <c r="P151" s="1">
        <v>0</v>
      </c>
    </row>
    <row r="152" spans="1:16" ht="12.5">
      <c r="A152" s="1" t="s">
        <v>181</v>
      </c>
      <c r="B152" s="1">
        <v>2020</v>
      </c>
      <c r="C152" s="1">
        <v>285.4909973</v>
      </c>
      <c r="D152" s="1">
        <v>71.517997739999998</v>
      </c>
      <c r="E152" s="1">
        <v>99.305320570000006</v>
      </c>
      <c r="F152" s="1">
        <v>0</v>
      </c>
      <c r="G152" s="1">
        <v>0.69467942780000003</v>
      </c>
      <c r="H152" s="1">
        <v>0</v>
      </c>
      <c r="I152" s="1" t="s">
        <v>272</v>
      </c>
      <c r="J152" s="1" t="s">
        <v>272</v>
      </c>
      <c r="K152" s="1" t="s">
        <v>272</v>
      </c>
      <c r="L152" s="1" t="s">
        <v>272</v>
      </c>
      <c r="M152" s="1" t="s">
        <v>272</v>
      </c>
      <c r="N152" s="1" t="s">
        <v>272</v>
      </c>
      <c r="O152" s="1" t="s">
        <v>272</v>
      </c>
      <c r="P152" s="1" t="s">
        <v>272</v>
      </c>
    </row>
    <row r="153" spans="1:16" ht="12.5">
      <c r="A153" s="1" t="s">
        <v>243</v>
      </c>
      <c r="B153" s="1">
        <v>2015</v>
      </c>
      <c r="C153" s="1">
        <v>68714.515629999994</v>
      </c>
      <c r="D153" s="1">
        <v>47.694004059999997</v>
      </c>
      <c r="E153" s="1">
        <v>99.259170580000003</v>
      </c>
      <c r="F153" s="1">
        <v>0.2176525852</v>
      </c>
      <c r="G153" s="1">
        <v>0.1822513237</v>
      </c>
      <c r="H153" s="1">
        <v>0.34092551430000001</v>
      </c>
      <c r="I153" s="1">
        <v>98.879516710000004</v>
      </c>
      <c r="J153" s="1">
        <v>0.2456716052</v>
      </c>
      <c r="K153" s="1">
        <v>0.22302119049999999</v>
      </c>
      <c r="L153" s="1">
        <v>0.65179049</v>
      </c>
      <c r="M153" s="1">
        <v>99.675536840000007</v>
      </c>
      <c r="N153" s="1">
        <v>0.1869241354</v>
      </c>
      <c r="O153" s="1">
        <v>0.1375390245</v>
      </c>
      <c r="P153" s="1">
        <v>0</v>
      </c>
    </row>
    <row r="154" spans="1:16" ht="12.5">
      <c r="A154" s="1" t="s">
        <v>198</v>
      </c>
      <c r="B154" s="1">
        <v>2015</v>
      </c>
      <c r="C154" s="1">
        <v>38034.074220000002</v>
      </c>
      <c r="D154" s="1">
        <v>60.27799606</v>
      </c>
      <c r="E154" s="1">
        <v>99.232069879999997</v>
      </c>
      <c r="F154" s="1">
        <v>0</v>
      </c>
      <c r="G154" s="1">
        <v>0.76793012459999999</v>
      </c>
      <c r="H154" s="1">
        <v>0</v>
      </c>
      <c r="I154" s="1">
        <v>98.537903229999998</v>
      </c>
      <c r="J154" s="1">
        <v>0</v>
      </c>
      <c r="K154" s="1">
        <v>1.4620967739999999</v>
      </c>
      <c r="L154" s="1">
        <v>0</v>
      </c>
      <c r="M154" s="1">
        <v>99.689516130000001</v>
      </c>
      <c r="N154" s="1">
        <v>0</v>
      </c>
      <c r="O154" s="1">
        <v>0.31048387100000002</v>
      </c>
      <c r="P154" s="1">
        <v>0</v>
      </c>
    </row>
    <row r="155" spans="1:16" ht="12.5">
      <c r="A155" s="1" t="s">
        <v>72</v>
      </c>
      <c r="B155" s="1">
        <v>2015</v>
      </c>
      <c r="C155" s="1">
        <v>36026.667970000002</v>
      </c>
      <c r="D155" s="1">
        <v>81.259002690000003</v>
      </c>
      <c r="E155" s="1">
        <v>99.229221390000006</v>
      </c>
      <c r="F155" s="1">
        <v>0</v>
      </c>
      <c r="G155" s="1">
        <v>0.77077860909999996</v>
      </c>
      <c r="H155" s="1">
        <v>0</v>
      </c>
      <c r="I155" s="1">
        <v>98.81619508</v>
      </c>
      <c r="J155" s="1">
        <v>0</v>
      </c>
      <c r="K155" s="1">
        <v>1.183804922</v>
      </c>
      <c r="L155" s="1">
        <v>0</v>
      </c>
      <c r="M155" s="1">
        <v>99.324478850000006</v>
      </c>
      <c r="N155" s="1">
        <v>0</v>
      </c>
      <c r="O155" s="1">
        <v>0.67552114730000001</v>
      </c>
      <c r="P155" s="1">
        <v>0</v>
      </c>
    </row>
    <row r="156" spans="1:16" ht="12.5">
      <c r="A156" s="1" t="s">
        <v>72</v>
      </c>
      <c r="B156" s="1">
        <v>2020</v>
      </c>
      <c r="C156" s="1">
        <v>37742.15625</v>
      </c>
      <c r="D156" s="1">
        <v>81.562004090000002</v>
      </c>
      <c r="E156" s="1">
        <v>99.221810660000003</v>
      </c>
      <c r="F156" s="1">
        <v>0</v>
      </c>
      <c r="G156" s="1">
        <v>0.77818933690000003</v>
      </c>
      <c r="H156" s="1">
        <v>0</v>
      </c>
      <c r="I156" s="1">
        <v>99.060495900000006</v>
      </c>
      <c r="J156" s="1">
        <v>0</v>
      </c>
      <c r="K156" s="1">
        <v>0.9395041006</v>
      </c>
      <c r="L156" s="1">
        <v>0</v>
      </c>
      <c r="M156" s="1">
        <v>99.258277660000005</v>
      </c>
      <c r="N156" s="1">
        <v>0</v>
      </c>
      <c r="O156" s="1">
        <v>0.74172233710000002</v>
      </c>
      <c r="P156" s="1">
        <v>0</v>
      </c>
    </row>
    <row r="157" spans="1:16" ht="12.5">
      <c r="A157" s="1" t="s">
        <v>66</v>
      </c>
      <c r="B157" s="1">
        <v>2015</v>
      </c>
      <c r="C157" s="1">
        <v>7199.7387699999999</v>
      </c>
      <c r="D157" s="1">
        <v>73.989997860000003</v>
      </c>
      <c r="E157" s="1">
        <v>99.196327310000001</v>
      </c>
      <c r="F157" s="1">
        <v>0</v>
      </c>
      <c r="G157" s="1">
        <v>0.80367269050000001</v>
      </c>
      <c r="H157" s="1">
        <v>0</v>
      </c>
      <c r="I157" s="1">
        <v>98.016140340000007</v>
      </c>
      <c r="J157" s="1">
        <v>0</v>
      </c>
      <c r="K157" s="1">
        <v>1.98385966</v>
      </c>
      <c r="L157" s="1">
        <v>0</v>
      </c>
      <c r="M157" s="1">
        <v>99.611207719999996</v>
      </c>
      <c r="N157" s="1">
        <v>0</v>
      </c>
      <c r="O157" s="1">
        <v>0.3887922761</v>
      </c>
      <c r="P157" s="1">
        <v>0</v>
      </c>
    </row>
    <row r="158" spans="1:16" ht="12.5">
      <c r="A158" s="1" t="s">
        <v>267</v>
      </c>
      <c r="B158" s="1">
        <v>2020</v>
      </c>
      <c r="C158" s="1">
        <v>11.24600029</v>
      </c>
      <c r="D158" s="1">
        <v>0</v>
      </c>
      <c r="E158" s="1">
        <v>99.143287360000002</v>
      </c>
      <c r="F158" s="1">
        <v>0</v>
      </c>
      <c r="G158" s="1">
        <v>0.85671263900000005</v>
      </c>
      <c r="H158" s="1">
        <v>0</v>
      </c>
      <c r="I158" s="1">
        <v>99.143287360000002</v>
      </c>
      <c r="J158" s="1">
        <v>0</v>
      </c>
      <c r="K158" s="1">
        <v>0.85671263900000005</v>
      </c>
      <c r="L158" s="1">
        <v>0</v>
      </c>
      <c r="M158" s="1" t="s">
        <v>272</v>
      </c>
      <c r="N158" s="1" t="s">
        <v>272</v>
      </c>
      <c r="O158" s="1" t="s">
        <v>272</v>
      </c>
      <c r="P158" s="1" t="s">
        <v>272</v>
      </c>
    </row>
    <row r="159" spans="1:16" ht="12.5">
      <c r="A159" s="1" t="s">
        <v>262</v>
      </c>
      <c r="B159" s="1">
        <v>2015</v>
      </c>
      <c r="C159" s="1">
        <v>3412.0129390000002</v>
      </c>
      <c r="D159" s="1">
        <v>95.04499817</v>
      </c>
      <c r="E159" s="1">
        <v>99.131397559999996</v>
      </c>
      <c r="F159" s="1">
        <v>0.53810473530000003</v>
      </c>
      <c r="G159" s="1">
        <v>0.30749747300000002</v>
      </c>
      <c r="H159" s="1">
        <v>2.3000230189999998E-2</v>
      </c>
      <c r="I159" s="1">
        <v>91.495843840000006</v>
      </c>
      <c r="J159" s="1">
        <v>4.5115506810000001</v>
      </c>
      <c r="K159" s="1">
        <v>3.5284232109999998</v>
      </c>
      <c r="L159" s="1">
        <v>0.46418227099999998</v>
      </c>
      <c r="M159" s="1">
        <v>99.529461979999994</v>
      </c>
      <c r="N159" s="1">
        <v>0.3309562908</v>
      </c>
      <c r="O159" s="1">
        <v>0.13958172699999999</v>
      </c>
      <c r="P159" s="1">
        <v>0</v>
      </c>
    </row>
    <row r="160" spans="1:16" ht="12.5">
      <c r="A160" s="1" t="s">
        <v>99</v>
      </c>
      <c r="B160" s="1">
        <v>2015</v>
      </c>
      <c r="C160" s="1">
        <v>92442.546879999994</v>
      </c>
      <c r="D160" s="1">
        <v>42.784999849999998</v>
      </c>
      <c r="E160" s="1">
        <v>99.106717540000005</v>
      </c>
      <c r="F160" s="1">
        <v>0.28637254010000002</v>
      </c>
      <c r="G160" s="1">
        <v>0.59343982930000005</v>
      </c>
      <c r="H160" s="1">
        <v>1.347009398E-2</v>
      </c>
      <c r="I160" s="1">
        <v>98.801877919999995</v>
      </c>
      <c r="J160" s="1">
        <v>0.41034629639999998</v>
      </c>
      <c r="K160" s="1">
        <v>0.76423283809999998</v>
      </c>
      <c r="L160" s="1">
        <v>2.3542941179999999E-2</v>
      </c>
      <c r="M160" s="1">
        <v>99.514369729999999</v>
      </c>
      <c r="N160" s="1">
        <v>0.12058643080000001</v>
      </c>
      <c r="O160" s="1">
        <v>0.36504384220000002</v>
      </c>
      <c r="P160" s="1">
        <v>0</v>
      </c>
    </row>
    <row r="161" spans="1:16" ht="12.5">
      <c r="A161" s="1" t="s">
        <v>211</v>
      </c>
      <c r="B161" s="1">
        <v>2020</v>
      </c>
      <c r="C161" s="1">
        <v>6.0710000989999999</v>
      </c>
      <c r="D161" s="1">
        <v>40.082000729999997</v>
      </c>
      <c r="E161" s="1">
        <v>99.1</v>
      </c>
      <c r="F161" s="1">
        <v>0</v>
      </c>
      <c r="G161" s="1">
        <v>0.9</v>
      </c>
      <c r="H161" s="1">
        <v>0</v>
      </c>
      <c r="I161" s="1" t="s">
        <v>272</v>
      </c>
      <c r="J161" s="1" t="s">
        <v>272</v>
      </c>
      <c r="K161" s="1" t="s">
        <v>272</v>
      </c>
      <c r="L161" s="1" t="s">
        <v>272</v>
      </c>
      <c r="M161" s="1" t="s">
        <v>272</v>
      </c>
      <c r="N161" s="1" t="s">
        <v>272</v>
      </c>
      <c r="O161" s="1" t="s">
        <v>272</v>
      </c>
      <c r="P161" s="1" t="s">
        <v>272</v>
      </c>
    </row>
    <row r="162" spans="1:16" ht="12.5">
      <c r="A162" s="1" t="s">
        <v>141</v>
      </c>
      <c r="B162" s="1">
        <v>2020</v>
      </c>
      <c r="C162" s="1">
        <v>126476.46090000001</v>
      </c>
      <c r="D162" s="1">
        <v>91.781997680000003</v>
      </c>
      <c r="E162" s="1">
        <v>99.078912450000004</v>
      </c>
      <c r="F162" s="1">
        <v>0</v>
      </c>
      <c r="G162" s="1">
        <v>0.92108754670000004</v>
      </c>
      <c r="H162" s="1">
        <v>0</v>
      </c>
      <c r="I162" s="1" t="s">
        <v>272</v>
      </c>
      <c r="J162" s="1" t="s">
        <v>272</v>
      </c>
      <c r="K162" s="1" t="s">
        <v>272</v>
      </c>
      <c r="L162" s="1" t="s">
        <v>272</v>
      </c>
      <c r="M162" s="1" t="s">
        <v>272</v>
      </c>
      <c r="N162" s="1" t="s">
        <v>272</v>
      </c>
      <c r="O162" s="1" t="s">
        <v>272</v>
      </c>
      <c r="P162" s="1" t="s">
        <v>272</v>
      </c>
    </row>
    <row r="163" spans="1:16" ht="12.5">
      <c r="A163" s="1" t="s">
        <v>137</v>
      </c>
      <c r="B163" s="1">
        <v>2015</v>
      </c>
      <c r="C163" s="1">
        <v>83.232002260000002</v>
      </c>
      <c r="D163" s="1">
        <v>52.244998930000001</v>
      </c>
      <c r="E163" s="1">
        <v>99.075000000000003</v>
      </c>
      <c r="F163" s="1">
        <v>0</v>
      </c>
      <c r="G163" s="1">
        <v>0.92500000000000004</v>
      </c>
      <c r="H163" s="1">
        <v>0</v>
      </c>
      <c r="I163" s="1" t="s">
        <v>272</v>
      </c>
      <c r="J163" s="1" t="s">
        <v>272</v>
      </c>
      <c r="K163" s="1" t="s">
        <v>272</v>
      </c>
      <c r="L163" s="1" t="s">
        <v>272</v>
      </c>
      <c r="M163" s="1" t="s">
        <v>272</v>
      </c>
      <c r="N163" s="1" t="s">
        <v>272</v>
      </c>
      <c r="O163" s="1" t="s">
        <v>272</v>
      </c>
      <c r="P163" s="1" t="s">
        <v>272</v>
      </c>
    </row>
    <row r="164" spans="1:16" ht="12.5">
      <c r="A164" s="1" t="s">
        <v>137</v>
      </c>
      <c r="B164" s="1">
        <v>2020</v>
      </c>
      <c r="C164" s="1">
        <v>85.031997680000003</v>
      </c>
      <c r="D164" s="1">
        <v>52.89800262</v>
      </c>
      <c r="E164" s="1">
        <v>99.075000000000003</v>
      </c>
      <c r="F164" s="1">
        <v>0</v>
      </c>
      <c r="G164" s="1">
        <v>0.92500000000000004</v>
      </c>
      <c r="H164" s="1">
        <v>0</v>
      </c>
      <c r="I164" s="1" t="s">
        <v>272</v>
      </c>
      <c r="J164" s="1" t="s">
        <v>272</v>
      </c>
      <c r="K164" s="1" t="s">
        <v>272</v>
      </c>
      <c r="L164" s="1" t="s">
        <v>272</v>
      </c>
      <c r="M164" s="1" t="s">
        <v>272</v>
      </c>
      <c r="N164" s="1" t="s">
        <v>272</v>
      </c>
      <c r="O164" s="1" t="s">
        <v>272</v>
      </c>
      <c r="P164" s="1" t="s">
        <v>272</v>
      </c>
    </row>
    <row r="165" spans="1:16" ht="12.5">
      <c r="A165" s="1" t="s">
        <v>66</v>
      </c>
      <c r="B165" s="1">
        <v>2020</v>
      </c>
      <c r="C165" s="1">
        <v>6948.4448240000002</v>
      </c>
      <c r="D165" s="1">
        <v>75.685997009999994</v>
      </c>
      <c r="E165" s="1">
        <v>99.011416940000004</v>
      </c>
      <c r="F165" s="1">
        <v>0</v>
      </c>
      <c r="G165" s="1">
        <v>0.98858306070000002</v>
      </c>
      <c r="H165" s="1">
        <v>0</v>
      </c>
      <c r="I165" s="1">
        <v>97.401287969999998</v>
      </c>
      <c r="J165" s="1">
        <v>0</v>
      </c>
      <c r="K165" s="1">
        <v>2.5987120309999998</v>
      </c>
      <c r="L165" s="1">
        <v>0</v>
      </c>
      <c r="M165" s="1">
        <v>99.528670399999996</v>
      </c>
      <c r="N165" s="1">
        <v>0</v>
      </c>
      <c r="O165" s="1">
        <v>0.47132960070000002</v>
      </c>
      <c r="P165" s="1">
        <v>0</v>
      </c>
    </row>
    <row r="166" spans="1:16" ht="12.5">
      <c r="A166" s="1" t="s">
        <v>142</v>
      </c>
      <c r="B166" s="1">
        <v>2015</v>
      </c>
      <c r="C166" s="1">
        <v>9266.5732420000004</v>
      </c>
      <c r="D166" s="1">
        <v>90.256004329999996</v>
      </c>
      <c r="E166" s="1">
        <v>99.006784909999993</v>
      </c>
      <c r="F166" s="1">
        <v>0.15240298360000001</v>
      </c>
      <c r="G166" s="1">
        <v>0.78123116479999999</v>
      </c>
      <c r="H166" s="1">
        <v>5.958093834E-2</v>
      </c>
      <c r="I166" s="1">
        <v>97.362315390000006</v>
      </c>
      <c r="J166" s="1">
        <v>0.62427255179999996</v>
      </c>
      <c r="K166" s="1">
        <v>1.973552059</v>
      </c>
      <c r="L166" s="1">
        <v>3.986E-2</v>
      </c>
      <c r="M166" s="1">
        <v>99.184316820000006</v>
      </c>
      <c r="N166" s="1">
        <v>0.10146013550000001</v>
      </c>
      <c r="O166" s="1">
        <v>0.65251304369999996</v>
      </c>
      <c r="P166" s="1">
        <v>6.1710000000000001E-2</v>
      </c>
    </row>
    <row r="167" spans="1:16" ht="12.5">
      <c r="A167" s="1" t="s">
        <v>33</v>
      </c>
      <c r="B167" s="1">
        <v>2015</v>
      </c>
      <c r="C167" s="1">
        <v>43075.414060000003</v>
      </c>
      <c r="D167" s="1">
        <v>91.502998349999999</v>
      </c>
      <c r="E167" s="1">
        <v>98.966588150000007</v>
      </c>
      <c r="F167" s="1">
        <v>0</v>
      </c>
      <c r="G167" s="1">
        <v>0.66491437909999995</v>
      </c>
      <c r="H167" s="1">
        <v>0.36849747420000001</v>
      </c>
      <c r="I167" s="1">
        <v>92.983660049999997</v>
      </c>
      <c r="J167" s="1">
        <v>0</v>
      </c>
      <c r="K167" s="1">
        <v>2.6795448990000001</v>
      </c>
      <c r="L167" s="1">
        <v>4.3367950510000002</v>
      </c>
      <c r="M167" s="1">
        <v>99.522163050000003</v>
      </c>
      <c r="N167" s="1">
        <v>0</v>
      </c>
      <c r="O167" s="1">
        <v>0.47783694729999998</v>
      </c>
      <c r="P167" s="1">
        <v>0</v>
      </c>
    </row>
    <row r="168" spans="1:16" ht="12.5">
      <c r="A168" s="1" t="s">
        <v>211</v>
      </c>
      <c r="B168" s="1">
        <v>2015</v>
      </c>
      <c r="C168" s="1">
        <v>5.8689999579999999</v>
      </c>
      <c r="D168" s="1">
        <v>39.539997100000001</v>
      </c>
      <c r="E168" s="1">
        <v>98.95</v>
      </c>
      <c r="F168" s="1">
        <v>0</v>
      </c>
      <c r="G168" s="1">
        <v>1.05</v>
      </c>
      <c r="H168" s="1">
        <v>0</v>
      </c>
      <c r="I168" s="1" t="s">
        <v>272</v>
      </c>
      <c r="J168" s="1" t="s">
        <v>272</v>
      </c>
      <c r="K168" s="1" t="s">
        <v>272</v>
      </c>
      <c r="L168" s="1" t="s">
        <v>272</v>
      </c>
      <c r="M168" s="1" t="s">
        <v>272</v>
      </c>
      <c r="N168" s="1" t="s">
        <v>272</v>
      </c>
      <c r="O168" s="1" t="s">
        <v>272</v>
      </c>
      <c r="P168" s="1" t="s">
        <v>272</v>
      </c>
    </row>
    <row r="169" spans="1:16" ht="12.5">
      <c r="A169" s="1" t="s">
        <v>142</v>
      </c>
      <c r="B169" s="1">
        <v>2020</v>
      </c>
      <c r="C169" s="1">
        <v>10203.139649999999</v>
      </c>
      <c r="D169" s="1">
        <v>91.417999269999996</v>
      </c>
      <c r="E169" s="1">
        <v>98.940302959999997</v>
      </c>
      <c r="F169" s="1">
        <v>0.1462147369</v>
      </c>
      <c r="G169" s="1">
        <v>0.8536474704</v>
      </c>
      <c r="H169" s="1">
        <v>5.9834831790000001E-2</v>
      </c>
      <c r="I169" s="1">
        <v>97.311478690000001</v>
      </c>
      <c r="J169" s="1">
        <v>0.62394659450000001</v>
      </c>
      <c r="K169" s="1">
        <v>2.0247147160000001</v>
      </c>
      <c r="L169" s="1">
        <v>3.986E-2</v>
      </c>
      <c r="M169" s="1">
        <v>99.093212589999993</v>
      </c>
      <c r="N169" s="1">
        <v>0.1013669408</v>
      </c>
      <c r="O169" s="1">
        <v>0.74371047069999996</v>
      </c>
      <c r="P169" s="1">
        <v>6.1710000000000001E-2</v>
      </c>
    </row>
    <row r="170" spans="1:16" ht="12.5">
      <c r="A170" s="1" t="s">
        <v>141</v>
      </c>
      <c r="B170" s="1">
        <v>2015</v>
      </c>
      <c r="C170" s="1">
        <v>127985.1406</v>
      </c>
      <c r="D170" s="1">
        <v>91.380996699999997</v>
      </c>
      <c r="E170" s="1">
        <v>98.922805479999994</v>
      </c>
      <c r="F170" s="1">
        <v>0</v>
      </c>
      <c r="G170" s="1">
        <v>1.0771945169999999</v>
      </c>
      <c r="H170" s="1">
        <v>0</v>
      </c>
      <c r="I170" s="1" t="s">
        <v>272</v>
      </c>
      <c r="J170" s="1" t="s">
        <v>272</v>
      </c>
      <c r="K170" s="1" t="s">
        <v>272</v>
      </c>
      <c r="L170" s="1" t="s">
        <v>272</v>
      </c>
      <c r="M170" s="1" t="s">
        <v>272</v>
      </c>
      <c r="N170" s="1" t="s">
        <v>272</v>
      </c>
      <c r="O170" s="1" t="s">
        <v>272</v>
      </c>
      <c r="P170" s="1" t="s">
        <v>272</v>
      </c>
    </row>
    <row r="171" spans="1:16" ht="12.5">
      <c r="A171" s="1" t="s">
        <v>44</v>
      </c>
      <c r="B171" s="1">
        <v>2015</v>
      </c>
      <c r="C171" s="1">
        <v>374.2000122</v>
      </c>
      <c r="D171" s="1">
        <v>82.745994569999993</v>
      </c>
      <c r="E171" s="1">
        <v>98.886960500000001</v>
      </c>
      <c r="F171" s="1">
        <v>0</v>
      </c>
      <c r="G171" s="1">
        <v>1.113039503</v>
      </c>
      <c r="H171" s="1">
        <v>0</v>
      </c>
      <c r="I171" s="1" t="s">
        <v>272</v>
      </c>
      <c r="J171" s="1" t="s">
        <v>272</v>
      </c>
      <c r="K171" s="1" t="s">
        <v>272</v>
      </c>
      <c r="L171" s="1" t="s">
        <v>272</v>
      </c>
      <c r="M171" s="1" t="s">
        <v>272</v>
      </c>
      <c r="N171" s="1" t="s">
        <v>272</v>
      </c>
      <c r="O171" s="1" t="s">
        <v>272</v>
      </c>
      <c r="P171" s="1" t="s">
        <v>272</v>
      </c>
    </row>
    <row r="172" spans="1:16" ht="12.5">
      <c r="A172" s="1" t="s">
        <v>44</v>
      </c>
      <c r="B172" s="1">
        <v>2019</v>
      </c>
      <c r="C172" s="1">
        <v>389.48599239999999</v>
      </c>
      <c r="D172" s="1">
        <v>83.131996150000006</v>
      </c>
      <c r="E172" s="1">
        <v>98.886960500000001</v>
      </c>
      <c r="F172" s="1">
        <v>0</v>
      </c>
      <c r="G172" s="1">
        <v>1.113039503</v>
      </c>
      <c r="H172" s="1">
        <v>0</v>
      </c>
      <c r="I172" s="1" t="s">
        <v>272</v>
      </c>
      <c r="J172" s="1" t="s">
        <v>272</v>
      </c>
      <c r="K172" s="1" t="s">
        <v>272</v>
      </c>
      <c r="L172" s="1" t="s">
        <v>272</v>
      </c>
      <c r="M172" s="1" t="s">
        <v>272</v>
      </c>
      <c r="N172" s="1" t="s">
        <v>272</v>
      </c>
      <c r="O172" s="1" t="s">
        <v>272</v>
      </c>
      <c r="P172" s="1" t="s">
        <v>272</v>
      </c>
    </row>
    <row r="173" spans="1:16" ht="12.5">
      <c r="A173" s="1" t="s">
        <v>248</v>
      </c>
      <c r="B173" s="1">
        <v>2020</v>
      </c>
      <c r="C173" s="1">
        <v>1399.490967</v>
      </c>
      <c r="D173" s="1">
        <v>53.2140007</v>
      </c>
      <c r="E173" s="1">
        <v>98.875170769999997</v>
      </c>
      <c r="F173" s="1">
        <v>1.1248292310000001</v>
      </c>
      <c r="G173" s="1">
        <v>0</v>
      </c>
      <c r="H173" s="1">
        <v>0</v>
      </c>
      <c r="I173" s="1" t="s">
        <v>272</v>
      </c>
      <c r="J173" s="1" t="s">
        <v>272</v>
      </c>
      <c r="K173" s="1" t="s">
        <v>272</v>
      </c>
      <c r="L173" s="1" t="s">
        <v>272</v>
      </c>
      <c r="M173" s="1" t="s">
        <v>272</v>
      </c>
      <c r="N173" s="1" t="s">
        <v>272</v>
      </c>
      <c r="O173" s="1" t="s">
        <v>272</v>
      </c>
      <c r="P173" s="1" t="s">
        <v>272</v>
      </c>
    </row>
    <row r="174" spans="1:16" ht="12.5">
      <c r="A174" s="1" t="s">
        <v>172</v>
      </c>
      <c r="B174" s="1">
        <v>2020</v>
      </c>
      <c r="C174" s="1">
        <v>628.06201169999997</v>
      </c>
      <c r="D174" s="1">
        <v>67.488006589999998</v>
      </c>
      <c r="E174" s="1">
        <v>98.856916519999999</v>
      </c>
      <c r="F174" s="1">
        <v>0.54547882039999995</v>
      </c>
      <c r="G174" s="1">
        <v>0.59231201099999997</v>
      </c>
      <c r="H174" s="1">
        <v>5.2926508940000002E-3</v>
      </c>
      <c r="I174" s="1">
        <v>98.161887539999995</v>
      </c>
      <c r="J174" s="1">
        <v>0</v>
      </c>
      <c r="K174" s="1">
        <v>1.821833386</v>
      </c>
      <c r="L174" s="1">
        <v>1.6279069770000001E-2</v>
      </c>
      <c r="M174" s="1">
        <v>99.191739589999997</v>
      </c>
      <c r="N174" s="1">
        <v>0.80826041280000005</v>
      </c>
      <c r="O174" s="1">
        <v>0</v>
      </c>
      <c r="P174" s="1">
        <v>0</v>
      </c>
    </row>
    <row r="175" spans="1:16" ht="12.5">
      <c r="A175" s="1" t="s">
        <v>160</v>
      </c>
      <c r="B175" s="1">
        <v>2015</v>
      </c>
      <c r="C175" s="1">
        <v>454.91400149999998</v>
      </c>
      <c r="D175" s="1">
        <v>38.528999329999998</v>
      </c>
      <c r="E175" s="1">
        <v>98.814244290000005</v>
      </c>
      <c r="F175" s="1">
        <v>0.11215787989999999</v>
      </c>
      <c r="G175" s="1">
        <v>1.0735978349999999</v>
      </c>
      <c r="H175" s="1">
        <v>0</v>
      </c>
      <c r="I175" s="1">
        <v>98.879699270000003</v>
      </c>
      <c r="J175" s="1">
        <v>0.16698528160000001</v>
      </c>
      <c r="K175" s="1">
        <v>0.95331545299999998</v>
      </c>
      <c r="L175" s="1">
        <v>0</v>
      </c>
      <c r="M175" s="1">
        <v>98.709805689999996</v>
      </c>
      <c r="N175" s="1">
        <v>2.4683622329999998E-2</v>
      </c>
      <c r="O175" s="1">
        <v>1.265510688</v>
      </c>
      <c r="P175" s="1">
        <v>0</v>
      </c>
    </row>
    <row r="176" spans="1:16" ht="12.5">
      <c r="A176" s="1" t="s">
        <v>149</v>
      </c>
      <c r="B176" s="1">
        <v>2020</v>
      </c>
      <c r="C176" s="1">
        <v>1886.2020259999999</v>
      </c>
      <c r="D176" s="1">
        <v>68.315002440000001</v>
      </c>
      <c r="E176" s="1">
        <v>98.782601150000005</v>
      </c>
      <c r="F176" s="1">
        <v>0.68230074240000005</v>
      </c>
      <c r="G176" s="1">
        <v>0.53509810369999999</v>
      </c>
      <c r="H176" s="1">
        <v>0</v>
      </c>
      <c r="I176" s="1">
        <v>98.579223139999996</v>
      </c>
      <c r="J176" s="1">
        <v>0</v>
      </c>
      <c r="K176" s="1">
        <v>1.4207768599999999</v>
      </c>
      <c r="L176" s="1">
        <v>0</v>
      </c>
      <c r="M176" s="1">
        <v>98.876924689999996</v>
      </c>
      <c r="N176" s="1">
        <v>0.99875681510000003</v>
      </c>
      <c r="O176" s="1">
        <v>0.1243184908</v>
      </c>
      <c r="P176" s="1">
        <v>0</v>
      </c>
    </row>
    <row r="177" spans="1:16" ht="12.5">
      <c r="A177" s="1" t="s">
        <v>247</v>
      </c>
      <c r="B177" s="1">
        <v>2020</v>
      </c>
      <c r="C177" s="1">
        <v>105.6969986</v>
      </c>
      <c r="D177" s="1">
        <v>23.098999020000001</v>
      </c>
      <c r="E177" s="1">
        <v>98.731080829999996</v>
      </c>
      <c r="F177" s="1">
        <v>0.88149729619999995</v>
      </c>
      <c r="G177" s="1">
        <v>0.38742187769999997</v>
      </c>
      <c r="H177" s="1">
        <v>0</v>
      </c>
      <c r="I177" s="1">
        <v>98.468078539999993</v>
      </c>
      <c r="J177" s="1">
        <v>1.103159706</v>
      </c>
      <c r="K177" s="1">
        <v>0.42876175509999997</v>
      </c>
      <c r="L177" s="1">
        <v>0</v>
      </c>
      <c r="M177" s="1">
        <v>99.606658190000005</v>
      </c>
      <c r="N177" s="1">
        <v>0.143540536</v>
      </c>
      <c r="O177" s="1">
        <v>0.2498012758</v>
      </c>
      <c r="P177" s="1">
        <v>0</v>
      </c>
    </row>
    <row r="178" spans="1:16" ht="12.5">
      <c r="A178" s="1" t="s">
        <v>261</v>
      </c>
      <c r="B178" s="1">
        <v>2015</v>
      </c>
      <c r="C178" s="1">
        <v>104.9499969</v>
      </c>
      <c r="D178" s="1">
        <v>95.349998470000003</v>
      </c>
      <c r="E178" s="1">
        <v>98.718272810000002</v>
      </c>
      <c r="F178" s="1">
        <v>0</v>
      </c>
      <c r="G178" s="1">
        <v>1.2817271859999999</v>
      </c>
      <c r="H178" s="1">
        <v>0</v>
      </c>
      <c r="I178" s="1" t="s">
        <v>272</v>
      </c>
      <c r="J178" s="1" t="s">
        <v>272</v>
      </c>
      <c r="K178" s="1" t="s">
        <v>272</v>
      </c>
      <c r="L178" s="1" t="s">
        <v>272</v>
      </c>
      <c r="M178" s="1" t="s">
        <v>272</v>
      </c>
      <c r="N178" s="1" t="s">
        <v>272</v>
      </c>
      <c r="O178" s="1" t="s">
        <v>272</v>
      </c>
      <c r="P178" s="1" t="s">
        <v>272</v>
      </c>
    </row>
    <row r="179" spans="1:16" ht="12.5">
      <c r="A179" s="1" t="s">
        <v>261</v>
      </c>
      <c r="B179" s="1">
        <v>2020</v>
      </c>
      <c r="C179" s="1">
        <v>104.4229965</v>
      </c>
      <c r="D179" s="1">
        <v>95.939002990000006</v>
      </c>
      <c r="E179" s="1">
        <v>98.71826738</v>
      </c>
      <c r="F179" s="1">
        <v>0</v>
      </c>
      <c r="G179" s="1">
        <v>1.281732624</v>
      </c>
      <c r="H179" s="1">
        <v>0</v>
      </c>
      <c r="I179" s="1" t="s">
        <v>272</v>
      </c>
      <c r="J179" s="1" t="s">
        <v>272</v>
      </c>
      <c r="K179" s="1" t="s">
        <v>272</v>
      </c>
      <c r="L179" s="1" t="s">
        <v>272</v>
      </c>
      <c r="M179" s="1" t="s">
        <v>272</v>
      </c>
      <c r="N179" s="1" t="s">
        <v>272</v>
      </c>
      <c r="O179" s="1" t="s">
        <v>272</v>
      </c>
      <c r="P179" s="1" t="s">
        <v>272</v>
      </c>
    </row>
    <row r="180" spans="1:16" ht="12.5">
      <c r="A180" s="1" t="s">
        <v>213</v>
      </c>
      <c r="B180" s="1">
        <v>2015</v>
      </c>
      <c r="C180" s="1">
        <v>51.203998570000003</v>
      </c>
      <c r="D180" s="1">
        <v>30.82700157</v>
      </c>
      <c r="E180" s="1">
        <v>98.611854129999998</v>
      </c>
      <c r="F180" s="1">
        <v>0</v>
      </c>
      <c r="G180" s="1">
        <v>1.3881458680000001</v>
      </c>
      <c r="H180" s="1">
        <v>0</v>
      </c>
      <c r="I180" s="1" t="s">
        <v>272</v>
      </c>
      <c r="J180" s="1" t="s">
        <v>272</v>
      </c>
      <c r="K180" s="1" t="s">
        <v>272</v>
      </c>
      <c r="L180" s="1" t="s">
        <v>272</v>
      </c>
      <c r="M180" s="1" t="s">
        <v>272</v>
      </c>
      <c r="N180" s="1" t="s">
        <v>272</v>
      </c>
      <c r="O180" s="1" t="s">
        <v>272</v>
      </c>
      <c r="P180" s="1" t="s">
        <v>272</v>
      </c>
    </row>
    <row r="181" spans="1:16" ht="12.5">
      <c r="A181" s="1" t="s">
        <v>213</v>
      </c>
      <c r="B181" s="1">
        <v>2017</v>
      </c>
      <c r="C181" s="1">
        <v>52.0359993</v>
      </c>
      <c r="D181" s="1">
        <v>30.772996899999999</v>
      </c>
      <c r="E181" s="1">
        <v>98.611854129999998</v>
      </c>
      <c r="F181" s="1">
        <v>0</v>
      </c>
      <c r="G181" s="1">
        <v>1.3881458680000001</v>
      </c>
      <c r="H181" s="1">
        <v>0</v>
      </c>
      <c r="I181" s="1" t="s">
        <v>272</v>
      </c>
      <c r="J181" s="1" t="s">
        <v>272</v>
      </c>
      <c r="K181" s="1" t="s">
        <v>272</v>
      </c>
      <c r="L181" s="1" t="s">
        <v>272</v>
      </c>
      <c r="M181" s="1" t="s">
        <v>272</v>
      </c>
      <c r="N181" s="1" t="s">
        <v>272</v>
      </c>
      <c r="O181" s="1" t="s">
        <v>272</v>
      </c>
      <c r="P181" s="1" t="s">
        <v>272</v>
      </c>
    </row>
    <row r="182" spans="1:16" ht="12.5">
      <c r="A182" s="1" t="s">
        <v>247</v>
      </c>
      <c r="B182" s="1">
        <v>2015</v>
      </c>
      <c r="C182" s="1">
        <v>100.7799988</v>
      </c>
      <c r="D182" s="1">
        <v>23.274999619999999</v>
      </c>
      <c r="E182" s="1">
        <v>98.549705349999996</v>
      </c>
      <c r="F182" s="1">
        <v>0.87898212229999995</v>
      </c>
      <c r="G182" s="1">
        <v>0.57131252860000004</v>
      </c>
      <c r="H182" s="1">
        <v>0</v>
      </c>
      <c r="I182" s="1">
        <v>98.393048230000005</v>
      </c>
      <c r="J182" s="1">
        <v>1.1023191240000001</v>
      </c>
      <c r="K182" s="1">
        <v>0.50463264750000003</v>
      </c>
      <c r="L182" s="1">
        <v>0</v>
      </c>
      <c r="M182" s="1">
        <v>99.066110559999998</v>
      </c>
      <c r="N182" s="1">
        <v>0.14276156700000001</v>
      </c>
      <c r="O182" s="1">
        <v>0.79112787279999996</v>
      </c>
      <c r="P182" s="1">
        <v>0</v>
      </c>
    </row>
    <row r="183" spans="1:16" ht="12.5">
      <c r="A183" s="1" t="s">
        <v>149</v>
      </c>
      <c r="B183" s="1">
        <v>2015</v>
      </c>
      <c r="C183" s="1">
        <v>1997.6750489999999</v>
      </c>
      <c r="D183" s="1">
        <v>67.979995729999999</v>
      </c>
      <c r="E183" s="1">
        <v>98.525117280000003</v>
      </c>
      <c r="F183" s="1">
        <v>0.67870742309999998</v>
      </c>
      <c r="G183" s="1">
        <v>0.79617529310000001</v>
      </c>
      <c r="H183" s="1">
        <v>0</v>
      </c>
      <c r="I183" s="1">
        <v>97.854719009999997</v>
      </c>
      <c r="J183" s="1">
        <v>0</v>
      </c>
      <c r="K183" s="1">
        <v>2.145280992</v>
      </c>
      <c r="L183" s="1">
        <v>0</v>
      </c>
      <c r="M183" s="1">
        <v>98.840893339999994</v>
      </c>
      <c r="N183" s="1">
        <v>0.99839286199999999</v>
      </c>
      <c r="O183" s="1">
        <v>0.1607138001</v>
      </c>
      <c r="P183" s="1">
        <v>0</v>
      </c>
    </row>
    <row r="184" spans="1:16" ht="12.5">
      <c r="A184" s="1" t="s">
        <v>50</v>
      </c>
      <c r="B184" s="1">
        <v>2020</v>
      </c>
      <c r="C184" s="1">
        <v>287.37100220000002</v>
      </c>
      <c r="D184" s="1">
        <v>31.190999980000001</v>
      </c>
      <c r="E184" s="1">
        <v>98.514450420000003</v>
      </c>
      <c r="F184" s="1">
        <v>0.26760057609999999</v>
      </c>
      <c r="G184" s="1">
        <v>1.2179490049999999</v>
      </c>
      <c r="H184" s="1">
        <v>0</v>
      </c>
      <c r="I184" s="1" t="s">
        <v>272</v>
      </c>
      <c r="J184" s="1" t="s">
        <v>272</v>
      </c>
      <c r="K184" s="1" t="s">
        <v>272</v>
      </c>
      <c r="L184" s="1" t="s">
        <v>272</v>
      </c>
      <c r="M184" s="1" t="s">
        <v>272</v>
      </c>
      <c r="N184" s="1" t="s">
        <v>272</v>
      </c>
      <c r="O184" s="1" t="s">
        <v>272</v>
      </c>
      <c r="P184" s="1" t="s">
        <v>272</v>
      </c>
    </row>
    <row r="185" spans="1:16" ht="12.5">
      <c r="A185" s="1" t="s">
        <v>50</v>
      </c>
      <c r="B185" s="1">
        <v>2015</v>
      </c>
      <c r="C185" s="1">
        <v>285.32699580000002</v>
      </c>
      <c r="D185" s="1">
        <v>31.24899864</v>
      </c>
      <c r="E185" s="1">
        <v>98.474444739999996</v>
      </c>
      <c r="F185" s="1">
        <v>0.26749190639999998</v>
      </c>
      <c r="G185" s="1">
        <v>1.2580633510000001</v>
      </c>
      <c r="H185" s="1">
        <v>0</v>
      </c>
      <c r="I185" s="1" t="s">
        <v>272</v>
      </c>
      <c r="J185" s="1" t="s">
        <v>272</v>
      </c>
      <c r="K185" s="1" t="s">
        <v>272</v>
      </c>
      <c r="L185" s="1" t="s">
        <v>272</v>
      </c>
      <c r="M185" s="1" t="s">
        <v>272</v>
      </c>
      <c r="N185" s="1" t="s">
        <v>272</v>
      </c>
      <c r="O185" s="1" t="s">
        <v>272</v>
      </c>
      <c r="P185" s="1" t="s">
        <v>272</v>
      </c>
    </row>
    <row r="186" spans="1:16" ht="12.5">
      <c r="A186" s="1" t="s">
        <v>55</v>
      </c>
      <c r="B186" s="1">
        <v>2020</v>
      </c>
      <c r="C186" s="1">
        <v>397.62100220000002</v>
      </c>
      <c r="D186" s="1">
        <v>46.025001529999997</v>
      </c>
      <c r="E186" s="1">
        <v>98.401954630000006</v>
      </c>
      <c r="F186" s="1">
        <v>1.249110629</v>
      </c>
      <c r="G186" s="1">
        <v>0.3489347411</v>
      </c>
      <c r="H186" s="1">
        <v>0</v>
      </c>
      <c r="I186" s="1">
        <v>97.995207579999999</v>
      </c>
      <c r="J186" s="1">
        <v>1.358317682</v>
      </c>
      <c r="K186" s="1">
        <v>0.64647473929999999</v>
      </c>
      <c r="L186" s="1">
        <v>0</v>
      </c>
      <c r="M186" s="1">
        <v>98.878960000000006</v>
      </c>
      <c r="N186" s="1">
        <v>1.12104</v>
      </c>
      <c r="O186" s="1">
        <v>0</v>
      </c>
      <c r="P186" s="1">
        <v>0</v>
      </c>
    </row>
    <row r="187" spans="1:16" ht="12.5">
      <c r="A187" s="1" t="s">
        <v>135</v>
      </c>
      <c r="B187" s="1">
        <v>2020</v>
      </c>
      <c r="C187" s="1">
        <v>40222.503909999999</v>
      </c>
      <c r="D187" s="1">
        <v>70.892997739999998</v>
      </c>
      <c r="E187" s="1">
        <v>98.359903250000002</v>
      </c>
      <c r="F187" s="1">
        <v>0.89216034950000001</v>
      </c>
      <c r="G187" s="1">
        <v>2.427900808E-6</v>
      </c>
      <c r="H187" s="1">
        <v>0.74793397129999994</v>
      </c>
      <c r="I187" s="1">
        <v>94.831146779999997</v>
      </c>
      <c r="J187" s="1">
        <v>2.5992513389999998</v>
      </c>
      <c r="K187" s="1">
        <v>0</v>
      </c>
      <c r="L187" s="1">
        <v>2.5696018770000002</v>
      </c>
      <c r="M187" s="1">
        <v>99.808731030000004</v>
      </c>
      <c r="N187" s="1">
        <v>0.19126897000000001</v>
      </c>
      <c r="O187" s="1">
        <v>0</v>
      </c>
      <c r="P187" s="1">
        <v>0</v>
      </c>
    </row>
    <row r="188" spans="1:16" ht="12.5">
      <c r="A188" s="1" t="s">
        <v>181</v>
      </c>
      <c r="B188" s="1">
        <v>2015</v>
      </c>
      <c r="C188" s="1">
        <v>271.06201170000003</v>
      </c>
      <c r="D188" s="1">
        <v>69.379005430000007</v>
      </c>
      <c r="E188" s="1">
        <v>98.138558489999994</v>
      </c>
      <c r="F188" s="1">
        <v>0</v>
      </c>
      <c r="G188" s="1">
        <v>1.861441508</v>
      </c>
      <c r="H188" s="1">
        <v>0</v>
      </c>
      <c r="I188" s="1" t="s">
        <v>272</v>
      </c>
      <c r="J188" s="1" t="s">
        <v>272</v>
      </c>
      <c r="K188" s="1" t="s">
        <v>272</v>
      </c>
      <c r="L188" s="1" t="s">
        <v>272</v>
      </c>
      <c r="M188" s="1" t="s">
        <v>272</v>
      </c>
      <c r="N188" s="1" t="s">
        <v>272</v>
      </c>
      <c r="O188" s="1" t="s">
        <v>272</v>
      </c>
      <c r="P188" s="1" t="s">
        <v>272</v>
      </c>
    </row>
    <row r="189" spans="1:16" ht="12.5">
      <c r="A189" s="1" t="s">
        <v>248</v>
      </c>
      <c r="B189" s="1">
        <v>2015</v>
      </c>
      <c r="C189" s="1">
        <v>1370.3320309999999</v>
      </c>
      <c r="D189" s="1">
        <v>53.319000240000001</v>
      </c>
      <c r="E189" s="1">
        <v>98.136177649999993</v>
      </c>
      <c r="F189" s="1">
        <v>1.1164222559999999</v>
      </c>
      <c r="G189" s="1">
        <v>0.56928192339999995</v>
      </c>
      <c r="H189" s="1">
        <v>0.17811817260000001</v>
      </c>
      <c r="I189" s="1" t="s">
        <v>272</v>
      </c>
      <c r="J189" s="1" t="s">
        <v>272</v>
      </c>
      <c r="K189" s="1" t="s">
        <v>272</v>
      </c>
      <c r="L189" s="1" t="s">
        <v>272</v>
      </c>
      <c r="M189" s="1" t="s">
        <v>272</v>
      </c>
      <c r="N189" s="1" t="s">
        <v>272</v>
      </c>
      <c r="O189" s="1" t="s">
        <v>272</v>
      </c>
      <c r="P189" s="1" t="s">
        <v>272</v>
      </c>
    </row>
    <row r="190" spans="1:16" ht="12.5">
      <c r="A190" s="1" t="s">
        <v>173</v>
      </c>
      <c r="B190" s="1">
        <v>2020</v>
      </c>
      <c r="C190" s="1">
        <v>4.9990000720000003</v>
      </c>
      <c r="D190" s="1">
        <v>9.1149997710000008</v>
      </c>
      <c r="E190" s="1">
        <v>98.077482619999998</v>
      </c>
      <c r="F190" s="1">
        <v>0</v>
      </c>
      <c r="G190" s="1">
        <v>1.922517378</v>
      </c>
      <c r="H190" s="1">
        <v>0</v>
      </c>
      <c r="I190" s="1" t="s">
        <v>272</v>
      </c>
      <c r="J190" s="1" t="s">
        <v>272</v>
      </c>
      <c r="K190" s="1" t="s">
        <v>272</v>
      </c>
      <c r="L190" s="1" t="s">
        <v>272</v>
      </c>
      <c r="M190" s="1" t="s">
        <v>272</v>
      </c>
      <c r="N190" s="1" t="s">
        <v>272</v>
      </c>
      <c r="O190" s="1" t="s">
        <v>272</v>
      </c>
      <c r="P190" s="1" t="s">
        <v>272</v>
      </c>
    </row>
    <row r="191" spans="1:16" ht="12.5">
      <c r="A191" s="1" t="s">
        <v>173</v>
      </c>
      <c r="B191" s="1">
        <v>2015</v>
      </c>
      <c r="C191" s="1">
        <v>4.9660000799999997</v>
      </c>
      <c r="D191" s="1">
        <v>9.0410003660000005</v>
      </c>
      <c r="E191" s="1">
        <v>98.070820560000001</v>
      </c>
      <c r="F191" s="1">
        <v>0</v>
      </c>
      <c r="G191" s="1">
        <v>1.9291794390000001</v>
      </c>
      <c r="H191" s="1">
        <v>0</v>
      </c>
      <c r="I191" s="1" t="s">
        <v>272</v>
      </c>
      <c r="J191" s="1" t="s">
        <v>272</v>
      </c>
      <c r="K191" s="1" t="s">
        <v>272</v>
      </c>
      <c r="L191" s="1" t="s">
        <v>272</v>
      </c>
      <c r="M191" s="1" t="s">
        <v>272</v>
      </c>
      <c r="N191" s="1" t="s">
        <v>272</v>
      </c>
      <c r="O191" s="1" t="s">
        <v>272</v>
      </c>
      <c r="P191" s="1" t="s">
        <v>272</v>
      </c>
    </row>
    <row r="192" spans="1:16" ht="12.5">
      <c r="A192" s="1" t="s">
        <v>168</v>
      </c>
      <c r="B192" s="1">
        <v>2015</v>
      </c>
      <c r="C192" s="1">
        <v>121858.25</v>
      </c>
      <c r="D192" s="1">
        <v>79.284996030000002</v>
      </c>
      <c r="E192" s="1">
        <v>98.025443539999998</v>
      </c>
      <c r="F192" s="1">
        <v>0</v>
      </c>
      <c r="G192" s="1">
        <v>1.4123609640000001</v>
      </c>
      <c r="H192" s="1">
        <v>0.56219549209999997</v>
      </c>
      <c r="I192" s="1">
        <v>93.286694030000007</v>
      </c>
      <c r="J192" s="1">
        <v>0</v>
      </c>
      <c r="K192" s="1">
        <v>4.3109388519999996</v>
      </c>
      <c r="L192" s="1">
        <v>2.4023671210000002</v>
      </c>
      <c r="M192" s="1">
        <v>99.263552899999993</v>
      </c>
      <c r="N192" s="1">
        <v>0</v>
      </c>
      <c r="O192" s="1">
        <v>0.65503800599999995</v>
      </c>
      <c r="P192" s="1">
        <v>8.140909465E-2</v>
      </c>
    </row>
    <row r="193" spans="1:16" ht="12.5">
      <c r="A193" s="1" t="s">
        <v>155</v>
      </c>
      <c r="B193" s="1">
        <v>2020</v>
      </c>
      <c r="C193" s="1">
        <v>2722.2910160000001</v>
      </c>
      <c r="D193" s="1">
        <v>68.045997619999994</v>
      </c>
      <c r="E193" s="1">
        <v>98.013347240000002</v>
      </c>
      <c r="F193" s="1">
        <v>0</v>
      </c>
      <c r="G193" s="1">
        <v>1.9866527599999999</v>
      </c>
      <c r="H193" s="1">
        <v>0</v>
      </c>
      <c r="I193" s="1">
        <v>93.78278023</v>
      </c>
      <c r="J193" s="1">
        <v>0</v>
      </c>
      <c r="K193" s="1">
        <v>6.2172197709999999</v>
      </c>
      <c r="L193" s="1">
        <v>0</v>
      </c>
      <c r="M193" s="1">
        <v>100</v>
      </c>
      <c r="N193" s="1">
        <v>0</v>
      </c>
      <c r="O193" s="1">
        <v>0</v>
      </c>
      <c r="P193" s="1">
        <v>0</v>
      </c>
    </row>
    <row r="194" spans="1:16" ht="12.5">
      <c r="A194" s="1" t="s">
        <v>238</v>
      </c>
      <c r="B194" s="1">
        <v>2020</v>
      </c>
      <c r="C194" s="1">
        <v>586.63397220000002</v>
      </c>
      <c r="D194" s="1">
        <v>66.149002080000002</v>
      </c>
      <c r="E194" s="1">
        <v>97.989631669999994</v>
      </c>
      <c r="F194" s="1">
        <v>1.0672469410000001</v>
      </c>
      <c r="G194" s="1">
        <v>0.37933650730000001</v>
      </c>
      <c r="H194" s="1">
        <v>0.56378488400000004</v>
      </c>
      <c r="I194" s="1">
        <v>96.574412629999998</v>
      </c>
      <c r="J194" s="1">
        <v>1.6002958599999999</v>
      </c>
      <c r="K194" s="1">
        <v>0.1598017947</v>
      </c>
      <c r="L194" s="1">
        <v>1.6654897200000001</v>
      </c>
      <c r="M194" s="1">
        <v>98.713853869999994</v>
      </c>
      <c r="N194" s="1">
        <v>0.79446523710000005</v>
      </c>
      <c r="O194" s="1">
        <v>0.49168089250000002</v>
      </c>
      <c r="P194" s="1">
        <v>0</v>
      </c>
    </row>
    <row r="195" spans="1:16" ht="12.5">
      <c r="A195" s="1" t="s">
        <v>100</v>
      </c>
      <c r="B195" s="1">
        <v>2020</v>
      </c>
      <c r="C195" s="1">
        <v>6486.201172</v>
      </c>
      <c r="D195" s="1">
        <v>73.444000239999994</v>
      </c>
      <c r="E195" s="1">
        <v>97.946575409999994</v>
      </c>
      <c r="F195" s="1">
        <v>0.20726323190000001</v>
      </c>
      <c r="G195" s="1">
        <v>0.31517399689999998</v>
      </c>
      <c r="H195" s="1">
        <v>1.530987366</v>
      </c>
      <c r="I195" s="1">
        <v>93.454395079999998</v>
      </c>
      <c r="J195" s="1">
        <v>0.78047620490000003</v>
      </c>
      <c r="K195" s="1">
        <v>0</v>
      </c>
      <c r="L195" s="1">
        <v>5.7651287120000001</v>
      </c>
      <c r="M195" s="1">
        <v>99.570870009999993</v>
      </c>
      <c r="N195" s="1">
        <v>0</v>
      </c>
      <c r="O195" s="1">
        <v>0.42912999439999999</v>
      </c>
      <c r="P195" s="1">
        <v>0</v>
      </c>
    </row>
    <row r="196" spans="1:16" ht="12.5">
      <c r="A196" s="1" t="s">
        <v>268</v>
      </c>
      <c r="B196" s="1">
        <v>2020</v>
      </c>
      <c r="C196" s="1">
        <v>5101.4160160000001</v>
      </c>
      <c r="D196" s="1">
        <v>76.718994140000007</v>
      </c>
      <c r="E196" s="1">
        <v>97.880397220000006</v>
      </c>
      <c r="F196" s="1">
        <v>1.029979486</v>
      </c>
      <c r="G196" s="1">
        <v>1.089623295</v>
      </c>
      <c r="H196" s="1" t="s">
        <v>272</v>
      </c>
      <c r="I196" s="1">
        <v>98.715556419999999</v>
      </c>
      <c r="J196" s="1">
        <v>0.31740062730000002</v>
      </c>
      <c r="K196" s="1">
        <v>0.96704295760000003</v>
      </c>
      <c r="L196" s="1" t="s">
        <v>272</v>
      </c>
      <c r="M196" s="1">
        <v>97.626964430000001</v>
      </c>
      <c r="N196" s="1">
        <v>1.246217358</v>
      </c>
      <c r="O196" s="1">
        <v>1.126818208</v>
      </c>
      <c r="P196" s="1" t="s">
        <v>272</v>
      </c>
    </row>
    <row r="197" spans="1:16" ht="12.5">
      <c r="A197" s="1" t="s">
        <v>36</v>
      </c>
      <c r="B197" s="1">
        <v>2015</v>
      </c>
      <c r="C197" s="1">
        <v>104.3389969</v>
      </c>
      <c r="D197" s="1">
        <v>43.108001710000003</v>
      </c>
      <c r="E197" s="1">
        <v>97.869023380000002</v>
      </c>
      <c r="F197" s="1">
        <v>0</v>
      </c>
      <c r="G197" s="1">
        <v>1.95993621</v>
      </c>
      <c r="H197" s="1">
        <v>0.1710404089</v>
      </c>
      <c r="I197" s="1" t="s">
        <v>272</v>
      </c>
      <c r="J197" s="1" t="s">
        <v>272</v>
      </c>
      <c r="K197" s="1" t="s">
        <v>272</v>
      </c>
      <c r="L197" s="1" t="s">
        <v>272</v>
      </c>
      <c r="M197" s="1" t="s">
        <v>272</v>
      </c>
      <c r="N197" s="1" t="s">
        <v>272</v>
      </c>
      <c r="O197" s="1" t="s">
        <v>272</v>
      </c>
      <c r="P197" s="1" t="s">
        <v>272</v>
      </c>
    </row>
    <row r="198" spans="1:16" ht="12.5">
      <c r="A198" s="1" t="s">
        <v>36</v>
      </c>
      <c r="B198" s="1">
        <v>2016</v>
      </c>
      <c r="C198" s="1">
        <v>104.86499790000001</v>
      </c>
      <c r="D198" s="1">
        <v>43.191997530000002</v>
      </c>
      <c r="E198" s="1">
        <v>97.869023380000002</v>
      </c>
      <c r="F198" s="1">
        <v>0</v>
      </c>
      <c r="G198" s="1">
        <v>1.95993621</v>
      </c>
      <c r="H198" s="1">
        <v>0.1710404089</v>
      </c>
      <c r="I198" s="1" t="s">
        <v>272</v>
      </c>
      <c r="J198" s="1" t="s">
        <v>272</v>
      </c>
      <c r="K198" s="1" t="s">
        <v>272</v>
      </c>
      <c r="L198" s="1" t="s">
        <v>272</v>
      </c>
      <c r="M198" s="1" t="s">
        <v>272</v>
      </c>
      <c r="N198" s="1" t="s">
        <v>272</v>
      </c>
      <c r="O198" s="1" t="s">
        <v>272</v>
      </c>
      <c r="P198" s="1" t="s">
        <v>272</v>
      </c>
    </row>
    <row r="199" spans="1:16" ht="12.5">
      <c r="A199" s="1" t="s">
        <v>263</v>
      </c>
      <c r="B199" s="1">
        <v>2020</v>
      </c>
      <c r="C199" s="1">
        <v>33469.199220000002</v>
      </c>
      <c r="D199" s="1">
        <v>50.415996550000003</v>
      </c>
      <c r="E199" s="1">
        <v>97.828784850000005</v>
      </c>
      <c r="F199" s="1">
        <v>0</v>
      </c>
      <c r="G199" s="1">
        <v>0.22384422000000001</v>
      </c>
      <c r="H199" s="1">
        <v>1.947370925</v>
      </c>
      <c r="I199" s="1">
        <v>96.072582359999998</v>
      </c>
      <c r="J199" s="1">
        <v>0</v>
      </c>
      <c r="K199" s="1">
        <v>0</v>
      </c>
      <c r="L199" s="1">
        <v>3.927417637</v>
      </c>
      <c r="M199" s="1">
        <v>99.556005560000003</v>
      </c>
      <c r="N199" s="1">
        <v>0</v>
      </c>
      <c r="O199" s="1">
        <v>0.44399444339999999</v>
      </c>
      <c r="P199" s="1">
        <v>0</v>
      </c>
    </row>
    <row r="200" spans="1:16" ht="12.5">
      <c r="A200" s="1" t="s">
        <v>63</v>
      </c>
      <c r="B200" s="1">
        <v>2015</v>
      </c>
      <c r="C200" s="1">
        <v>204471.76560000001</v>
      </c>
      <c r="D200" s="1">
        <v>85.770004270000001</v>
      </c>
      <c r="E200" s="1">
        <v>97.80356759</v>
      </c>
      <c r="F200" s="1">
        <v>0.57950002290000002</v>
      </c>
      <c r="G200" s="1">
        <v>0.47496570910000002</v>
      </c>
      <c r="H200" s="1">
        <v>1.141966676</v>
      </c>
      <c r="I200" s="1">
        <v>88.756028180000001</v>
      </c>
      <c r="J200" s="1">
        <v>2.8537735780000002</v>
      </c>
      <c r="K200" s="1">
        <v>0.36513423810000001</v>
      </c>
      <c r="L200" s="1">
        <v>8.0250640079999993</v>
      </c>
      <c r="M200" s="1">
        <v>99.304631020000002</v>
      </c>
      <c r="N200" s="1">
        <v>0.20217793440000001</v>
      </c>
      <c r="O200" s="1">
        <v>0.49319104540000003</v>
      </c>
      <c r="P200" s="1">
        <v>0</v>
      </c>
    </row>
    <row r="201" spans="1:16" ht="12.5">
      <c r="A201" s="1" t="s">
        <v>187</v>
      </c>
      <c r="B201" s="1">
        <v>2020</v>
      </c>
      <c r="C201" s="1">
        <v>2083.3798830000001</v>
      </c>
      <c r="D201" s="1">
        <v>58.481998439999998</v>
      </c>
      <c r="E201" s="1">
        <v>97.742815789999995</v>
      </c>
      <c r="F201" s="1">
        <v>1.6349941400000001</v>
      </c>
      <c r="G201" s="1">
        <v>0.57422847619999995</v>
      </c>
      <c r="H201" s="1">
        <v>4.796159706E-2</v>
      </c>
      <c r="I201" s="1">
        <v>97.468714570000003</v>
      </c>
      <c r="J201" s="1">
        <v>1.505202232</v>
      </c>
      <c r="K201" s="1">
        <v>0.91056319819999998</v>
      </c>
      <c r="L201" s="1">
        <v>0.11552</v>
      </c>
      <c r="M201" s="1">
        <v>97.937402989999995</v>
      </c>
      <c r="N201" s="1">
        <v>1.7271369539999999</v>
      </c>
      <c r="O201" s="1">
        <v>0.33546005629999998</v>
      </c>
      <c r="P201" s="1">
        <v>0</v>
      </c>
    </row>
    <row r="202" spans="1:16" ht="12.5">
      <c r="A202" s="1" t="s">
        <v>48</v>
      </c>
      <c r="B202" s="1">
        <v>2020</v>
      </c>
      <c r="C202" s="1">
        <v>164689.39060000001</v>
      </c>
      <c r="D202" s="1">
        <v>38.177001949999998</v>
      </c>
      <c r="E202" s="1">
        <v>97.697960249999994</v>
      </c>
      <c r="F202" s="1">
        <v>1.1564258780000001</v>
      </c>
      <c r="G202" s="1">
        <v>0.46265570020000002</v>
      </c>
      <c r="H202" s="1">
        <v>0.68295817349999999</v>
      </c>
      <c r="I202" s="1">
        <v>97.88023776</v>
      </c>
      <c r="J202" s="1">
        <v>0.85810498040000005</v>
      </c>
      <c r="K202" s="1">
        <v>0.31648024139999997</v>
      </c>
      <c r="L202" s="1">
        <v>0.94517701509999996</v>
      </c>
      <c r="M202" s="1">
        <v>97.402777970000002</v>
      </c>
      <c r="N202" s="1">
        <v>1.6395201210000001</v>
      </c>
      <c r="O202" s="1">
        <v>0.69937521469999997</v>
      </c>
      <c r="P202" s="1">
        <v>0.25832669339999997</v>
      </c>
    </row>
    <row r="203" spans="1:16" ht="12.5">
      <c r="A203" s="1" t="s">
        <v>251</v>
      </c>
      <c r="B203" s="1">
        <v>2015</v>
      </c>
      <c r="C203" s="1">
        <v>5565.283203</v>
      </c>
      <c r="D203" s="1">
        <v>50.317001339999997</v>
      </c>
      <c r="E203" s="1">
        <v>97.658944309999995</v>
      </c>
      <c r="F203" s="1">
        <v>0.94791505470000004</v>
      </c>
      <c r="G203" s="1">
        <v>0.24775003200000001</v>
      </c>
      <c r="H203" s="1">
        <v>1.1453906060000001</v>
      </c>
      <c r="I203" s="1">
        <v>96.219783160000006</v>
      </c>
      <c r="J203" s="1">
        <v>1.0009544290000001</v>
      </c>
      <c r="K203" s="1">
        <v>0.47386486500000002</v>
      </c>
      <c r="L203" s="1">
        <v>2.305397551</v>
      </c>
      <c r="M203" s="1">
        <v>99.079971720000003</v>
      </c>
      <c r="N203" s="1">
        <v>0.89554398800000001</v>
      </c>
      <c r="O203" s="1">
        <v>2.4484294899999998E-2</v>
      </c>
      <c r="P203" s="1">
        <v>0</v>
      </c>
    </row>
    <row r="204" spans="1:16" ht="12.5">
      <c r="A204" s="1" t="s">
        <v>186</v>
      </c>
      <c r="B204" s="1">
        <v>2015</v>
      </c>
      <c r="C204" s="1">
        <v>1.6100000139999999</v>
      </c>
      <c r="D204" s="1">
        <v>42.568000789999999</v>
      </c>
      <c r="E204" s="1">
        <v>97.606139409999997</v>
      </c>
      <c r="F204" s="1">
        <v>0</v>
      </c>
      <c r="G204" s="1">
        <v>2.393860594</v>
      </c>
      <c r="H204" s="1">
        <v>0</v>
      </c>
      <c r="I204" s="1" t="s">
        <v>272</v>
      </c>
      <c r="J204" s="1" t="s">
        <v>272</v>
      </c>
      <c r="K204" s="1" t="s">
        <v>272</v>
      </c>
      <c r="L204" s="1" t="s">
        <v>272</v>
      </c>
      <c r="M204" s="1" t="s">
        <v>272</v>
      </c>
      <c r="N204" s="1" t="s">
        <v>272</v>
      </c>
      <c r="O204" s="1" t="s">
        <v>272</v>
      </c>
      <c r="P204" s="1" t="s">
        <v>272</v>
      </c>
    </row>
    <row r="205" spans="1:16" ht="12.5">
      <c r="A205" s="1" t="s">
        <v>249</v>
      </c>
      <c r="B205" s="1">
        <v>2020</v>
      </c>
      <c r="C205" s="1">
        <v>11818.61816</v>
      </c>
      <c r="D205" s="1">
        <v>69.568000789999999</v>
      </c>
      <c r="E205" s="1">
        <v>97.54330899</v>
      </c>
      <c r="F205" s="1">
        <v>1.63135067</v>
      </c>
      <c r="G205" s="1">
        <v>0.82534033780000005</v>
      </c>
      <c r="H205" s="1">
        <v>0</v>
      </c>
      <c r="I205" s="1">
        <v>93.936231930000005</v>
      </c>
      <c r="J205" s="1">
        <v>3.3516873569999999</v>
      </c>
      <c r="K205" s="1">
        <v>2.71208071</v>
      </c>
      <c r="L205" s="1">
        <v>0</v>
      </c>
      <c r="M205" s="1">
        <v>99.121197629999998</v>
      </c>
      <c r="N205" s="1">
        <v>0.87880236840000003</v>
      </c>
      <c r="O205" s="1">
        <v>0</v>
      </c>
      <c r="P205" s="1">
        <v>0</v>
      </c>
    </row>
    <row r="206" spans="1:16" ht="12.5">
      <c r="A206" s="1" t="s">
        <v>263</v>
      </c>
      <c r="B206" s="1">
        <v>2015</v>
      </c>
      <c r="C206" s="1">
        <v>30929.556639999999</v>
      </c>
      <c r="D206" s="1">
        <v>50.75</v>
      </c>
      <c r="E206" s="1">
        <v>97.528578260000003</v>
      </c>
      <c r="F206" s="1">
        <v>0</v>
      </c>
      <c r="G206" s="1">
        <v>0</v>
      </c>
      <c r="H206" s="1">
        <v>2.4714217359999999</v>
      </c>
      <c r="I206" s="1">
        <v>95.642391549999999</v>
      </c>
      <c r="J206" s="1">
        <v>0</v>
      </c>
      <c r="K206" s="1">
        <v>0</v>
      </c>
      <c r="L206" s="1">
        <v>4.3576084509999999</v>
      </c>
      <c r="M206" s="1">
        <v>99.359015619999994</v>
      </c>
      <c r="N206" s="1">
        <v>0</v>
      </c>
      <c r="O206" s="1">
        <v>0</v>
      </c>
      <c r="P206" s="1">
        <v>0.64098438430000004</v>
      </c>
    </row>
    <row r="207" spans="1:16" ht="12.5">
      <c r="A207" s="1" t="s">
        <v>81</v>
      </c>
      <c r="B207" s="1">
        <v>2020</v>
      </c>
      <c r="C207" s="1">
        <v>50882.882810000003</v>
      </c>
      <c r="D207" s="1">
        <v>81.424995420000002</v>
      </c>
      <c r="E207" s="1">
        <v>97.491657110000006</v>
      </c>
      <c r="F207" s="1">
        <v>0.18615215909999999</v>
      </c>
      <c r="G207" s="1">
        <v>0.95361622280000002</v>
      </c>
      <c r="H207" s="1">
        <v>1.3685745119999999</v>
      </c>
      <c r="I207" s="1">
        <v>86.767072819999996</v>
      </c>
      <c r="J207" s="1">
        <v>0.73122820160000002</v>
      </c>
      <c r="K207" s="1">
        <v>5.13386897</v>
      </c>
      <c r="L207" s="1">
        <v>7.3678300050000001</v>
      </c>
      <c r="M207" s="1">
        <v>99.938192799999996</v>
      </c>
      <c r="N207" s="1">
        <v>6.18072E-2</v>
      </c>
      <c r="O207" s="1">
        <v>0</v>
      </c>
      <c r="P207" s="1">
        <v>0</v>
      </c>
    </row>
    <row r="208" spans="1:16" ht="12.5">
      <c r="A208" s="1" t="s">
        <v>134</v>
      </c>
      <c r="B208" s="1">
        <v>2020</v>
      </c>
      <c r="C208" s="1">
        <v>83992.953129999994</v>
      </c>
      <c r="D208" s="1">
        <v>75.874000550000005</v>
      </c>
      <c r="E208" s="1">
        <v>97.482636330000005</v>
      </c>
      <c r="F208" s="1">
        <v>1.938311229</v>
      </c>
      <c r="G208" s="1">
        <v>0.51379736310000002</v>
      </c>
      <c r="H208" s="1">
        <v>6.5255081849999994E-2</v>
      </c>
      <c r="I208" s="1">
        <v>93.828735379999998</v>
      </c>
      <c r="J208" s="1">
        <v>4.2979487650000001</v>
      </c>
      <c r="K208" s="1">
        <v>1.602839669</v>
      </c>
      <c r="L208" s="1">
        <v>0.27047619049999999</v>
      </c>
      <c r="M208" s="1">
        <v>98.644486720000003</v>
      </c>
      <c r="N208" s="1">
        <v>1.1880066709999999</v>
      </c>
      <c r="O208" s="1">
        <v>0.1675066077</v>
      </c>
      <c r="P208" s="1">
        <v>0</v>
      </c>
    </row>
    <row r="209" spans="1:16" ht="12.5">
      <c r="A209" s="1" t="s">
        <v>29</v>
      </c>
      <c r="B209" s="1">
        <v>2015</v>
      </c>
      <c r="C209" s="1">
        <v>14.27900028</v>
      </c>
      <c r="D209" s="1">
        <v>100</v>
      </c>
      <c r="E209" s="1">
        <v>97.482274250000003</v>
      </c>
      <c r="F209" s="1">
        <v>0</v>
      </c>
      <c r="G209" s="1">
        <v>2.5177257530000001</v>
      </c>
      <c r="H209" s="1">
        <v>0</v>
      </c>
      <c r="I209" s="1" t="s">
        <v>272</v>
      </c>
      <c r="J209" s="1" t="s">
        <v>272</v>
      </c>
      <c r="K209" s="1" t="s">
        <v>272</v>
      </c>
      <c r="L209" s="1" t="s">
        <v>272</v>
      </c>
      <c r="M209" s="1">
        <v>97.482274250000003</v>
      </c>
      <c r="N209" s="1">
        <v>0</v>
      </c>
      <c r="O209" s="1">
        <v>2.5177257530000001</v>
      </c>
      <c r="P209" s="1">
        <v>0</v>
      </c>
    </row>
    <row r="210" spans="1:16" ht="12.5">
      <c r="A210" s="1" t="s">
        <v>29</v>
      </c>
      <c r="B210" s="1">
        <v>2017</v>
      </c>
      <c r="C210" s="1">
        <v>14.588000299999999</v>
      </c>
      <c r="D210" s="1">
        <v>100</v>
      </c>
      <c r="E210" s="1">
        <v>97.482274250000003</v>
      </c>
      <c r="F210" s="1">
        <v>0</v>
      </c>
      <c r="G210" s="1">
        <v>2.5177257530000001</v>
      </c>
      <c r="H210" s="1">
        <v>0</v>
      </c>
      <c r="I210" s="1" t="s">
        <v>272</v>
      </c>
      <c r="J210" s="1" t="s">
        <v>272</v>
      </c>
      <c r="K210" s="1" t="s">
        <v>272</v>
      </c>
      <c r="L210" s="1" t="s">
        <v>272</v>
      </c>
      <c r="M210" s="1">
        <v>97.482274250000003</v>
      </c>
      <c r="N210" s="1">
        <v>0</v>
      </c>
      <c r="O210" s="1">
        <v>2.5177257530000001</v>
      </c>
      <c r="P210" s="1">
        <v>0</v>
      </c>
    </row>
    <row r="211" spans="1:16" ht="12.5">
      <c r="A211" s="1" t="s">
        <v>187</v>
      </c>
      <c r="B211" s="1">
        <v>2015</v>
      </c>
      <c r="C211" s="1">
        <v>2079.334961</v>
      </c>
      <c r="D211" s="1">
        <v>57.407997129999998</v>
      </c>
      <c r="E211" s="1">
        <v>97.472332829999999</v>
      </c>
      <c r="F211" s="1">
        <v>1.8859917129999999</v>
      </c>
      <c r="G211" s="1">
        <v>0.59247317450000003</v>
      </c>
      <c r="H211" s="1">
        <v>4.9202279760000002E-2</v>
      </c>
      <c r="I211" s="1">
        <v>97.633233129999994</v>
      </c>
      <c r="J211" s="1">
        <v>1.2224645000000001</v>
      </c>
      <c r="K211" s="1">
        <v>1.0287823730000001</v>
      </c>
      <c r="L211" s="1">
        <v>0.11552</v>
      </c>
      <c r="M211" s="1">
        <v>97.352958079999993</v>
      </c>
      <c r="N211" s="1">
        <v>2.37827419</v>
      </c>
      <c r="O211" s="1">
        <v>0.2687677275</v>
      </c>
      <c r="P211" s="1">
        <v>0</v>
      </c>
    </row>
    <row r="212" spans="1:16" ht="12.5">
      <c r="A212" s="1" t="s">
        <v>136</v>
      </c>
      <c r="B212" s="1">
        <v>2020</v>
      </c>
      <c r="C212" s="1">
        <v>4937.7958980000003</v>
      </c>
      <c r="D212" s="1">
        <v>63.652999880000003</v>
      </c>
      <c r="E212" s="1">
        <v>97.399706510000001</v>
      </c>
      <c r="F212" s="1">
        <v>0</v>
      </c>
      <c r="G212" s="1">
        <v>2.6002934849999999</v>
      </c>
      <c r="H212" s="1">
        <v>0</v>
      </c>
      <c r="I212" s="1">
        <v>98.134920750000006</v>
      </c>
      <c r="J212" s="1">
        <v>0</v>
      </c>
      <c r="K212" s="1">
        <v>1.8650792469999999</v>
      </c>
      <c r="L212" s="1">
        <v>0</v>
      </c>
      <c r="M212" s="1">
        <v>96.979886030000003</v>
      </c>
      <c r="N212" s="1">
        <v>0</v>
      </c>
      <c r="O212" s="1">
        <v>3.0201139659999998</v>
      </c>
      <c r="P212" s="1">
        <v>0</v>
      </c>
    </row>
    <row r="213" spans="1:16" ht="12.5">
      <c r="A213" s="1" t="s">
        <v>172</v>
      </c>
      <c r="B213" s="1">
        <v>2015</v>
      </c>
      <c r="C213" s="1">
        <v>626.9569702</v>
      </c>
      <c r="D213" s="1">
        <v>65.805999760000006</v>
      </c>
      <c r="E213" s="1">
        <v>97.391295369999995</v>
      </c>
      <c r="F213" s="1">
        <v>1.68690191</v>
      </c>
      <c r="G213" s="1">
        <v>0.88144584619999999</v>
      </c>
      <c r="H213" s="1">
        <v>4.035686954E-2</v>
      </c>
      <c r="I213" s="1">
        <v>95.96066218</v>
      </c>
      <c r="J213" s="1">
        <v>1.539303155</v>
      </c>
      <c r="K213" s="1">
        <v>2.3820114100000001</v>
      </c>
      <c r="L213" s="1">
        <v>0.1180232558</v>
      </c>
      <c r="M213" s="1">
        <v>98.134678449999996</v>
      </c>
      <c r="N213" s="1">
        <v>1.763596913</v>
      </c>
      <c r="O213" s="1">
        <v>0.10172463599999999</v>
      </c>
      <c r="P213" s="1">
        <v>0</v>
      </c>
    </row>
    <row r="214" spans="1:16" ht="12.5">
      <c r="A214" s="1" t="s">
        <v>136</v>
      </c>
      <c r="B214" s="1">
        <v>2015</v>
      </c>
      <c r="C214" s="1">
        <v>4652.419922</v>
      </c>
      <c r="D214" s="1">
        <v>62.537998199999997</v>
      </c>
      <c r="E214" s="1">
        <v>97.372127989999996</v>
      </c>
      <c r="F214" s="1">
        <v>0</v>
      </c>
      <c r="G214" s="1">
        <v>2.6278720080000002</v>
      </c>
      <c r="H214" s="1">
        <v>0</v>
      </c>
      <c r="I214" s="1">
        <v>98.01681619</v>
      </c>
      <c r="J214" s="1">
        <v>0</v>
      </c>
      <c r="K214" s="1">
        <v>1.983183812</v>
      </c>
      <c r="L214" s="1">
        <v>0</v>
      </c>
      <c r="M214" s="1">
        <v>96.98594181</v>
      </c>
      <c r="N214" s="1">
        <v>0</v>
      </c>
      <c r="O214" s="1">
        <v>3.014058189</v>
      </c>
      <c r="P214" s="1">
        <v>0</v>
      </c>
    </row>
    <row r="215" spans="1:16" ht="12.5">
      <c r="A215" s="1" t="s">
        <v>115</v>
      </c>
      <c r="B215" s="1">
        <v>2020</v>
      </c>
      <c r="C215" s="1">
        <v>3989.1750489999999</v>
      </c>
      <c r="D215" s="1">
        <v>59.452995299999998</v>
      </c>
      <c r="E215" s="1">
        <v>97.348139700000004</v>
      </c>
      <c r="F215" s="1">
        <v>0</v>
      </c>
      <c r="G215" s="1">
        <v>2.6327613790000002</v>
      </c>
      <c r="H215" s="1">
        <v>1.9098923269999998E-2</v>
      </c>
      <c r="I215" s="1">
        <v>94.271884200000002</v>
      </c>
      <c r="J215" s="1">
        <v>0</v>
      </c>
      <c r="K215" s="1">
        <v>5.7039236180000001</v>
      </c>
      <c r="L215" s="1">
        <v>2.4192183450000002E-2</v>
      </c>
      <c r="M215" s="1">
        <v>99.446153940000002</v>
      </c>
      <c r="N215" s="1">
        <v>0</v>
      </c>
      <c r="O215" s="1">
        <v>0.53822074200000003</v>
      </c>
      <c r="P215" s="1">
        <v>1.5625315859999999E-2</v>
      </c>
    </row>
    <row r="216" spans="1:16" ht="12.5">
      <c r="A216" s="1" t="s">
        <v>59</v>
      </c>
      <c r="B216" s="1">
        <v>2020</v>
      </c>
      <c r="C216" s="1">
        <v>771.61199950000002</v>
      </c>
      <c r="D216" s="1">
        <v>42.31599808</v>
      </c>
      <c r="E216" s="1">
        <v>97.313222629999999</v>
      </c>
      <c r="F216" s="1">
        <v>2.4607126070000001</v>
      </c>
      <c r="G216" s="1">
        <v>0.17642421829999999</v>
      </c>
      <c r="H216" s="1">
        <v>4.9640541420000003E-2</v>
      </c>
      <c r="I216" s="1">
        <v>96.731193649999994</v>
      </c>
      <c r="J216" s="1">
        <v>3.2688063509999998</v>
      </c>
      <c r="K216" s="1">
        <v>0</v>
      </c>
      <c r="L216" s="1">
        <v>0</v>
      </c>
      <c r="M216" s="1">
        <v>98.106628490000006</v>
      </c>
      <c r="N216" s="1">
        <v>1.3591415</v>
      </c>
      <c r="O216" s="1">
        <v>0.41692084750000002</v>
      </c>
      <c r="P216" s="1">
        <v>0.1173091586</v>
      </c>
    </row>
    <row r="217" spans="1:16" ht="12.5">
      <c r="A217" s="1" t="s">
        <v>153</v>
      </c>
      <c r="B217" s="1">
        <v>2015</v>
      </c>
      <c r="C217" s="1">
        <v>6418.3149409999996</v>
      </c>
      <c r="D217" s="1">
        <v>79.270004270000001</v>
      </c>
      <c r="E217" s="1">
        <v>97.281615160000001</v>
      </c>
      <c r="F217" s="1">
        <v>0</v>
      </c>
      <c r="G217" s="1">
        <v>2.7183848410000002</v>
      </c>
      <c r="H217" s="1">
        <v>0</v>
      </c>
      <c r="I217" s="1" t="s">
        <v>272</v>
      </c>
      <c r="J217" s="1" t="s">
        <v>272</v>
      </c>
      <c r="K217" s="1" t="s">
        <v>272</v>
      </c>
      <c r="L217" s="1" t="s">
        <v>272</v>
      </c>
      <c r="M217" s="1" t="s">
        <v>272</v>
      </c>
      <c r="N217" s="1" t="s">
        <v>272</v>
      </c>
      <c r="O217" s="1" t="s">
        <v>272</v>
      </c>
      <c r="P217" s="1" t="s">
        <v>272</v>
      </c>
    </row>
    <row r="218" spans="1:16" ht="12.5">
      <c r="A218" s="1" t="s">
        <v>55</v>
      </c>
      <c r="B218" s="1">
        <v>2015</v>
      </c>
      <c r="C218" s="1">
        <v>360.92599489999998</v>
      </c>
      <c r="D218" s="1">
        <v>45.405998230000002</v>
      </c>
      <c r="E218" s="1">
        <v>97.17559498</v>
      </c>
      <c r="F218" s="1">
        <v>1.227940493</v>
      </c>
      <c r="G218" s="1">
        <v>1.5682225350000001</v>
      </c>
      <c r="H218" s="1">
        <v>2.8241988169999999E-2</v>
      </c>
      <c r="I218" s="1">
        <v>95.653832059999999</v>
      </c>
      <c r="J218" s="1">
        <v>1.4219190049999999</v>
      </c>
      <c r="K218" s="1">
        <v>2.8725179939999999</v>
      </c>
      <c r="L218" s="1">
        <v>5.1730935759999999E-2</v>
      </c>
      <c r="M218" s="1">
        <v>99.005290000000002</v>
      </c>
      <c r="N218" s="1">
        <v>0.99470999999999998</v>
      </c>
      <c r="O218" s="1">
        <v>0</v>
      </c>
      <c r="P218" s="1">
        <v>0</v>
      </c>
    </row>
    <row r="219" spans="1:16" ht="12.5">
      <c r="A219" s="1" t="s">
        <v>48</v>
      </c>
      <c r="B219" s="1">
        <v>2015</v>
      </c>
      <c r="C219" s="1">
        <v>156256.2813</v>
      </c>
      <c r="D219" s="1">
        <v>34.308002469999998</v>
      </c>
      <c r="E219" s="1">
        <v>97.101602470000003</v>
      </c>
      <c r="F219" s="1">
        <v>1.087988961</v>
      </c>
      <c r="G219" s="1">
        <v>0.72156165819999996</v>
      </c>
      <c r="H219" s="1">
        <v>1.08884691</v>
      </c>
      <c r="I219" s="1">
        <v>96.773011280000006</v>
      </c>
      <c r="J219" s="1">
        <v>1.0462141620000001</v>
      </c>
      <c r="K219" s="1">
        <v>0.73174732170000001</v>
      </c>
      <c r="L219" s="1">
        <v>1.4490272369999999</v>
      </c>
      <c r="M219" s="1">
        <v>97.730779679999998</v>
      </c>
      <c r="N219" s="1">
        <v>1.167978177</v>
      </c>
      <c r="O219" s="1">
        <v>0.70205843499999998</v>
      </c>
      <c r="P219" s="1">
        <v>0.39918370739999998</v>
      </c>
    </row>
    <row r="220" spans="1:16" ht="12.5">
      <c r="A220" s="1" t="s">
        <v>159</v>
      </c>
      <c r="B220" s="1">
        <v>2020</v>
      </c>
      <c r="C220" s="1">
        <v>32365.998049999998</v>
      </c>
      <c r="D220" s="1">
        <v>77.159996030000002</v>
      </c>
      <c r="E220" s="1">
        <v>97.09990707</v>
      </c>
      <c r="F220" s="1">
        <v>0.35453968650000001</v>
      </c>
      <c r="G220" s="1">
        <v>2.5455532409999999</v>
      </c>
      <c r="H220" s="1" t="s">
        <v>272</v>
      </c>
      <c r="I220" s="1">
        <v>90.197448120000004</v>
      </c>
      <c r="J220" s="1">
        <v>0.54445139710000001</v>
      </c>
      <c r="K220" s="1">
        <v>9.2581004779999994</v>
      </c>
      <c r="L220" s="1" t="s">
        <v>272</v>
      </c>
      <c r="M220" s="1">
        <v>99.14309591</v>
      </c>
      <c r="N220" s="1">
        <v>0.29832426049999999</v>
      </c>
      <c r="O220" s="1">
        <v>0.46857983190000002</v>
      </c>
      <c r="P220" s="1">
        <v>0.09</v>
      </c>
    </row>
    <row r="221" spans="1:16" ht="12.5">
      <c r="A221" s="1" t="s">
        <v>159</v>
      </c>
      <c r="B221" s="1">
        <v>2015</v>
      </c>
      <c r="C221" s="1">
        <v>30270.964840000001</v>
      </c>
      <c r="D221" s="1">
        <v>74.212997439999995</v>
      </c>
      <c r="E221" s="1">
        <v>97.052202559999998</v>
      </c>
      <c r="F221" s="1">
        <v>0.36300550040000001</v>
      </c>
      <c r="G221" s="1">
        <v>2.584791939</v>
      </c>
      <c r="H221" s="1" t="s">
        <v>272</v>
      </c>
      <c r="I221" s="1">
        <v>90.918309219999998</v>
      </c>
      <c r="J221" s="1">
        <v>0.54880267140000005</v>
      </c>
      <c r="K221" s="1">
        <v>8.5328881049999996</v>
      </c>
      <c r="L221" s="1" t="s">
        <v>272</v>
      </c>
      <c r="M221" s="1">
        <v>99.183566049999996</v>
      </c>
      <c r="N221" s="1">
        <v>0.29844603629999999</v>
      </c>
      <c r="O221" s="1">
        <v>0.427987911</v>
      </c>
      <c r="P221" s="1">
        <v>0.09</v>
      </c>
    </row>
    <row r="222" spans="1:16" ht="12.5">
      <c r="A222" s="1" t="s">
        <v>250</v>
      </c>
      <c r="B222" s="1">
        <v>2020</v>
      </c>
      <c r="C222" s="1">
        <v>84339.070309999996</v>
      </c>
      <c r="D222" s="1">
        <v>76.105003359999998</v>
      </c>
      <c r="E222" s="1">
        <v>97.014269159999998</v>
      </c>
      <c r="F222" s="1">
        <v>2.0230780749999999</v>
      </c>
      <c r="G222" s="1">
        <v>0.73767495449999998</v>
      </c>
      <c r="H222" s="1">
        <v>0.2249778093</v>
      </c>
      <c r="I222" s="1">
        <v>96.025169770000005</v>
      </c>
      <c r="J222" s="1">
        <v>2.684574639</v>
      </c>
      <c r="K222" s="1">
        <v>0.78825559109999999</v>
      </c>
      <c r="L222" s="1">
        <v>0.502</v>
      </c>
      <c r="M222" s="1">
        <v>97.324817830000001</v>
      </c>
      <c r="N222" s="1">
        <v>1.8153852029999999</v>
      </c>
      <c r="O222" s="1">
        <v>0.72179696339999999</v>
      </c>
      <c r="P222" s="1">
        <v>0.13800000000000001</v>
      </c>
    </row>
    <row r="223" spans="1:16" ht="12.5">
      <c r="A223" s="1" t="s">
        <v>186</v>
      </c>
      <c r="B223" s="1">
        <v>2020</v>
      </c>
      <c r="C223" s="1">
        <v>1.618000031</v>
      </c>
      <c r="D223" s="1">
        <v>46.202003480000002</v>
      </c>
      <c r="E223" s="1">
        <v>97.010876179999997</v>
      </c>
      <c r="F223" s="1">
        <v>0</v>
      </c>
      <c r="G223" s="1">
        <v>2.9891238219999998</v>
      </c>
      <c r="H223" s="1">
        <v>0</v>
      </c>
      <c r="I223" s="1" t="s">
        <v>272</v>
      </c>
      <c r="J223" s="1" t="s">
        <v>272</v>
      </c>
      <c r="K223" s="1" t="s">
        <v>272</v>
      </c>
      <c r="L223" s="1" t="s">
        <v>272</v>
      </c>
      <c r="M223" s="1" t="s">
        <v>272</v>
      </c>
      <c r="N223" s="1" t="s">
        <v>272</v>
      </c>
      <c r="O223" s="1" t="s">
        <v>272</v>
      </c>
      <c r="P223" s="1" t="s">
        <v>272</v>
      </c>
    </row>
    <row r="224" spans="1:16" ht="12.5">
      <c r="A224" s="1" t="s">
        <v>88</v>
      </c>
      <c r="B224" s="1">
        <v>2020</v>
      </c>
      <c r="C224" s="1">
        <v>11326.61621</v>
      </c>
      <c r="D224" s="1">
        <v>77.194000239999994</v>
      </c>
      <c r="E224" s="1">
        <v>97.002696159999999</v>
      </c>
      <c r="F224" s="1">
        <v>1.471384542</v>
      </c>
      <c r="G224" s="1">
        <v>1.252811506</v>
      </c>
      <c r="H224" s="1">
        <v>0.27310779629999998</v>
      </c>
      <c r="I224" s="1">
        <v>94.386651139999998</v>
      </c>
      <c r="J224" s="1">
        <v>2.591752445</v>
      </c>
      <c r="K224" s="1">
        <v>1.9059729350000001</v>
      </c>
      <c r="L224" s="1">
        <v>1.115623477</v>
      </c>
      <c r="M224" s="1">
        <v>97.775576639999997</v>
      </c>
      <c r="N224" s="1">
        <v>1.1403859000000001</v>
      </c>
      <c r="O224" s="1">
        <v>1.059840374</v>
      </c>
      <c r="P224" s="1">
        <v>2.4197084109999999E-2</v>
      </c>
    </row>
    <row r="225" spans="1:16" ht="12.5">
      <c r="A225" s="1" t="s">
        <v>206</v>
      </c>
      <c r="B225" s="1">
        <v>2020</v>
      </c>
      <c r="C225" s="1">
        <v>145934.45310000001</v>
      </c>
      <c r="D225" s="1">
        <v>74.754005430000007</v>
      </c>
      <c r="E225" s="1">
        <v>96.992548069999998</v>
      </c>
      <c r="F225" s="1">
        <v>0.62199637659999996</v>
      </c>
      <c r="G225" s="1">
        <v>2.3854555500000001</v>
      </c>
      <c r="H225" s="1" t="s">
        <v>272</v>
      </c>
      <c r="I225" s="1">
        <v>91.544101960000006</v>
      </c>
      <c r="J225" s="1">
        <v>1.5831635129999999</v>
      </c>
      <c r="K225" s="1">
        <v>6.8727345309999999</v>
      </c>
      <c r="L225" s="1" t="s">
        <v>272</v>
      </c>
      <c r="M225" s="1">
        <v>98.832599610000003</v>
      </c>
      <c r="N225" s="1">
        <v>0.29738996870000001</v>
      </c>
      <c r="O225" s="1">
        <v>0.67001042359999996</v>
      </c>
      <c r="P225" s="1">
        <v>0.2</v>
      </c>
    </row>
    <row r="226" spans="1:16" ht="12.5">
      <c r="A226" s="1" t="s">
        <v>214</v>
      </c>
      <c r="B226" s="1">
        <v>2020</v>
      </c>
      <c r="C226" s="1">
        <v>183.62899780000001</v>
      </c>
      <c r="D226" s="1">
        <v>18.8409996</v>
      </c>
      <c r="E226" s="1">
        <v>96.887844569999999</v>
      </c>
      <c r="F226" s="1">
        <v>1.815652166</v>
      </c>
      <c r="G226" s="1">
        <v>1.296503269</v>
      </c>
      <c r="H226" s="1">
        <v>0</v>
      </c>
      <c r="I226" s="1">
        <v>96.814023829999996</v>
      </c>
      <c r="J226" s="1">
        <v>1.7341522549999999</v>
      </c>
      <c r="K226" s="1">
        <v>1.4518239180000001</v>
      </c>
      <c r="L226" s="1">
        <v>0</v>
      </c>
      <c r="M226" s="1">
        <v>97.205822190000006</v>
      </c>
      <c r="N226" s="1">
        <v>2.166718886</v>
      </c>
      <c r="O226" s="1">
        <v>0.6274589237</v>
      </c>
      <c r="P226" s="1">
        <v>0</v>
      </c>
    </row>
    <row r="227" spans="1:16" ht="12.5">
      <c r="A227" s="1" t="s">
        <v>266</v>
      </c>
      <c r="B227" s="1">
        <v>2020</v>
      </c>
      <c r="C227" s="1">
        <v>97338.585940000004</v>
      </c>
      <c r="D227" s="1">
        <v>37.340000150000002</v>
      </c>
      <c r="E227" s="1">
        <v>96.884356870000005</v>
      </c>
      <c r="F227" s="1">
        <v>0</v>
      </c>
      <c r="G227" s="1">
        <v>3.1156431260000002</v>
      </c>
      <c r="H227" s="1">
        <v>0</v>
      </c>
      <c r="I227" s="1">
        <v>95.514538439999995</v>
      </c>
      <c r="J227" s="1">
        <v>0</v>
      </c>
      <c r="K227" s="1">
        <v>4.4854615600000001</v>
      </c>
      <c r="L227" s="1">
        <v>0</v>
      </c>
      <c r="M227" s="1">
        <v>99.183040009999999</v>
      </c>
      <c r="N227" s="1">
        <v>0</v>
      </c>
      <c r="O227" s="1">
        <v>0.81695998700000005</v>
      </c>
      <c r="P227" s="1">
        <v>0</v>
      </c>
    </row>
    <row r="228" spans="1:16" ht="12.5">
      <c r="A228" s="1" t="s">
        <v>224</v>
      </c>
      <c r="B228" s="1">
        <v>2019</v>
      </c>
      <c r="C228" s="1">
        <v>97.740997309999997</v>
      </c>
      <c r="D228" s="1">
        <v>57.119003300000003</v>
      </c>
      <c r="E228" s="1">
        <v>96.851746890000001</v>
      </c>
      <c r="F228" s="1">
        <v>0</v>
      </c>
      <c r="G228" s="1">
        <v>3.1482531090000001</v>
      </c>
      <c r="H228" s="1" t="s">
        <v>272</v>
      </c>
      <c r="I228" s="1" t="s">
        <v>272</v>
      </c>
      <c r="J228" s="1" t="s">
        <v>272</v>
      </c>
      <c r="K228" s="1" t="s">
        <v>272</v>
      </c>
      <c r="L228" s="1" t="s">
        <v>272</v>
      </c>
      <c r="M228" s="1" t="s">
        <v>272</v>
      </c>
      <c r="N228" s="1" t="s">
        <v>272</v>
      </c>
      <c r="O228" s="1" t="s">
        <v>272</v>
      </c>
      <c r="P228" s="1" t="s">
        <v>272</v>
      </c>
    </row>
    <row r="229" spans="1:16" ht="12.5">
      <c r="A229" s="1" t="s">
        <v>167</v>
      </c>
      <c r="B229" s="1">
        <v>2015</v>
      </c>
      <c r="C229" s="1">
        <v>240.01100159999999</v>
      </c>
      <c r="D229" s="1">
        <v>46.989002229999997</v>
      </c>
      <c r="E229" s="1">
        <v>96.837811279999997</v>
      </c>
      <c r="F229" s="1">
        <v>0</v>
      </c>
      <c r="G229" s="1">
        <v>0.28201846689999999</v>
      </c>
      <c r="H229" s="1">
        <v>2.880170256</v>
      </c>
      <c r="I229" s="1" t="s">
        <v>272</v>
      </c>
      <c r="J229" s="1" t="s">
        <v>272</v>
      </c>
      <c r="K229" s="1" t="s">
        <v>272</v>
      </c>
      <c r="L229" s="1" t="s">
        <v>272</v>
      </c>
      <c r="M229" s="1" t="s">
        <v>272</v>
      </c>
      <c r="N229" s="1" t="s">
        <v>272</v>
      </c>
      <c r="O229" s="1" t="s">
        <v>272</v>
      </c>
      <c r="P229" s="1" t="s">
        <v>272</v>
      </c>
    </row>
    <row r="230" spans="1:16" ht="12.5">
      <c r="A230" s="1" t="s">
        <v>195</v>
      </c>
      <c r="B230" s="1">
        <v>2015</v>
      </c>
      <c r="C230" s="1">
        <v>6688.7460940000001</v>
      </c>
      <c r="D230" s="1">
        <v>60.75</v>
      </c>
      <c r="E230" s="1">
        <v>96.836214530000007</v>
      </c>
      <c r="F230" s="1">
        <v>0.32842400300000002</v>
      </c>
      <c r="G230" s="1">
        <v>2.7567681990000001</v>
      </c>
      <c r="H230" s="1">
        <v>7.8593266980000007E-2</v>
      </c>
      <c r="I230" s="1">
        <v>93.344700290000006</v>
      </c>
      <c r="J230" s="1">
        <v>0.69766643969999997</v>
      </c>
      <c r="K230" s="1">
        <v>5.757395646</v>
      </c>
      <c r="L230" s="1">
        <v>0.20023762880000001</v>
      </c>
      <c r="M230" s="1">
        <v>99.092048730000002</v>
      </c>
      <c r="N230" s="1">
        <v>8.9859971169999997E-2</v>
      </c>
      <c r="O230" s="1">
        <v>0.81809130100000005</v>
      </c>
      <c r="P230" s="1">
        <v>0</v>
      </c>
    </row>
    <row r="231" spans="1:16" ht="12.5">
      <c r="A231" s="1" t="s">
        <v>134</v>
      </c>
      <c r="B231" s="1">
        <v>2015</v>
      </c>
      <c r="C231" s="1">
        <v>78492.210940000004</v>
      </c>
      <c r="D231" s="1">
        <v>73.358001709999996</v>
      </c>
      <c r="E231" s="1">
        <v>96.806987079999999</v>
      </c>
      <c r="F231" s="1">
        <v>1.9948915730000001</v>
      </c>
      <c r="G231" s="1">
        <v>1.126061081</v>
      </c>
      <c r="H231" s="1">
        <v>7.2060265609999993E-2</v>
      </c>
      <c r="I231" s="1">
        <v>92.162502649999993</v>
      </c>
      <c r="J231" s="1">
        <v>4.221624781</v>
      </c>
      <c r="K231" s="1">
        <v>3.3453963830000002</v>
      </c>
      <c r="L231" s="1">
        <v>0.27047619049999999</v>
      </c>
      <c r="M231" s="1">
        <v>98.493760870000003</v>
      </c>
      <c r="N231" s="1">
        <v>1.186191432</v>
      </c>
      <c r="O231" s="1">
        <v>0.3200476961</v>
      </c>
      <c r="P231" s="1">
        <v>0</v>
      </c>
    </row>
    <row r="232" spans="1:16" ht="12.5">
      <c r="A232" s="1" t="s">
        <v>32</v>
      </c>
      <c r="B232" s="1">
        <v>2015</v>
      </c>
      <c r="C232" s="1">
        <v>93.570999150000006</v>
      </c>
      <c r="D232" s="1">
        <v>25</v>
      </c>
      <c r="E232" s="1">
        <v>96.739186279999998</v>
      </c>
      <c r="F232" s="1">
        <v>0</v>
      </c>
      <c r="G232" s="1">
        <v>3.1663476099999999</v>
      </c>
      <c r="H232" s="1">
        <v>9.4466114089999997E-2</v>
      </c>
      <c r="I232" s="1" t="s">
        <v>272</v>
      </c>
      <c r="J232" s="1" t="s">
        <v>272</v>
      </c>
      <c r="K232" s="1" t="s">
        <v>272</v>
      </c>
      <c r="L232" s="1" t="s">
        <v>272</v>
      </c>
      <c r="M232" s="1" t="s">
        <v>272</v>
      </c>
      <c r="N232" s="1" t="s">
        <v>272</v>
      </c>
      <c r="O232" s="1" t="s">
        <v>272</v>
      </c>
      <c r="P232" s="1" t="s">
        <v>272</v>
      </c>
    </row>
    <row r="233" spans="1:16" ht="12.5">
      <c r="A233" s="1" t="s">
        <v>32</v>
      </c>
      <c r="B233" s="1">
        <v>2017</v>
      </c>
      <c r="C233" s="1">
        <v>95.425003050000001</v>
      </c>
      <c r="D233" s="1">
        <v>24.713001250000001</v>
      </c>
      <c r="E233" s="1">
        <v>96.739186279999998</v>
      </c>
      <c r="F233" s="1">
        <v>0</v>
      </c>
      <c r="G233" s="1">
        <v>3.1663476099999999</v>
      </c>
      <c r="H233" s="1">
        <v>9.4466114089999997E-2</v>
      </c>
      <c r="I233" s="1" t="s">
        <v>272</v>
      </c>
      <c r="J233" s="1" t="s">
        <v>272</v>
      </c>
      <c r="K233" s="1" t="s">
        <v>272</v>
      </c>
      <c r="L233" s="1" t="s">
        <v>272</v>
      </c>
      <c r="M233" s="1" t="s">
        <v>272</v>
      </c>
      <c r="N233" s="1" t="s">
        <v>272</v>
      </c>
      <c r="O233" s="1" t="s">
        <v>272</v>
      </c>
      <c r="P233" s="1" t="s">
        <v>272</v>
      </c>
    </row>
    <row r="234" spans="1:16" ht="12.5">
      <c r="A234" s="1" t="s">
        <v>97</v>
      </c>
      <c r="B234" s="1">
        <v>2020</v>
      </c>
      <c r="C234" s="1">
        <v>10847.9043</v>
      </c>
      <c r="D234" s="1">
        <v>82.540000919999997</v>
      </c>
      <c r="E234" s="1">
        <v>96.686811919999997</v>
      </c>
      <c r="F234" s="1">
        <v>0.46703865039999998</v>
      </c>
      <c r="G234" s="1">
        <v>1.2694287829999999</v>
      </c>
      <c r="H234" s="1">
        <v>1.5767206439999999</v>
      </c>
      <c r="I234" s="1">
        <v>90.304464370000005</v>
      </c>
      <c r="J234" s="1">
        <v>1.3853155079999999</v>
      </c>
      <c r="K234" s="1">
        <v>1.1151181269999999</v>
      </c>
      <c r="L234" s="1">
        <v>7.1951019909999996</v>
      </c>
      <c r="M234" s="1">
        <v>98.036891580000002</v>
      </c>
      <c r="N234" s="1">
        <v>0.27279203590000001</v>
      </c>
      <c r="O234" s="1">
        <v>1.3020733959999999</v>
      </c>
      <c r="P234" s="1">
        <v>0.38824299220000003</v>
      </c>
    </row>
    <row r="235" spans="1:16" ht="12.5">
      <c r="A235" s="1" t="s">
        <v>155</v>
      </c>
      <c r="B235" s="1">
        <v>2015</v>
      </c>
      <c r="C235" s="1">
        <v>2931.8720699999999</v>
      </c>
      <c r="D235" s="1">
        <v>67.229995729999999</v>
      </c>
      <c r="E235" s="1">
        <v>96.604138579999997</v>
      </c>
      <c r="F235" s="1">
        <v>0</v>
      </c>
      <c r="G235" s="1">
        <v>3.3958614219999999</v>
      </c>
      <c r="H235" s="1">
        <v>0</v>
      </c>
      <c r="I235" s="1">
        <v>90.718484410000002</v>
      </c>
      <c r="J235" s="1">
        <v>0</v>
      </c>
      <c r="K235" s="1">
        <v>9.2815155889999996</v>
      </c>
      <c r="L235" s="1">
        <v>0</v>
      </c>
      <c r="M235" s="1">
        <v>99.472990350000003</v>
      </c>
      <c r="N235" s="1">
        <v>0</v>
      </c>
      <c r="O235" s="1">
        <v>0.5270096501</v>
      </c>
      <c r="P235" s="1">
        <v>0</v>
      </c>
    </row>
    <row r="236" spans="1:16" ht="12.5">
      <c r="A236" s="1" t="s">
        <v>52</v>
      </c>
      <c r="B236" s="1">
        <v>2020</v>
      </c>
      <c r="C236" s="1">
        <v>9449.3212889999995</v>
      </c>
      <c r="D236" s="1">
        <v>79.483001709999996</v>
      </c>
      <c r="E236" s="1">
        <v>96.534726079999999</v>
      </c>
      <c r="F236" s="1">
        <v>3.3721195499999999</v>
      </c>
      <c r="G236" s="1">
        <v>9.3154368370000004E-2</v>
      </c>
      <c r="H236" s="1">
        <v>0</v>
      </c>
      <c r="I236" s="1">
        <v>98.564122310000002</v>
      </c>
      <c r="J236" s="1">
        <v>0.9955971951</v>
      </c>
      <c r="K236" s="1">
        <v>0.4402804931</v>
      </c>
      <c r="L236" s="1">
        <v>0</v>
      </c>
      <c r="M236" s="1">
        <v>96.010873619999998</v>
      </c>
      <c r="N236" s="1">
        <v>3.9855726439999999</v>
      </c>
      <c r="O236" s="1">
        <v>3.5537319770000001E-3</v>
      </c>
      <c r="P236" s="1">
        <v>0</v>
      </c>
    </row>
    <row r="237" spans="1:16" ht="12.5">
      <c r="A237" s="1" t="s">
        <v>206</v>
      </c>
      <c r="B237" s="1">
        <v>2015</v>
      </c>
      <c r="C237" s="1">
        <v>144985.0625</v>
      </c>
      <c r="D237" s="1">
        <v>74.049995420000002</v>
      </c>
      <c r="E237" s="1">
        <v>96.527155429999993</v>
      </c>
      <c r="F237" s="1">
        <v>0.62448653440000002</v>
      </c>
      <c r="G237" s="1">
        <v>2.848358036</v>
      </c>
      <c r="H237" s="1" t="s">
        <v>272</v>
      </c>
      <c r="I237" s="1">
        <v>90.110109010000002</v>
      </c>
      <c r="J237" s="1">
        <v>1.558364042</v>
      </c>
      <c r="K237" s="1">
        <v>8.3315269460000003</v>
      </c>
      <c r="L237" s="1" t="s">
        <v>272</v>
      </c>
      <c r="M237" s="1">
        <v>98.775934890000002</v>
      </c>
      <c r="N237" s="1">
        <v>0.29721946310000003</v>
      </c>
      <c r="O237" s="1">
        <v>0.72684564200000001</v>
      </c>
      <c r="P237" s="1">
        <v>0.2</v>
      </c>
    </row>
    <row r="238" spans="1:16" ht="12.5">
      <c r="A238" s="1" t="s">
        <v>52</v>
      </c>
      <c r="B238" s="1">
        <v>2015</v>
      </c>
      <c r="C238" s="1">
        <v>9439.4238280000009</v>
      </c>
      <c r="D238" s="1">
        <v>77.180999760000006</v>
      </c>
      <c r="E238" s="1">
        <v>96.477067090000006</v>
      </c>
      <c r="F238" s="1">
        <v>3.3001301079999998</v>
      </c>
      <c r="G238" s="1">
        <v>0.22280279950000001</v>
      </c>
      <c r="H238" s="1">
        <v>0</v>
      </c>
      <c r="I238" s="1">
        <v>98.330671600000002</v>
      </c>
      <c r="J238" s="1">
        <v>0.99323910709999996</v>
      </c>
      <c r="K238" s="1">
        <v>0.67608928950000002</v>
      </c>
      <c r="L238" s="1">
        <v>0</v>
      </c>
      <c r="M238" s="1">
        <v>95.92903518</v>
      </c>
      <c r="N238" s="1">
        <v>3.9821753929999999</v>
      </c>
      <c r="O238" s="1">
        <v>8.8789423830000005E-2</v>
      </c>
      <c r="P238" s="1">
        <v>0</v>
      </c>
    </row>
    <row r="239" spans="1:16" ht="12.5">
      <c r="A239" s="1" t="s">
        <v>268</v>
      </c>
      <c r="B239" s="1">
        <v>2015</v>
      </c>
      <c r="C239" s="1">
        <v>4529.1601559999999</v>
      </c>
      <c r="D239" s="1">
        <v>75.367996219999995</v>
      </c>
      <c r="E239" s="1">
        <v>96.379856709999999</v>
      </c>
      <c r="F239" s="1">
        <v>0.58753466440000002</v>
      </c>
      <c r="G239" s="1">
        <v>3.0326086220000001</v>
      </c>
      <c r="H239" s="1" t="s">
        <v>272</v>
      </c>
      <c r="I239" s="1">
        <v>95.381142350000005</v>
      </c>
      <c r="J239" s="1">
        <v>0.99273120920000002</v>
      </c>
      <c r="K239" s="1">
        <v>3.6261264409999998</v>
      </c>
      <c r="L239" s="1" t="s">
        <v>272</v>
      </c>
      <c r="M239" s="1">
        <v>96.706259619999997</v>
      </c>
      <c r="N239" s="1">
        <v>0.45510708030000002</v>
      </c>
      <c r="O239" s="1">
        <v>2.838633298</v>
      </c>
      <c r="P239" s="1" t="s">
        <v>272</v>
      </c>
    </row>
    <row r="240" spans="1:16" ht="12.5">
      <c r="A240" s="1" t="s">
        <v>167</v>
      </c>
      <c r="B240" s="1">
        <v>2020</v>
      </c>
      <c r="C240" s="1">
        <v>272.81298829999997</v>
      </c>
      <c r="D240" s="1">
        <v>45.750999450000002</v>
      </c>
      <c r="E240" s="1">
        <v>96.371179710000007</v>
      </c>
      <c r="F240" s="1">
        <v>0</v>
      </c>
      <c r="G240" s="1">
        <v>3.6288202950000001</v>
      </c>
      <c r="H240" s="1" t="s">
        <v>272</v>
      </c>
      <c r="I240" s="1" t="s">
        <v>272</v>
      </c>
      <c r="J240" s="1" t="s">
        <v>272</v>
      </c>
      <c r="K240" s="1" t="s">
        <v>272</v>
      </c>
      <c r="L240" s="1" t="s">
        <v>272</v>
      </c>
      <c r="M240" s="1" t="s">
        <v>272</v>
      </c>
      <c r="N240" s="1" t="s">
        <v>272</v>
      </c>
      <c r="O240" s="1" t="s">
        <v>272</v>
      </c>
      <c r="P240" s="1" t="s">
        <v>272</v>
      </c>
    </row>
    <row r="241" spans="1:16" ht="12.5">
      <c r="A241" s="1" t="s">
        <v>81</v>
      </c>
      <c r="B241" s="1">
        <v>2015</v>
      </c>
      <c r="C241" s="1">
        <v>47520.667970000002</v>
      </c>
      <c r="D241" s="1">
        <v>79.763999940000005</v>
      </c>
      <c r="E241" s="1">
        <v>96.335868120000001</v>
      </c>
      <c r="F241" s="1">
        <v>0.1840519904</v>
      </c>
      <c r="G241" s="1">
        <v>1.7034450619999999</v>
      </c>
      <c r="H241" s="1">
        <v>1.7766348270000001</v>
      </c>
      <c r="I241" s="1">
        <v>83.273725850000005</v>
      </c>
      <c r="J241" s="1">
        <v>0.68766562610000004</v>
      </c>
      <c r="K241" s="1">
        <v>7.2590323550000004</v>
      </c>
      <c r="L241" s="1">
        <v>8.7795761720000005</v>
      </c>
      <c r="M241" s="1">
        <v>99.649712370000003</v>
      </c>
      <c r="N241" s="1">
        <v>5.6286030219999998E-2</v>
      </c>
      <c r="O241" s="1">
        <v>0.29400160289999999</v>
      </c>
      <c r="P241" s="1">
        <v>0</v>
      </c>
    </row>
    <row r="242" spans="1:16" ht="12.5">
      <c r="A242" s="1" t="s">
        <v>250</v>
      </c>
      <c r="B242" s="1">
        <v>2015</v>
      </c>
      <c r="C242" s="1">
        <v>78529.414059999996</v>
      </c>
      <c r="D242" s="1">
        <v>73.611000059999995</v>
      </c>
      <c r="E242" s="1">
        <v>96.256159120000007</v>
      </c>
      <c r="F242" s="1">
        <v>2.0267476019999999</v>
      </c>
      <c r="G242" s="1">
        <v>1.5188707130000001</v>
      </c>
      <c r="H242" s="1">
        <v>0.1982225671</v>
      </c>
      <c r="I242" s="1">
        <v>94.203882989999997</v>
      </c>
      <c r="J242" s="1">
        <v>2.6336569440000002</v>
      </c>
      <c r="K242" s="1">
        <v>2.7404600640000001</v>
      </c>
      <c r="L242" s="1">
        <v>0.42199999999999999</v>
      </c>
      <c r="M242" s="1">
        <v>96.99188504</v>
      </c>
      <c r="N242" s="1">
        <v>1.8091750579999999</v>
      </c>
      <c r="O242" s="1">
        <v>1.080939898</v>
      </c>
      <c r="P242" s="1">
        <v>0.11799999999999999</v>
      </c>
    </row>
    <row r="243" spans="1:16" ht="12.5">
      <c r="A243" s="1" t="s">
        <v>224</v>
      </c>
      <c r="B243" s="1">
        <v>2015</v>
      </c>
      <c r="C243" s="1">
        <v>94.981002810000007</v>
      </c>
      <c r="D243" s="1">
        <v>55.400001529999997</v>
      </c>
      <c r="E243" s="1">
        <v>96.250891499999994</v>
      </c>
      <c r="F243" s="1">
        <v>0</v>
      </c>
      <c r="G243" s="1">
        <v>0</v>
      </c>
      <c r="H243" s="1">
        <v>3.7491085019999999</v>
      </c>
      <c r="I243" s="1" t="s">
        <v>272</v>
      </c>
      <c r="J243" s="1" t="s">
        <v>272</v>
      </c>
      <c r="K243" s="1" t="s">
        <v>272</v>
      </c>
      <c r="L243" s="1" t="s">
        <v>272</v>
      </c>
      <c r="M243" s="1" t="s">
        <v>272</v>
      </c>
      <c r="N243" s="1" t="s">
        <v>272</v>
      </c>
      <c r="O243" s="1" t="s">
        <v>272</v>
      </c>
      <c r="P243" s="1" t="s">
        <v>272</v>
      </c>
    </row>
    <row r="244" spans="1:16" ht="12.5">
      <c r="A244" s="1" t="s">
        <v>59</v>
      </c>
      <c r="B244" s="1">
        <v>2015</v>
      </c>
      <c r="C244" s="1">
        <v>727.88500980000003</v>
      </c>
      <c r="D244" s="1">
        <v>38.678001399999999</v>
      </c>
      <c r="E244" s="1">
        <v>96.221422590000003</v>
      </c>
      <c r="F244" s="1">
        <v>2.496596292</v>
      </c>
      <c r="G244" s="1">
        <v>0.29618737509999998</v>
      </c>
      <c r="H244" s="1">
        <v>0.98579373770000001</v>
      </c>
      <c r="I244" s="1">
        <v>95.164362949999997</v>
      </c>
      <c r="J244" s="1">
        <v>3.215858941</v>
      </c>
      <c r="K244" s="1">
        <v>0.1935987005</v>
      </c>
      <c r="L244" s="1">
        <v>1.4261794109999999</v>
      </c>
      <c r="M244" s="1">
        <v>97.897336780000003</v>
      </c>
      <c r="N244" s="1">
        <v>1.3562420319999999</v>
      </c>
      <c r="O244" s="1">
        <v>0.45883648849999997</v>
      </c>
      <c r="P244" s="1">
        <v>0.28758470349999998</v>
      </c>
    </row>
    <row r="245" spans="1:16" ht="12.5">
      <c r="A245" s="1" t="s">
        <v>61</v>
      </c>
      <c r="B245" s="1">
        <v>2015</v>
      </c>
      <c r="C245" s="1">
        <v>3429.3620609999998</v>
      </c>
      <c r="D245" s="1">
        <v>47.172996519999998</v>
      </c>
      <c r="E245" s="1">
        <v>96.159844179999993</v>
      </c>
      <c r="F245" s="1">
        <v>3.780069975</v>
      </c>
      <c r="G245" s="1">
        <v>6.0085848570000003E-2</v>
      </c>
      <c r="H245" s="1">
        <v>0</v>
      </c>
      <c r="I245" s="1">
        <v>97.333333330000002</v>
      </c>
      <c r="J245" s="1">
        <v>2.6666666669999999</v>
      </c>
      <c r="K245" s="1">
        <v>0</v>
      </c>
      <c r="L245" s="1">
        <v>0</v>
      </c>
      <c r="M245" s="1">
        <v>94.845704400000002</v>
      </c>
      <c r="N245" s="1">
        <v>5.0269222060000001</v>
      </c>
      <c r="O245" s="1">
        <v>0.12737339280000001</v>
      </c>
      <c r="P245" s="1">
        <v>0</v>
      </c>
    </row>
    <row r="246" spans="1:16" ht="12.5">
      <c r="A246" s="1" t="s">
        <v>73</v>
      </c>
      <c r="B246" s="1">
        <v>2015</v>
      </c>
      <c r="C246" s="1">
        <v>61.721000670000002</v>
      </c>
      <c r="D246" s="1">
        <v>100</v>
      </c>
      <c r="E246" s="1">
        <v>96.125</v>
      </c>
      <c r="F246" s="1">
        <v>0</v>
      </c>
      <c r="G246" s="1">
        <v>3.875</v>
      </c>
      <c r="H246" s="1">
        <v>0</v>
      </c>
      <c r="I246" s="1" t="s">
        <v>272</v>
      </c>
      <c r="J246" s="1" t="s">
        <v>272</v>
      </c>
      <c r="K246" s="1" t="s">
        <v>272</v>
      </c>
      <c r="L246" s="1" t="s">
        <v>272</v>
      </c>
      <c r="M246" s="1">
        <v>96.125</v>
      </c>
      <c r="N246" s="1">
        <v>0</v>
      </c>
      <c r="O246" s="1">
        <v>3.875</v>
      </c>
      <c r="P246" s="1">
        <v>0</v>
      </c>
    </row>
    <row r="247" spans="1:16" ht="12.5">
      <c r="A247" s="1" t="s">
        <v>73</v>
      </c>
      <c r="B247" s="1">
        <v>2016</v>
      </c>
      <c r="C247" s="1">
        <v>62.563999180000003</v>
      </c>
      <c r="D247" s="1">
        <v>100</v>
      </c>
      <c r="E247" s="1">
        <v>96.125</v>
      </c>
      <c r="F247" s="1">
        <v>0</v>
      </c>
      <c r="G247" s="1">
        <v>3.875</v>
      </c>
      <c r="H247" s="1">
        <v>0</v>
      </c>
      <c r="I247" s="1" t="s">
        <v>272</v>
      </c>
      <c r="J247" s="1" t="s">
        <v>272</v>
      </c>
      <c r="K247" s="1" t="s">
        <v>272</v>
      </c>
      <c r="L247" s="1" t="s">
        <v>272</v>
      </c>
      <c r="M247" s="1">
        <v>96.125</v>
      </c>
      <c r="N247" s="1">
        <v>0</v>
      </c>
      <c r="O247" s="1">
        <v>3.875</v>
      </c>
      <c r="P247" s="1">
        <v>0</v>
      </c>
    </row>
    <row r="248" spans="1:16" ht="12.5">
      <c r="A248" s="1" t="s">
        <v>61</v>
      </c>
      <c r="B248" s="1">
        <v>2020</v>
      </c>
      <c r="C248" s="1">
        <v>3280.8149410000001</v>
      </c>
      <c r="D248" s="1">
        <v>49.020000459999999</v>
      </c>
      <c r="E248" s="1">
        <v>96.113897620000003</v>
      </c>
      <c r="F248" s="1">
        <v>3.8236639380000002</v>
      </c>
      <c r="G248" s="1">
        <v>6.2438437520000001E-2</v>
      </c>
      <c r="H248" s="1">
        <v>0</v>
      </c>
      <c r="I248" s="1">
        <v>97.333333330000002</v>
      </c>
      <c r="J248" s="1">
        <v>2.6666666669999999</v>
      </c>
      <c r="K248" s="1">
        <v>0</v>
      </c>
      <c r="L248" s="1">
        <v>0</v>
      </c>
      <c r="M248" s="1">
        <v>94.845704400000002</v>
      </c>
      <c r="N248" s="1">
        <v>5.0269222060000001</v>
      </c>
      <c r="O248" s="1">
        <v>0.12737339280000001</v>
      </c>
      <c r="P248" s="1">
        <v>0</v>
      </c>
    </row>
    <row r="249" spans="1:16" ht="12.5">
      <c r="A249" s="1" t="s">
        <v>97</v>
      </c>
      <c r="B249" s="1">
        <v>2015</v>
      </c>
      <c r="C249" s="1">
        <v>10281.674800000001</v>
      </c>
      <c r="D249" s="1">
        <v>78.566001889999995</v>
      </c>
      <c r="E249" s="1">
        <v>96.099338500000002</v>
      </c>
      <c r="F249" s="1">
        <v>0.69521221550000001</v>
      </c>
      <c r="G249" s="1">
        <v>1.5505944979999999</v>
      </c>
      <c r="H249" s="1">
        <v>1.654854791</v>
      </c>
      <c r="I249" s="1">
        <v>89.211043779999997</v>
      </c>
      <c r="J249" s="1">
        <v>1.8228771610000001</v>
      </c>
      <c r="K249" s="1">
        <v>2.4418886230000001</v>
      </c>
      <c r="L249" s="1">
        <v>6.5241904399999999</v>
      </c>
      <c r="M249" s="1">
        <v>97.978569809999996</v>
      </c>
      <c r="N249" s="1">
        <v>0.3875681084</v>
      </c>
      <c r="O249" s="1">
        <v>1.3074359369999999</v>
      </c>
      <c r="P249" s="1">
        <v>0.32642614349999999</v>
      </c>
    </row>
    <row r="250" spans="1:16" ht="12.5">
      <c r="A250" s="1" t="s">
        <v>42</v>
      </c>
      <c r="B250" s="1">
        <v>2020</v>
      </c>
      <c r="C250" s="1">
        <v>10139.174800000001</v>
      </c>
      <c r="D250" s="1">
        <v>56.397003169999998</v>
      </c>
      <c r="E250" s="1">
        <v>96.043376129999999</v>
      </c>
      <c r="F250" s="1">
        <v>1.04278118</v>
      </c>
      <c r="G250" s="1">
        <v>2.9138426879999999</v>
      </c>
      <c r="H250" s="1">
        <v>0</v>
      </c>
      <c r="I250" s="1">
        <v>90.925797950000003</v>
      </c>
      <c r="J250" s="1">
        <v>2.3915356710000002</v>
      </c>
      <c r="K250" s="1">
        <v>6.6826663770000003</v>
      </c>
      <c r="L250" s="1">
        <v>0</v>
      </c>
      <c r="M250" s="1">
        <v>100</v>
      </c>
      <c r="N250" s="1">
        <v>0</v>
      </c>
      <c r="O250" s="1">
        <v>0</v>
      </c>
      <c r="P250" s="1">
        <v>0</v>
      </c>
    </row>
    <row r="251" spans="1:16" ht="12.5">
      <c r="A251" s="1" t="s">
        <v>88</v>
      </c>
      <c r="B251" s="1">
        <v>2015</v>
      </c>
      <c r="C251" s="1">
        <v>11324.777340000001</v>
      </c>
      <c r="D251" s="1">
        <v>76.896003719999996</v>
      </c>
      <c r="E251" s="1">
        <v>95.871796470000007</v>
      </c>
      <c r="F251" s="1">
        <v>1.7502537890000001</v>
      </c>
      <c r="G251" s="1">
        <v>1.99464</v>
      </c>
      <c r="H251" s="1">
        <v>0.38330973619999997</v>
      </c>
      <c r="I251" s="1">
        <v>90.445060659999996</v>
      </c>
      <c r="J251" s="1">
        <v>3.3621971309999998</v>
      </c>
      <c r="K251" s="1">
        <v>4.747322467</v>
      </c>
      <c r="L251" s="1">
        <v>1.445419738</v>
      </c>
      <c r="M251" s="1">
        <v>97.502301369999998</v>
      </c>
      <c r="N251" s="1">
        <v>1.2659328999999999</v>
      </c>
      <c r="O251" s="1">
        <v>1.167575187</v>
      </c>
      <c r="P251" s="1">
        <v>6.4190542059999994E-2</v>
      </c>
    </row>
    <row r="252" spans="1:16" ht="12.5">
      <c r="A252" s="1" t="s">
        <v>115</v>
      </c>
      <c r="B252" s="1">
        <v>2015</v>
      </c>
      <c r="C252" s="1">
        <v>4024.179932</v>
      </c>
      <c r="D252" s="1">
        <v>57.447998050000002</v>
      </c>
      <c r="E252" s="1">
        <v>95.754729510000004</v>
      </c>
      <c r="F252" s="1">
        <v>0.95196455830000004</v>
      </c>
      <c r="G252" s="1">
        <v>3.2398949309999998</v>
      </c>
      <c r="H252" s="1">
        <v>5.3410995400000001E-2</v>
      </c>
      <c r="I252" s="1">
        <v>91.295150590000006</v>
      </c>
      <c r="J252" s="1">
        <v>1.893756292</v>
      </c>
      <c r="K252" s="1">
        <v>6.7002163880000003</v>
      </c>
      <c r="L252" s="1">
        <v>0.1108767321</v>
      </c>
      <c r="M252" s="1">
        <v>99.057965449999998</v>
      </c>
      <c r="N252" s="1">
        <v>0.25437508559999999</v>
      </c>
      <c r="O252" s="1">
        <v>0.67681360540000002</v>
      </c>
      <c r="P252" s="1">
        <v>1.084585945E-2</v>
      </c>
    </row>
    <row r="253" spans="1:16" ht="12.5">
      <c r="A253" s="1" t="s">
        <v>238</v>
      </c>
      <c r="B253" s="1">
        <v>2015</v>
      </c>
      <c r="C253" s="1">
        <v>559.13598630000001</v>
      </c>
      <c r="D253" s="1">
        <v>66.055999760000006</v>
      </c>
      <c r="E253" s="1">
        <v>95.747692169999993</v>
      </c>
      <c r="F253" s="1">
        <v>0.88280139830000004</v>
      </c>
      <c r="G253" s="1">
        <v>1.0138349760000001</v>
      </c>
      <c r="H253" s="1">
        <v>2.3556714599999999</v>
      </c>
      <c r="I253" s="1">
        <v>90.57961632</v>
      </c>
      <c r="J253" s="1">
        <v>1.2850321419999999</v>
      </c>
      <c r="K253" s="1">
        <v>1.200506574</v>
      </c>
      <c r="L253" s="1">
        <v>6.9348449649999999</v>
      </c>
      <c r="M253" s="1">
        <v>98.403399699999994</v>
      </c>
      <c r="N253" s="1">
        <v>0.67610833329999998</v>
      </c>
      <c r="O253" s="1">
        <v>0.91790651420000002</v>
      </c>
      <c r="P253" s="1">
        <v>2.585454545E-3</v>
      </c>
    </row>
    <row r="254" spans="1:16" ht="12.5">
      <c r="A254" s="1" t="s">
        <v>129</v>
      </c>
      <c r="B254" s="1">
        <v>2020</v>
      </c>
      <c r="C254" s="1">
        <v>9904.6083980000003</v>
      </c>
      <c r="D254" s="1">
        <v>58.358997340000002</v>
      </c>
      <c r="E254" s="1">
        <v>95.689221130000007</v>
      </c>
      <c r="F254" s="1">
        <v>0.4256206085</v>
      </c>
      <c r="G254" s="1">
        <v>3.8851582640000002</v>
      </c>
      <c r="H254" s="1">
        <v>0</v>
      </c>
      <c r="I254" s="1">
        <v>89.875799549999996</v>
      </c>
      <c r="J254" s="1">
        <v>0.80670950789999996</v>
      </c>
      <c r="K254" s="1">
        <v>9.3174909459999995</v>
      </c>
      <c r="L254" s="1">
        <v>0</v>
      </c>
      <c r="M254" s="1">
        <v>99.837282810000005</v>
      </c>
      <c r="N254" s="1">
        <v>0.15370152619999999</v>
      </c>
      <c r="O254" s="1">
        <v>9.0156632960000007E-3</v>
      </c>
      <c r="P254" s="1">
        <v>0</v>
      </c>
    </row>
    <row r="255" spans="1:16" ht="12.5">
      <c r="A255" s="1" t="s">
        <v>121</v>
      </c>
      <c r="B255" s="1">
        <v>2015</v>
      </c>
      <c r="C255" s="1">
        <v>109.6029968</v>
      </c>
      <c r="D255" s="1">
        <v>35.997001650000001</v>
      </c>
      <c r="E255" s="1">
        <v>95.628650440000001</v>
      </c>
      <c r="F255" s="1">
        <v>1.1614815839999999</v>
      </c>
      <c r="G255" s="1">
        <v>0</v>
      </c>
      <c r="H255" s="1">
        <v>3.2098679720000001</v>
      </c>
      <c r="I255" s="1" t="s">
        <v>272</v>
      </c>
      <c r="J255" s="1" t="s">
        <v>272</v>
      </c>
      <c r="K255" s="1" t="s">
        <v>272</v>
      </c>
      <c r="L255" s="1" t="s">
        <v>272</v>
      </c>
      <c r="M255" s="1" t="s">
        <v>272</v>
      </c>
      <c r="N255" s="1" t="s">
        <v>272</v>
      </c>
      <c r="O255" s="1" t="s">
        <v>272</v>
      </c>
      <c r="P255" s="1" t="s">
        <v>272</v>
      </c>
    </row>
    <row r="256" spans="1:16" ht="12.5">
      <c r="A256" s="1" t="s">
        <v>121</v>
      </c>
      <c r="B256" s="1">
        <v>2017</v>
      </c>
      <c r="C256" s="1">
        <v>110.87400049999999</v>
      </c>
      <c r="D256" s="1">
        <v>36.164001460000001</v>
      </c>
      <c r="E256" s="1">
        <v>95.628650440000001</v>
      </c>
      <c r="F256" s="1">
        <v>1.1614815839999999</v>
      </c>
      <c r="G256" s="1">
        <v>0</v>
      </c>
      <c r="H256" s="1">
        <v>3.2098679720000001</v>
      </c>
      <c r="I256" s="1" t="s">
        <v>272</v>
      </c>
      <c r="J256" s="1" t="s">
        <v>272</v>
      </c>
      <c r="K256" s="1" t="s">
        <v>272</v>
      </c>
      <c r="L256" s="1" t="s">
        <v>272</v>
      </c>
      <c r="M256" s="1" t="s">
        <v>272</v>
      </c>
      <c r="N256" s="1" t="s">
        <v>272</v>
      </c>
      <c r="O256" s="1" t="s">
        <v>272</v>
      </c>
      <c r="P256" s="1" t="s">
        <v>272</v>
      </c>
    </row>
    <row r="257" spans="1:16" ht="12.5">
      <c r="A257" s="1" t="s">
        <v>214</v>
      </c>
      <c r="B257" s="1">
        <v>2015</v>
      </c>
      <c r="C257" s="1">
        <v>179.1309967</v>
      </c>
      <c r="D257" s="1">
        <v>18.51499939</v>
      </c>
      <c r="E257" s="1">
        <v>95.568094279999997</v>
      </c>
      <c r="F257" s="1">
        <v>1.790210415</v>
      </c>
      <c r="G257" s="1">
        <v>2.6416953030000001</v>
      </c>
      <c r="H257" s="1">
        <v>0</v>
      </c>
      <c r="I257" s="1">
        <v>95.312261239999998</v>
      </c>
      <c r="J257" s="1">
        <v>1.707252381</v>
      </c>
      <c r="K257" s="1">
        <v>2.9804863780000002</v>
      </c>
      <c r="L257" s="1">
        <v>0</v>
      </c>
      <c r="M257" s="1">
        <v>96.694033180000005</v>
      </c>
      <c r="N257" s="1">
        <v>2.1553111029999998</v>
      </c>
      <c r="O257" s="1">
        <v>1.1506557129999999</v>
      </c>
      <c r="P257" s="1">
        <v>0</v>
      </c>
    </row>
    <row r="258" spans="1:16" ht="12.5">
      <c r="A258" s="1" t="s">
        <v>100</v>
      </c>
      <c r="B258" s="1">
        <v>2015</v>
      </c>
      <c r="C258" s="1">
        <v>6325.1210940000001</v>
      </c>
      <c r="D258" s="1">
        <v>69.699996949999999</v>
      </c>
      <c r="E258" s="1">
        <v>95.562137739999997</v>
      </c>
      <c r="F258" s="1">
        <v>0.58047977699999997</v>
      </c>
      <c r="G258" s="1">
        <v>1.1619505450000001</v>
      </c>
      <c r="H258" s="1">
        <v>2.6954319419999999</v>
      </c>
      <c r="I258" s="1">
        <v>87.961214319999996</v>
      </c>
      <c r="J258" s="1">
        <v>1.734743718</v>
      </c>
      <c r="K258" s="1">
        <v>2.4810339560000001</v>
      </c>
      <c r="L258" s="1">
        <v>7.8230080050000002</v>
      </c>
      <c r="M258" s="1">
        <v>98.866417850000005</v>
      </c>
      <c r="N258" s="1">
        <v>7.8697977569999994E-2</v>
      </c>
      <c r="O258" s="1">
        <v>0.58851288960000003</v>
      </c>
      <c r="P258" s="1">
        <v>0.4663712861</v>
      </c>
    </row>
    <row r="259" spans="1:16" ht="12.5">
      <c r="A259" s="1" t="s">
        <v>127</v>
      </c>
      <c r="B259" s="1">
        <v>2020</v>
      </c>
      <c r="C259" s="1">
        <v>786.55902100000003</v>
      </c>
      <c r="D259" s="1">
        <v>26.7859993</v>
      </c>
      <c r="E259" s="1">
        <v>95.554806850000006</v>
      </c>
      <c r="F259" s="1">
        <v>1.205244408</v>
      </c>
      <c r="G259" s="1">
        <v>1.143069849</v>
      </c>
      <c r="H259" s="1">
        <v>2.0968788969999999</v>
      </c>
      <c r="I259" s="1">
        <v>93.928490499999995</v>
      </c>
      <c r="J259" s="1">
        <v>1.6461938620000001</v>
      </c>
      <c r="K259" s="1">
        <v>1.5612748329999999</v>
      </c>
      <c r="L259" s="1">
        <v>2.864040809</v>
      </c>
      <c r="M259" s="1">
        <v>100</v>
      </c>
      <c r="N259" s="1">
        <v>0</v>
      </c>
      <c r="O259" s="1">
        <v>0</v>
      </c>
      <c r="P259" s="1">
        <v>0</v>
      </c>
    </row>
    <row r="260" spans="1:16" ht="12.5">
      <c r="A260" s="1" t="s">
        <v>143</v>
      </c>
      <c r="B260" s="1">
        <v>2020</v>
      </c>
      <c r="C260" s="1">
        <v>18776.707030000001</v>
      </c>
      <c r="D260" s="1">
        <v>57.671001429999997</v>
      </c>
      <c r="E260" s="1">
        <v>95.434970320000005</v>
      </c>
      <c r="F260" s="1">
        <v>1.9414250390000001</v>
      </c>
      <c r="G260" s="1">
        <v>2.5459569339999999</v>
      </c>
      <c r="H260" s="1">
        <v>7.7647704710000001E-2</v>
      </c>
      <c r="I260" s="1">
        <v>91.939252339999996</v>
      </c>
      <c r="J260" s="1">
        <v>1.862616064</v>
      </c>
      <c r="K260" s="1">
        <v>6.0146930489999999</v>
      </c>
      <c r="L260" s="1">
        <v>0.18343854379999999</v>
      </c>
      <c r="M260" s="1">
        <v>98.000731329999994</v>
      </c>
      <c r="N260" s="1">
        <v>1.999268673</v>
      </c>
      <c r="O260" s="1">
        <v>0</v>
      </c>
      <c r="P260" s="1">
        <v>0</v>
      </c>
    </row>
    <row r="261" spans="1:16" ht="12.5">
      <c r="A261" s="1" t="s">
        <v>96</v>
      </c>
      <c r="B261" s="1">
        <v>2015</v>
      </c>
      <c r="C261" s="1">
        <v>71.175003050000001</v>
      </c>
      <c r="D261" s="1">
        <v>69.578994750000007</v>
      </c>
      <c r="E261" s="1">
        <v>95.420656059999999</v>
      </c>
      <c r="F261" s="1">
        <v>0</v>
      </c>
      <c r="G261" s="1">
        <v>4.579343937</v>
      </c>
      <c r="H261" s="1">
        <v>0</v>
      </c>
      <c r="I261" s="1" t="s">
        <v>272</v>
      </c>
      <c r="J261" s="1" t="s">
        <v>272</v>
      </c>
      <c r="K261" s="1" t="s">
        <v>272</v>
      </c>
      <c r="L261" s="1" t="s">
        <v>272</v>
      </c>
      <c r="M261" s="1" t="s">
        <v>272</v>
      </c>
      <c r="N261" s="1" t="s">
        <v>272</v>
      </c>
      <c r="O261" s="1" t="s">
        <v>272</v>
      </c>
      <c r="P261" s="1" t="s">
        <v>272</v>
      </c>
    </row>
    <row r="262" spans="1:16" ht="12.5">
      <c r="A262" s="1" t="s">
        <v>96</v>
      </c>
      <c r="B262" s="1">
        <v>2017</v>
      </c>
      <c r="C262" s="1">
        <v>71.459999080000003</v>
      </c>
      <c r="D262" s="1">
        <v>70.180999760000006</v>
      </c>
      <c r="E262" s="1">
        <v>95.420656059999999</v>
      </c>
      <c r="F262" s="1">
        <v>0</v>
      </c>
      <c r="G262" s="1">
        <v>4.579343937</v>
      </c>
      <c r="H262" s="1">
        <v>0</v>
      </c>
      <c r="I262" s="1" t="s">
        <v>272</v>
      </c>
      <c r="J262" s="1" t="s">
        <v>272</v>
      </c>
      <c r="K262" s="1" t="s">
        <v>272</v>
      </c>
      <c r="L262" s="1" t="s">
        <v>272</v>
      </c>
      <c r="M262" s="1" t="s">
        <v>272</v>
      </c>
      <c r="N262" s="1" t="s">
        <v>272</v>
      </c>
      <c r="O262" s="1" t="s">
        <v>272</v>
      </c>
      <c r="P262" s="1" t="s">
        <v>272</v>
      </c>
    </row>
    <row r="263" spans="1:16" ht="12.5">
      <c r="A263" s="1" t="s">
        <v>98</v>
      </c>
      <c r="B263" s="1">
        <v>2020</v>
      </c>
      <c r="C263" s="1">
        <v>17643.060549999998</v>
      </c>
      <c r="D263" s="1">
        <v>64.166000370000006</v>
      </c>
      <c r="E263" s="1">
        <v>95.359763560000005</v>
      </c>
      <c r="F263" s="1">
        <v>3.451463449E-3</v>
      </c>
      <c r="G263" s="1">
        <v>2.6044853890000002</v>
      </c>
      <c r="H263" s="1">
        <v>2.032299589</v>
      </c>
      <c r="I263" s="1">
        <v>87.050744949999995</v>
      </c>
      <c r="J263" s="1">
        <v>9.6318110219999996E-3</v>
      </c>
      <c r="K263" s="1">
        <v>7.2681954900000001</v>
      </c>
      <c r="L263" s="1">
        <v>5.6714277470000001</v>
      </c>
      <c r="M263" s="1">
        <v>100</v>
      </c>
      <c r="N263" s="1">
        <v>0</v>
      </c>
      <c r="O263" s="1">
        <v>0</v>
      </c>
      <c r="P263" s="1">
        <v>0</v>
      </c>
    </row>
    <row r="264" spans="1:16" ht="12.5">
      <c r="A264" s="1" t="s">
        <v>227</v>
      </c>
      <c r="B264" s="1">
        <v>2015</v>
      </c>
      <c r="C264" s="1">
        <v>39.966999049999998</v>
      </c>
      <c r="D264" s="1">
        <v>100</v>
      </c>
      <c r="E264" s="1">
        <v>95.311179330000002</v>
      </c>
      <c r="F264" s="1">
        <v>0</v>
      </c>
      <c r="G264" s="1">
        <v>4.6888206700000001</v>
      </c>
      <c r="H264" s="1">
        <v>0</v>
      </c>
      <c r="I264" s="1" t="s">
        <v>272</v>
      </c>
      <c r="J264" s="1" t="s">
        <v>272</v>
      </c>
      <c r="K264" s="1" t="s">
        <v>272</v>
      </c>
      <c r="L264" s="1" t="s">
        <v>272</v>
      </c>
      <c r="M264" s="1">
        <v>95.311179330000002</v>
      </c>
      <c r="N264" s="1">
        <v>0</v>
      </c>
      <c r="O264" s="1">
        <v>4.6888206700000001</v>
      </c>
      <c r="P264" s="1">
        <v>0</v>
      </c>
    </row>
    <row r="265" spans="1:16" ht="12.5">
      <c r="A265" s="1" t="s">
        <v>227</v>
      </c>
      <c r="B265" s="1">
        <v>2017</v>
      </c>
      <c r="C265" s="1">
        <v>41.444000240000001</v>
      </c>
      <c r="D265" s="1">
        <v>100</v>
      </c>
      <c r="E265" s="1">
        <v>95.311179330000002</v>
      </c>
      <c r="F265" s="1">
        <v>0</v>
      </c>
      <c r="G265" s="1">
        <v>4.6888206700000001</v>
      </c>
      <c r="H265" s="1">
        <v>0</v>
      </c>
      <c r="I265" s="1" t="s">
        <v>272</v>
      </c>
      <c r="J265" s="1" t="s">
        <v>272</v>
      </c>
      <c r="K265" s="1" t="s">
        <v>272</v>
      </c>
      <c r="L265" s="1" t="s">
        <v>272</v>
      </c>
      <c r="M265" s="1">
        <v>95.311179330000002</v>
      </c>
      <c r="N265" s="1">
        <v>0</v>
      </c>
      <c r="O265" s="1">
        <v>4.6888206700000001</v>
      </c>
      <c r="P265" s="1">
        <v>0</v>
      </c>
    </row>
    <row r="266" spans="1:16" ht="12.5">
      <c r="A266" s="1" t="s">
        <v>107</v>
      </c>
      <c r="B266" s="1">
        <v>2020</v>
      </c>
      <c r="C266" s="1">
        <v>3.4830000399999999</v>
      </c>
      <c r="D266" s="1">
        <v>78.507995609999995</v>
      </c>
      <c r="E266" s="1">
        <v>95.308927400000002</v>
      </c>
      <c r="F266" s="1">
        <v>0</v>
      </c>
      <c r="G266" s="1">
        <v>4.6910725959999997</v>
      </c>
      <c r="H266" s="1">
        <v>0</v>
      </c>
      <c r="I266" s="1">
        <v>78.172942820000003</v>
      </c>
      <c r="J266" s="1">
        <v>0</v>
      </c>
      <c r="K266" s="1">
        <v>21.827057180000001</v>
      </c>
      <c r="L266" s="1">
        <v>0</v>
      </c>
      <c r="M266" s="1">
        <v>100</v>
      </c>
      <c r="N266" s="1">
        <v>0</v>
      </c>
      <c r="O266" s="1">
        <v>0</v>
      </c>
      <c r="P266" s="1">
        <v>0</v>
      </c>
    </row>
    <row r="267" spans="1:16" ht="12.5">
      <c r="A267" s="1" t="s">
        <v>223</v>
      </c>
      <c r="B267" s="1">
        <v>2020</v>
      </c>
      <c r="C267" s="1">
        <v>8737.3701170000004</v>
      </c>
      <c r="D267" s="1">
        <v>56.445999149999999</v>
      </c>
      <c r="E267" s="1">
        <v>95.29552932</v>
      </c>
      <c r="F267" s="1">
        <v>4.244199279</v>
      </c>
      <c r="G267" s="1">
        <v>0.44372047780000001</v>
      </c>
      <c r="H267" s="1">
        <v>1.6550926470000001E-2</v>
      </c>
      <c r="I267" s="1">
        <v>95.844974750000006</v>
      </c>
      <c r="J267" s="1">
        <v>3.545864028</v>
      </c>
      <c r="K267" s="1">
        <v>0.57116028659999996</v>
      </c>
      <c r="L267" s="1">
        <v>3.8000931410000001E-2</v>
      </c>
      <c r="M267" s="1">
        <v>94.871569890000004</v>
      </c>
      <c r="N267" s="1">
        <v>4.7830378649999998</v>
      </c>
      <c r="O267" s="1">
        <v>0.3453922445</v>
      </c>
      <c r="P267" s="1">
        <v>0</v>
      </c>
    </row>
    <row r="268" spans="1:16" ht="12.5">
      <c r="A268" s="1" t="s">
        <v>92</v>
      </c>
      <c r="B268" s="1">
        <v>2015</v>
      </c>
      <c r="C268" s="1">
        <v>25183.832030000001</v>
      </c>
      <c r="D268" s="1">
        <v>61.277004239999997</v>
      </c>
      <c r="E268" s="1">
        <v>95.21488171</v>
      </c>
      <c r="F268" s="1">
        <v>0.68500239009999997</v>
      </c>
      <c r="G268" s="1">
        <v>3.8290549180000002</v>
      </c>
      <c r="H268" s="1">
        <v>0.27106098029999998</v>
      </c>
      <c r="I268" s="1">
        <v>91.616968420000006</v>
      </c>
      <c r="J268" s="1">
        <v>0.36793963219999998</v>
      </c>
      <c r="K268" s="1">
        <v>7.3150919439999997</v>
      </c>
      <c r="L268" s="1">
        <v>0.7</v>
      </c>
      <c r="M268" s="1">
        <v>97.48852402</v>
      </c>
      <c r="N268" s="1">
        <v>0.88536500119999995</v>
      </c>
      <c r="O268" s="1">
        <v>1.626110978</v>
      </c>
      <c r="P268" s="1">
        <v>0</v>
      </c>
    </row>
    <row r="269" spans="1:16" ht="12.5">
      <c r="A269" s="1" t="s">
        <v>127</v>
      </c>
      <c r="B269" s="1">
        <v>2015</v>
      </c>
      <c r="C269" s="1">
        <v>767.43298340000001</v>
      </c>
      <c r="D269" s="1">
        <v>26.44099808</v>
      </c>
      <c r="E269" s="1">
        <v>95.161856950000001</v>
      </c>
      <c r="F269" s="1">
        <v>1.233247953</v>
      </c>
      <c r="G269" s="1">
        <v>1.344803287</v>
      </c>
      <c r="H269" s="1">
        <v>2.2600918079999999</v>
      </c>
      <c r="I269" s="1">
        <v>93.422769709999997</v>
      </c>
      <c r="J269" s="1">
        <v>1.6765425039999999</v>
      </c>
      <c r="K269" s="1">
        <v>1.82819943</v>
      </c>
      <c r="L269" s="1">
        <v>3.0724883580000002</v>
      </c>
      <c r="M269" s="1">
        <v>100</v>
      </c>
      <c r="N269" s="1">
        <v>0</v>
      </c>
      <c r="O269" s="1">
        <v>0</v>
      </c>
      <c r="P269" s="1">
        <v>0</v>
      </c>
    </row>
    <row r="270" spans="1:16" ht="12.5">
      <c r="A270" s="1" t="s">
        <v>217</v>
      </c>
      <c r="B270" s="1">
        <v>2015</v>
      </c>
      <c r="C270" s="1">
        <v>109.13500209999999</v>
      </c>
      <c r="D270" s="1">
        <v>50.963996889999997</v>
      </c>
      <c r="E270" s="1">
        <v>95.145219900000001</v>
      </c>
      <c r="F270" s="1">
        <v>0</v>
      </c>
      <c r="G270" s="1">
        <v>4.0700937030000004</v>
      </c>
      <c r="H270" s="1">
        <v>0.78468639699999998</v>
      </c>
      <c r="I270" s="1" t="s">
        <v>272</v>
      </c>
      <c r="J270" s="1" t="s">
        <v>272</v>
      </c>
      <c r="K270" s="1" t="s">
        <v>272</v>
      </c>
      <c r="L270" s="1" t="s">
        <v>272</v>
      </c>
      <c r="M270" s="1" t="s">
        <v>272</v>
      </c>
      <c r="N270" s="1" t="s">
        <v>272</v>
      </c>
      <c r="O270" s="1" t="s">
        <v>272</v>
      </c>
      <c r="P270" s="1" t="s">
        <v>272</v>
      </c>
    </row>
    <row r="271" spans="1:16" ht="12.5">
      <c r="A271" s="1" t="s">
        <v>217</v>
      </c>
      <c r="B271" s="1">
        <v>2018</v>
      </c>
      <c r="C271" s="1">
        <v>110.2099991</v>
      </c>
      <c r="D271" s="1">
        <v>52.197998050000002</v>
      </c>
      <c r="E271" s="1">
        <v>95.145219900000001</v>
      </c>
      <c r="F271" s="1">
        <v>0</v>
      </c>
      <c r="G271" s="1">
        <v>4.8547801000000002</v>
      </c>
      <c r="H271" s="1" t="s">
        <v>272</v>
      </c>
      <c r="I271" s="1" t="s">
        <v>272</v>
      </c>
      <c r="J271" s="1" t="s">
        <v>272</v>
      </c>
      <c r="K271" s="1" t="s">
        <v>272</v>
      </c>
      <c r="L271" s="1" t="s">
        <v>272</v>
      </c>
      <c r="M271" s="1" t="s">
        <v>272</v>
      </c>
      <c r="N271" s="1" t="s">
        <v>272</v>
      </c>
      <c r="O271" s="1" t="s">
        <v>272</v>
      </c>
      <c r="P271" s="1" t="s">
        <v>272</v>
      </c>
    </row>
    <row r="272" spans="1:16" ht="12.5">
      <c r="A272" s="1" t="s">
        <v>14</v>
      </c>
      <c r="B272" s="1">
        <v>2020</v>
      </c>
      <c r="C272" s="1">
        <v>2877.8000489999999</v>
      </c>
      <c r="D272" s="1">
        <v>62.111999509999997</v>
      </c>
      <c r="E272" s="1">
        <v>95.068038830000006</v>
      </c>
      <c r="F272" s="1">
        <v>1.8846560919999999</v>
      </c>
      <c r="G272" s="1">
        <v>3.0473050810000002</v>
      </c>
      <c r="H272" s="1">
        <v>0</v>
      </c>
      <c r="I272" s="1">
        <v>94.091358060000005</v>
      </c>
      <c r="J272" s="1">
        <v>2.3052649550000002</v>
      </c>
      <c r="K272" s="1">
        <v>3.6033769859999998</v>
      </c>
      <c r="L272" s="1">
        <v>0</v>
      </c>
      <c r="M272" s="1">
        <v>95.663809119999996</v>
      </c>
      <c r="N272" s="1">
        <v>1.62808683</v>
      </c>
      <c r="O272" s="1">
        <v>2.7081040540000001</v>
      </c>
      <c r="P272" s="1">
        <v>0</v>
      </c>
    </row>
    <row r="273" spans="1:16" ht="12.5">
      <c r="A273" s="1" t="s">
        <v>143</v>
      </c>
      <c r="B273" s="1">
        <v>2015</v>
      </c>
      <c r="C273" s="1">
        <v>17572.009770000001</v>
      </c>
      <c r="D273" s="1">
        <v>57.191001890000003</v>
      </c>
      <c r="E273" s="1">
        <v>95.025334409999999</v>
      </c>
      <c r="F273" s="1">
        <v>1.812908425</v>
      </c>
      <c r="G273" s="1">
        <v>2.9043926519999999</v>
      </c>
      <c r="H273" s="1">
        <v>0.25736451110000003</v>
      </c>
      <c r="I273" s="1">
        <v>90.747497839999994</v>
      </c>
      <c r="J273" s="1">
        <v>1.8667718499999999</v>
      </c>
      <c r="K273" s="1">
        <v>6.7845377490000001</v>
      </c>
      <c r="L273" s="1">
        <v>0.60119255559999996</v>
      </c>
      <c r="M273" s="1">
        <v>98.227409789999996</v>
      </c>
      <c r="N273" s="1">
        <v>1.7725902060000001</v>
      </c>
      <c r="O273" s="1">
        <v>0</v>
      </c>
      <c r="P273" s="1">
        <v>0</v>
      </c>
    </row>
    <row r="274" spans="1:16" ht="12.5">
      <c r="A274" s="1" t="s">
        <v>249</v>
      </c>
      <c r="B274" s="1">
        <v>2015</v>
      </c>
      <c r="C274" s="1">
        <v>11179.95117</v>
      </c>
      <c r="D274" s="1">
        <v>68.055999760000006</v>
      </c>
      <c r="E274" s="1">
        <v>94.845455099999995</v>
      </c>
      <c r="F274" s="1">
        <v>2.9001003930000002</v>
      </c>
      <c r="G274" s="1">
        <v>2.1791030770000002</v>
      </c>
      <c r="H274" s="1">
        <v>7.5341425109999999E-2</v>
      </c>
      <c r="I274" s="1">
        <v>85.59067297</v>
      </c>
      <c r="J274" s="1">
        <v>7.6364837000000003</v>
      </c>
      <c r="K274" s="1">
        <v>6.5369886399999997</v>
      </c>
      <c r="L274" s="1">
        <v>0.23585469070000001</v>
      </c>
      <c r="M274" s="1">
        <v>99.189447939999994</v>
      </c>
      <c r="N274" s="1">
        <v>0.67694539840000001</v>
      </c>
      <c r="O274" s="1">
        <v>0.13360666639999999</v>
      </c>
      <c r="P274" s="1">
        <v>0</v>
      </c>
    </row>
    <row r="275" spans="1:16" ht="12.5">
      <c r="A275" s="1" t="s">
        <v>107</v>
      </c>
      <c r="B275" s="1">
        <v>2015</v>
      </c>
      <c r="C275" s="1">
        <v>2.8359999660000001</v>
      </c>
      <c r="D275" s="1">
        <v>76.268005369999997</v>
      </c>
      <c r="E275" s="1">
        <v>94.820006660000004</v>
      </c>
      <c r="F275" s="1">
        <v>0</v>
      </c>
      <c r="G275" s="1">
        <v>5.1799933429999996</v>
      </c>
      <c r="H275" s="1">
        <v>0</v>
      </c>
      <c r="I275" s="1">
        <v>78.172942820000003</v>
      </c>
      <c r="J275" s="1">
        <v>0</v>
      </c>
      <c r="K275" s="1">
        <v>21.827057180000001</v>
      </c>
      <c r="L275" s="1">
        <v>0</v>
      </c>
      <c r="M275" s="1">
        <v>100</v>
      </c>
      <c r="N275" s="1">
        <v>0</v>
      </c>
      <c r="O275" s="1">
        <v>0</v>
      </c>
      <c r="P275" s="1">
        <v>0</v>
      </c>
    </row>
    <row r="276" spans="1:16" ht="12.5">
      <c r="A276" s="1" t="s">
        <v>265</v>
      </c>
      <c r="B276" s="1">
        <v>2015</v>
      </c>
      <c r="C276" s="1">
        <v>30081.82617</v>
      </c>
      <c r="D276" s="1">
        <v>88.153999330000005</v>
      </c>
      <c r="E276" s="1">
        <v>94.571275009999994</v>
      </c>
      <c r="F276" s="1">
        <v>0.47523253770000001</v>
      </c>
      <c r="G276" s="1">
        <v>3.5752642610000001</v>
      </c>
      <c r="H276" s="1">
        <v>1.3782281919999999</v>
      </c>
      <c r="I276" s="1" t="s">
        <v>272</v>
      </c>
      <c r="J276" s="1" t="s">
        <v>272</v>
      </c>
      <c r="K276" s="1" t="s">
        <v>272</v>
      </c>
      <c r="L276" s="1" t="s">
        <v>272</v>
      </c>
      <c r="M276" s="1" t="s">
        <v>272</v>
      </c>
      <c r="N276" s="1" t="s">
        <v>272</v>
      </c>
      <c r="O276" s="1" t="s">
        <v>272</v>
      </c>
      <c r="P276" s="1" t="s">
        <v>272</v>
      </c>
    </row>
    <row r="277" spans="1:16" ht="12.5">
      <c r="A277" s="1" t="s">
        <v>17</v>
      </c>
      <c r="B277" s="1">
        <v>2020</v>
      </c>
      <c r="C277" s="1">
        <v>43851.042970000002</v>
      </c>
      <c r="D277" s="1">
        <v>73.733001709999996</v>
      </c>
      <c r="E277" s="1">
        <v>94.43732996</v>
      </c>
      <c r="F277" s="1">
        <v>4.9858808420000003</v>
      </c>
      <c r="G277" s="1">
        <v>0.53183666380000005</v>
      </c>
      <c r="H277" s="1">
        <v>4.495253272E-2</v>
      </c>
      <c r="I277" s="1">
        <v>90.037537909999998</v>
      </c>
      <c r="J277" s="1">
        <v>8.79672214</v>
      </c>
      <c r="K277" s="1">
        <v>0.99460302810000001</v>
      </c>
      <c r="L277" s="1">
        <v>0.17113692580000001</v>
      </c>
      <c r="M277" s="1">
        <v>96.004735859999997</v>
      </c>
      <c r="N277" s="1">
        <v>3.628288591</v>
      </c>
      <c r="O277" s="1">
        <v>0.36697554780000002</v>
      </c>
      <c r="P277" s="1">
        <v>0</v>
      </c>
    </row>
    <row r="278" spans="1:16" ht="12.5">
      <c r="A278" s="1" t="s">
        <v>193</v>
      </c>
      <c r="B278" s="1">
        <v>2020</v>
      </c>
      <c r="C278" s="1">
        <v>4314.7680659999996</v>
      </c>
      <c r="D278" s="1">
        <v>68.414001459999994</v>
      </c>
      <c r="E278" s="1">
        <v>94.372544360000006</v>
      </c>
      <c r="F278" s="1">
        <v>1.8734805919999999</v>
      </c>
      <c r="G278" s="1">
        <v>2.2623042469999999</v>
      </c>
      <c r="H278" s="1">
        <v>1.491670799</v>
      </c>
      <c r="I278" s="1">
        <v>86.323083260000004</v>
      </c>
      <c r="J278" s="1">
        <v>1.791982583</v>
      </c>
      <c r="K278" s="1">
        <v>7.1623643420000001</v>
      </c>
      <c r="L278" s="1">
        <v>4.7225698109999996</v>
      </c>
      <c r="M278" s="1">
        <v>98.088892670000007</v>
      </c>
      <c r="N278" s="1">
        <v>1.9111073329999999</v>
      </c>
      <c r="O278" s="1">
        <v>0</v>
      </c>
      <c r="P278" s="1">
        <v>0</v>
      </c>
    </row>
    <row r="279" spans="1:16" ht="12.5">
      <c r="A279" s="1" t="s">
        <v>252</v>
      </c>
      <c r="B279" s="1">
        <v>2015</v>
      </c>
      <c r="C279" s="1">
        <v>35.97900009</v>
      </c>
      <c r="D279" s="1">
        <v>92.194992069999998</v>
      </c>
      <c r="E279" s="1">
        <v>94.318181820000007</v>
      </c>
      <c r="F279" s="1">
        <v>0</v>
      </c>
      <c r="G279" s="1">
        <v>5.6818181819999998</v>
      </c>
      <c r="H279" s="1">
        <v>0</v>
      </c>
      <c r="I279" s="1" t="s">
        <v>272</v>
      </c>
      <c r="J279" s="1" t="s">
        <v>272</v>
      </c>
      <c r="K279" s="1" t="s">
        <v>272</v>
      </c>
      <c r="L279" s="1" t="s">
        <v>272</v>
      </c>
      <c r="M279" s="1" t="s">
        <v>272</v>
      </c>
      <c r="N279" s="1" t="s">
        <v>272</v>
      </c>
      <c r="O279" s="1" t="s">
        <v>272</v>
      </c>
      <c r="P279" s="1" t="s">
        <v>272</v>
      </c>
    </row>
    <row r="280" spans="1:16" ht="12.5">
      <c r="A280" s="1" t="s">
        <v>252</v>
      </c>
      <c r="B280" s="1">
        <v>2018</v>
      </c>
      <c r="C280" s="1">
        <v>37.666999820000001</v>
      </c>
      <c r="D280" s="1">
        <v>93.097999569999999</v>
      </c>
      <c r="E280" s="1">
        <v>94.318181820000007</v>
      </c>
      <c r="F280" s="1">
        <v>0</v>
      </c>
      <c r="G280" s="1">
        <v>5.6818181819999998</v>
      </c>
      <c r="H280" s="1">
        <v>0</v>
      </c>
      <c r="I280" s="1" t="s">
        <v>272</v>
      </c>
      <c r="J280" s="1" t="s">
        <v>272</v>
      </c>
      <c r="K280" s="1" t="s">
        <v>272</v>
      </c>
      <c r="L280" s="1" t="s">
        <v>272</v>
      </c>
      <c r="M280" s="1" t="s">
        <v>272</v>
      </c>
      <c r="N280" s="1" t="s">
        <v>272</v>
      </c>
      <c r="O280" s="1" t="s">
        <v>272</v>
      </c>
      <c r="P280" s="1" t="s">
        <v>272</v>
      </c>
    </row>
    <row r="281" spans="1:16" ht="12.5">
      <c r="A281" s="1" t="s">
        <v>108</v>
      </c>
      <c r="B281" s="1">
        <v>2020</v>
      </c>
      <c r="C281" s="1">
        <v>896.44396970000003</v>
      </c>
      <c r="D281" s="1">
        <v>57.247005459999997</v>
      </c>
      <c r="E281" s="1">
        <v>94.30106524</v>
      </c>
      <c r="F281" s="1">
        <v>0</v>
      </c>
      <c r="G281" s="1">
        <v>3.3186027660000001</v>
      </c>
      <c r="H281" s="1">
        <v>2.380331999</v>
      </c>
      <c r="I281" s="1">
        <v>89.088024050000001</v>
      </c>
      <c r="J281" s="1">
        <v>0</v>
      </c>
      <c r="K281" s="1">
        <v>5.7598979379999999</v>
      </c>
      <c r="L281" s="1">
        <v>5.1520780119999996</v>
      </c>
      <c r="M281" s="1">
        <v>98.194244060000003</v>
      </c>
      <c r="N281" s="1">
        <v>0</v>
      </c>
      <c r="O281" s="1">
        <v>1.495409344</v>
      </c>
      <c r="P281" s="1">
        <v>0.31034659219999999</v>
      </c>
    </row>
    <row r="282" spans="1:16" ht="12.5">
      <c r="A282" s="1" t="s">
        <v>108</v>
      </c>
      <c r="B282" s="1">
        <v>2015</v>
      </c>
      <c r="C282" s="1">
        <v>868.63201900000001</v>
      </c>
      <c r="D282" s="1">
        <v>54.725997919999998</v>
      </c>
      <c r="E282" s="1">
        <v>94.262558670000004</v>
      </c>
      <c r="F282" s="1">
        <v>0</v>
      </c>
      <c r="G282" s="1">
        <v>3.4193659360000002</v>
      </c>
      <c r="H282" s="1">
        <v>2.3180753950000001</v>
      </c>
      <c r="I282" s="1">
        <v>89.378527390000002</v>
      </c>
      <c r="J282" s="1">
        <v>0</v>
      </c>
      <c r="K282" s="1">
        <v>5.8294678109999998</v>
      </c>
      <c r="L282" s="1">
        <v>4.7920047950000004</v>
      </c>
      <c r="M282" s="1">
        <v>98.303044670000006</v>
      </c>
      <c r="N282" s="1">
        <v>0</v>
      </c>
      <c r="O282" s="1">
        <v>1.4255247120000001</v>
      </c>
      <c r="P282" s="1">
        <v>0.27143061419999998</v>
      </c>
    </row>
    <row r="283" spans="1:16" ht="12.5">
      <c r="A283" s="1" t="s">
        <v>78</v>
      </c>
      <c r="B283" s="1">
        <v>2020</v>
      </c>
      <c r="C283" s="1">
        <v>1463140.5</v>
      </c>
      <c r="D283" s="1">
        <v>61.713088990000003</v>
      </c>
      <c r="E283" s="1">
        <v>94.261110590000001</v>
      </c>
      <c r="F283" s="1">
        <v>0.8147213297</v>
      </c>
      <c r="G283" s="1">
        <v>4.725451938</v>
      </c>
      <c r="H283" s="1">
        <v>0.19871614409999999</v>
      </c>
      <c r="I283" s="1">
        <v>89.661233510000002</v>
      </c>
      <c r="J283" s="1">
        <v>1.832679086</v>
      </c>
      <c r="K283" s="1">
        <v>8.5060874089999992</v>
      </c>
      <c r="L283" s="1">
        <v>0</v>
      </c>
      <c r="M283" s="1">
        <v>97.11488267</v>
      </c>
      <c r="N283" s="1">
        <v>0.1831784927</v>
      </c>
      <c r="O283" s="1">
        <v>2.3799388399999999</v>
      </c>
      <c r="P283" s="1">
        <v>0.32200000000000001</v>
      </c>
    </row>
    <row r="284" spans="1:16" ht="12.5">
      <c r="A284" s="1" t="s">
        <v>135</v>
      </c>
      <c r="B284" s="1">
        <v>2015</v>
      </c>
      <c r="C284" s="1">
        <v>35572.269529999998</v>
      </c>
      <c r="D284" s="1">
        <v>69.920997619999994</v>
      </c>
      <c r="E284" s="1">
        <v>94.247593300000005</v>
      </c>
      <c r="F284" s="1">
        <v>1.056676215</v>
      </c>
      <c r="G284" s="1">
        <v>1.7379110360000001</v>
      </c>
      <c r="H284" s="1">
        <v>2.9578194500000001</v>
      </c>
      <c r="I284" s="1">
        <v>84.76271011</v>
      </c>
      <c r="J284" s="1">
        <v>2.8306169350000001</v>
      </c>
      <c r="K284" s="1">
        <v>2.77640479</v>
      </c>
      <c r="L284" s="1">
        <v>9.630268161</v>
      </c>
      <c r="M284" s="1">
        <v>98.3278526</v>
      </c>
      <c r="N284" s="1">
        <v>0.29355262310000002</v>
      </c>
      <c r="O284" s="1">
        <v>1.2911660709999999</v>
      </c>
      <c r="P284" s="1">
        <v>8.74287017E-2</v>
      </c>
    </row>
    <row r="285" spans="1:16" ht="12.5">
      <c r="A285" s="1" t="s">
        <v>76</v>
      </c>
      <c r="B285" s="1">
        <v>2015</v>
      </c>
      <c r="C285" s="1">
        <v>165.38699339999999</v>
      </c>
      <c r="D285" s="1">
        <v>30.96199799</v>
      </c>
      <c r="E285" s="1">
        <v>94.15</v>
      </c>
      <c r="F285" s="1">
        <v>0</v>
      </c>
      <c r="G285" s="1">
        <v>5.85</v>
      </c>
      <c r="H285" s="1">
        <v>0</v>
      </c>
      <c r="I285" s="1" t="s">
        <v>272</v>
      </c>
      <c r="J285" s="1" t="s">
        <v>272</v>
      </c>
      <c r="K285" s="1" t="s">
        <v>272</v>
      </c>
      <c r="L285" s="1" t="s">
        <v>272</v>
      </c>
      <c r="M285" s="1" t="s">
        <v>272</v>
      </c>
      <c r="N285" s="1" t="s">
        <v>272</v>
      </c>
      <c r="O285" s="1" t="s">
        <v>272</v>
      </c>
      <c r="P285" s="1" t="s">
        <v>272</v>
      </c>
    </row>
    <row r="286" spans="1:16" ht="12.5">
      <c r="A286" s="1" t="s">
        <v>76</v>
      </c>
      <c r="B286" s="1">
        <v>2017</v>
      </c>
      <c r="C286" s="1">
        <v>168.6660004</v>
      </c>
      <c r="D286" s="1">
        <v>30.913999560000001</v>
      </c>
      <c r="E286" s="1">
        <v>94.15</v>
      </c>
      <c r="F286" s="1">
        <v>0</v>
      </c>
      <c r="G286" s="1">
        <v>5.85</v>
      </c>
      <c r="H286" s="1">
        <v>0</v>
      </c>
      <c r="I286" s="1" t="s">
        <v>272</v>
      </c>
      <c r="J286" s="1" t="s">
        <v>272</v>
      </c>
      <c r="K286" s="1" t="s">
        <v>272</v>
      </c>
      <c r="L286" s="1" t="s">
        <v>272</v>
      </c>
      <c r="M286" s="1" t="s">
        <v>272</v>
      </c>
      <c r="N286" s="1" t="s">
        <v>272</v>
      </c>
      <c r="O286" s="1" t="s">
        <v>272</v>
      </c>
      <c r="P286" s="1" t="s">
        <v>272</v>
      </c>
    </row>
    <row r="287" spans="1:16" ht="12.5">
      <c r="A287" s="1" t="s">
        <v>197</v>
      </c>
      <c r="B287" s="1">
        <v>2020</v>
      </c>
      <c r="C287" s="1">
        <v>109581.08590000001</v>
      </c>
      <c r="D287" s="1">
        <v>47.407997129999998</v>
      </c>
      <c r="E287" s="1">
        <v>94.109034559999998</v>
      </c>
      <c r="F287" s="1">
        <v>2.8564861370000001</v>
      </c>
      <c r="G287" s="1">
        <v>3.0344793069999998</v>
      </c>
      <c r="H287" s="1">
        <v>0</v>
      </c>
      <c r="I287" s="1">
        <v>91.06193322</v>
      </c>
      <c r="J287" s="1">
        <v>3.9595204279999998</v>
      </c>
      <c r="K287" s="1">
        <v>4.978546347</v>
      </c>
      <c r="L287" s="1">
        <v>0</v>
      </c>
      <c r="M287" s="1">
        <v>97.489332500000003</v>
      </c>
      <c r="N287" s="1">
        <v>1.632836465</v>
      </c>
      <c r="O287" s="1">
        <v>0.87783103600000001</v>
      </c>
      <c r="P287" s="1">
        <v>0</v>
      </c>
    </row>
    <row r="288" spans="1:16" ht="12.5">
      <c r="A288" s="1" t="s">
        <v>124</v>
      </c>
      <c r="B288" s="1">
        <v>2020</v>
      </c>
      <c r="C288" s="1">
        <v>17915.566409999999</v>
      </c>
      <c r="D288" s="1">
        <v>51.835998539999999</v>
      </c>
      <c r="E288" s="1">
        <v>94.006428270000001</v>
      </c>
      <c r="F288" s="1">
        <v>1.034150511</v>
      </c>
      <c r="G288" s="1">
        <v>3.2159118150000001</v>
      </c>
      <c r="H288" s="1">
        <v>1.7435094040000001</v>
      </c>
      <c r="I288" s="1">
        <v>90.119329800000003</v>
      </c>
      <c r="J288" s="1">
        <v>1.8491699989999999</v>
      </c>
      <c r="K288" s="1">
        <v>4.5834386909999996</v>
      </c>
      <c r="L288" s="1">
        <v>3.4480615079999999</v>
      </c>
      <c r="M288" s="1">
        <v>97.618169440000003</v>
      </c>
      <c r="N288" s="1">
        <v>0.27686600569999997</v>
      </c>
      <c r="O288" s="1">
        <v>1.94525887</v>
      </c>
      <c r="P288" s="1">
        <v>0.15970568490000001</v>
      </c>
    </row>
    <row r="289" spans="1:16" ht="12.5">
      <c r="A289" s="1" t="s">
        <v>255</v>
      </c>
      <c r="B289" s="1">
        <v>2020</v>
      </c>
      <c r="C289" s="1">
        <v>43733.757810000003</v>
      </c>
      <c r="D289" s="1">
        <v>69.608001709999996</v>
      </c>
      <c r="E289" s="1">
        <v>93.928281949999999</v>
      </c>
      <c r="F289" s="1">
        <v>5.671978717</v>
      </c>
      <c r="G289" s="1">
        <v>7.5904501289999995E-2</v>
      </c>
      <c r="H289" s="1">
        <v>0.32383483600000001</v>
      </c>
      <c r="I289" s="1">
        <v>100</v>
      </c>
      <c r="J289" s="1">
        <v>0</v>
      </c>
      <c r="K289" s="1">
        <v>0</v>
      </c>
      <c r="L289" s="1">
        <v>0</v>
      </c>
      <c r="M289" s="1">
        <v>91.277270110000003</v>
      </c>
      <c r="N289" s="1">
        <v>8.1484577900000001</v>
      </c>
      <c r="O289" s="1">
        <v>0.1090456533</v>
      </c>
      <c r="P289" s="1">
        <v>0.46522644460000001</v>
      </c>
    </row>
    <row r="290" spans="1:16" ht="12.5">
      <c r="A290" s="1" t="s">
        <v>241</v>
      </c>
      <c r="B290" s="1">
        <v>2020</v>
      </c>
      <c r="C290" s="1">
        <v>17500.65625</v>
      </c>
      <c r="D290" s="1">
        <v>55.475002289999999</v>
      </c>
      <c r="E290" s="1">
        <v>93.925857179999994</v>
      </c>
      <c r="F290" s="1">
        <v>5.8737307679999997</v>
      </c>
      <c r="G290" s="1">
        <v>0.20041205419999999</v>
      </c>
      <c r="H290" s="1">
        <v>0</v>
      </c>
      <c r="I290" s="1">
        <v>92.082745000000003</v>
      </c>
      <c r="J290" s="1">
        <v>7.9172549999999999</v>
      </c>
      <c r="K290" s="1">
        <v>0</v>
      </c>
      <c r="L290" s="1">
        <v>0</v>
      </c>
      <c r="M290" s="1">
        <v>95.405164360000001</v>
      </c>
      <c r="N290" s="1">
        <v>4.2335701170000002</v>
      </c>
      <c r="O290" s="1">
        <v>0.36126552499999998</v>
      </c>
      <c r="P290" s="1">
        <v>0</v>
      </c>
    </row>
    <row r="291" spans="1:16" ht="12.5">
      <c r="A291" s="1" t="s">
        <v>233</v>
      </c>
      <c r="B291" s="1">
        <v>2020</v>
      </c>
      <c r="C291" s="1">
        <v>59308.691409999999</v>
      </c>
      <c r="D291" s="1">
        <v>67.354003910000003</v>
      </c>
      <c r="E291" s="1">
        <v>93.885057439999997</v>
      </c>
      <c r="F291" s="1">
        <v>2.7727361859999999</v>
      </c>
      <c r="G291" s="1">
        <v>1.410816657</v>
      </c>
      <c r="H291" s="1">
        <v>1.9313897120000001</v>
      </c>
      <c r="I291" s="1">
        <v>83.329481180000002</v>
      </c>
      <c r="J291" s="1">
        <v>6.9773593590000003</v>
      </c>
      <c r="K291" s="1">
        <v>3.7769992870000002</v>
      </c>
      <c r="L291" s="1">
        <v>5.9161601729999997</v>
      </c>
      <c r="M291" s="1">
        <v>99.001264840000005</v>
      </c>
      <c r="N291" s="1">
        <v>0.73478540299999995</v>
      </c>
      <c r="O291" s="1">
        <v>0.26394975469999998</v>
      </c>
      <c r="P291" s="1">
        <v>0</v>
      </c>
    </row>
    <row r="292" spans="1:16" ht="12.5">
      <c r="A292" s="1" t="s">
        <v>92</v>
      </c>
      <c r="B292" s="1">
        <v>2020</v>
      </c>
      <c r="C292" s="1">
        <v>25778.814450000002</v>
      </c>
      <c r="D292" s="1">
        <v>62.381000520000001</v>
      </c>
      <c r="E292" s="1">
        <v>93.843843030000002</v>
      </c>
      <c r="F292" s="1">
        <v>0.68313118719999999</v>
      </c>
      <c r="G292" s="1">
        <v>5.2096927800000001</v>
      </c>
      <c r="H292" s="1">
        <v>0.26333300580000002</v>
      </c>
      <c r="I292" s="1">
        <v>88.753624880000004</v>
      </c>
      <c r="J292" s="1">
        <v>0.3564402606</v>
      </c>
      <c r="K292" s="1">
        <v>10.189934859999999</v>
      </c>
      <c r="L292" s="1">
        <v>0.7</v>
      </c>
      <c r="M292" s="1">
        <v>96.913510439999996</v>
      </c>
      <c r="N292" s="1">
        <v>0.88014287989999995</v>
      </c>
      <c r="O292" s="1">
        <v>2.206346677</v>
      </c>
      <c r="P292" s="1">
        <v>0</v>
      </c>
    </row>
    <row r="293" spans="1:16" ht="12.5">
      <c r="A293" s="1" t="s">
        <v>111</v>
      </c>
      <c r="B293" s="1">
        <v>2020</v>
      </c>
      <c r="C293" s="1">
        <v>298.68200680000001</v>
      </c>
      <c r="D293" s="1">
        <v>85.819999690000003</v>
      </c>
      <c r="E293" s="1">
        <v>93.782216349999999</v>
      </c>
      <c r="F293" s="1">
        <v>0</v>
      </c>
      <c r="G293" s="1">
        <v>6.2177836519999996</v>
      </c>
      <c r="H293" s="1">
        <v>0</v>
      </c>
      <c r="I293" s="1" t="s">
        <v>272</v>
      </c>
      <c r="J293" s="1" t="s">
        <v>272</v>
      </c>
      <c r="K293" s="1" t="s">
        <v>272</v>
      </c>
      <c r="L293" s="1" t="s">
        <v>272</v>
      </c>
      <c r="M293" s="1" t="s">
        <v>272</v>
      </c>
      <c r="N293" s="1" t="s">
        <v>272</v>
      </c>
      <c r="O293" s="1" t="s">
        <v>272</v>
      </c>
      <c r="P293" s="1" t="s">
        <v>272</v>
      </c>
    </row>
    <row r="294" spans="1:16" ht="12.5">
      <c r="A294" s="1" t="s">
        <v>265</v>
      </c>
      <c r="B294" s="1">
        <v>2020</v>
      </c>
      <c r="C294" s="1">
        <v>28435.943360000001</v>
      </c>
      <c r="D294" s="1">
        <v>88.278999330000005</v>
      </c>
      <c r="E294" s="1">
        <v>93.685800709999995</v>
      </c>
      <c r="F294" s="1">
        <v>0.4707829181</v>
      </c>
      <c r="G294" s="1">
        <v>5.8434163730000002</v>
      </c>
      <c r="H294" s="1" t="s">
        <v>272</v>
      </c>
      <c r="I294" s="1" t="s">
        <v>272</v>
      </c>
      <c r="J294" s="1" t="s">
        <v>272</v>
      </c>
      <c r="K294" s="1" t="s">
        <v>272</v>
      </c>
      <c r="L294" s="1" t="s">
        <v>272</v>
      </c>
      <c r="M294" s="1" t="s">
        <v>272</v>
      </c>
      <c r="N294" s="1" t="s">
        <v>272</v>
      </c>
      <c r="O294" s="1" t="s">
        <v>272</v>
      </c>
      <c r="P294" s="1" t="s">
        <v>272</v>
      </c>
    </row>
    <row r="295" spans="1:16" ht="12.5">
      <c r="A295" s="1" t="s">
        <v>255</v>
      </c>
      <c r="B295" s="1">
        <v>2015</v>
      </c>
      <c r="C295" s="1">
        <v>44921.636720000002</v>
      </c>
      <c r="D295" s="1">
        <v>69.061004639999993</v>
      </c>
      <c r="E295" s="1">
        <v>93.65690669</v>
      </c>
      <c r="F295" s="1">
        <v>5.6308737229999997</v>
      </c>
      <c r="G295" s="1">
        <v>0.4364563488</v>
      </c>
      <c r="H295" s="1">
        <v>0.27576323949999998</v>
      </c>
      <c r="I295" s="1">
        <v>98.843111609999994</v>
      </c>
      <c r="J295" s="1">
        <v>0</v>
      </c>
      <c r="K295" s="1">
        <v>0.944405312</v>
      </c>
      <c r="L295" s="1">
        <v>0.21248308169999999</v>
      </c>
      <c r="M295" s="1">
        <v>91.333508530000003</v>
      </c>
      <c r="N295" s="1">
        <v>8.1534782769999996</v>
      </c>
      <c r="O295" s="1">
        <v>0.20890075559999999</v>
      </c>
      <c r="P295" s="1">
        <v>0.30411244139999999</v>
      </c>
    </row>
    <row r="296" spans="1:16" ht="12.5">
      <c r="A296" s="1" t="s">
        <v>111</v>
      </c>
      <c r="B296" s="1">
        <v>2015</v>
      </c>
      <c r="C296" s="1">
        <v>261.00799560000002</v>
      </c>
      <c r="D296" s="1">
        <v>84.482002260000002</v>
      </c>
      <c r="E296" s="1">
        <v>93.562056569999996</v>
      </c>
      <c r="F296" s="1">
        <v>0</v>
      </c>
      <c r="G296" s="1">
        <v>6.4379434250000003</v>
      </c>
      <c r="H296" s="1">
        <v>0</v>
      </c>
      <c r="I296" s="1" t="s">
        <v>272</v>
      </c>
      <c r="J296" s="1" t="s">
        <v>272</v>
      </c>
      <c r="K296" s="1" t="s">
        <v>272</v>
      </c>
      <c r="L296" s="1" t="s">
        <v>272</v>
      </c>
      <c r="M296" s="1" t="s">
        <v>272</v>
      </c>
      <c r="N296" s="1" t="s">
        <v>272</v>
      </c>
      <c r="O296" s="1" t="s">
        <v>272</v>
      </c>
      <c r="P296" s="1" t="s">
        <v>272</v>
      </c>
    </row>
    <row r="297" spans="1:16" ht="12.5">
      <c r="A297" s="1" t="s">
        <v>241</v>
      </c>
      <c r="B297" s="1">
        <v>2015</v>
      </c>
      <c r="C297" s="1">
        <v>17997.410159999999</v>
      </c>
      <c r="D297" s="1">
        <v>52.167999270000003</v>
      </c>
      <c r="E297" s="1">
        <v>93.509611480000004</v>
      </c>
      <c r="F297" s="1">
        <v>5.9680836279999996</v>
      </c>
      <c r="G297" s="1">
        <v>0.52230488829999999</v>
      </c>
      <c r="H297" s="1">
        <v>0</v>
      </c>
      <c r="I297" s="1">
        <v>91.385705099999996</v>
      </c>
      <c r="J297" s="1">
        <v>7.8573236560000002</v>
      </c>
      <c r="K297" s="1">
        <v>0.75697124390000003</v>
      </c>
      <c r="L297" s="1">
        <v>0</v>
      </c>
      <c r="M297" s="1">
        <v>95.456987190000007</v>
      </c>
      <c r="N297" s="1">
        <v>4.2358697369999998</v>
      </c>
      <c r="O297" s="1">
        <v>0.30714306949999998</v>
      </c>
      <c r="P297" s="1">
        <v>0</v>
      </c>
    </row>
    <row r="298" spans="1:16" ht="12.5">
      <c r="A298" s="1" t="s">
        <v>17</v>
      </c>
      <c r="B298" s="1">
        <v>2015</v>
      </c>
      <c r="C298" s="1">
        <v>39728.019529999998</v>
      </c>
      <c r="D298" s="1">
        <v>70.847999569999999</v>
      </c>
      <c r="E298" s="1">
        <v>93.409561530000005</v>
      </c>
      <c r="F298" s="1">
        <v>5.157780893</v>
      </c>
      <c r="G298" s="1">
        <v>1.2754646839999999</v>
      </c>
      <c r="H298" s="1">
        <v>0.1571928913</v>
      </c>
      <c r="I298" s="1">
        <v>88.352706859999998</v>
      </c>
      <c r="J298" s="1">
        <v>8.6857531209999994</v>
      </c>
      <c r="K298" s="1">
        <v>2.580431801</v>
      </c>
      <c r="L298" s="1">
        <v>0.38110821550000001</v>
      </c>
      <c r="M298" s="1">
        <v>95.490314699999999</v>
      </c>
      <c r="N298" s="1">
        <v>3.7061173169999999</v>
      </c>
      <c r="O298" s="1">
        <v>0.73851008510000005</v>
      </c>
      <c r="P298" s="1">
        <v>6.5057897530000006E-2</v>
      </c>
    </row>
    <row r="299" spans="1:16" ht="12.5">
      <c r="A299" s="1" t="s">
        <v>14</v>
      </c>
      <c r="B299" s="1">
        <v>2015</v>
      </c>
      <c r="C299" s="1">
        <v>2890.5239259999998</v>
      </c>
      <c r="D299" s="1">
        <v>57.433998109999997</v>
      </c>
      <c r="E299" s="1">
        <v>93.394325339999995</v>
      </c>
      <c r="F299" s="1">
        <v>3.626383658</v>
      </c>
      <c r="G299" s="1">
        <v>2.9792910039999998</v>
      </c>
      <c r="H299" s="1">
        <v>0</v>
      </c>
      <c r="I299" s="1">
        <v>90.627274610000001</v>
      </c>
      <c r="J299" s="1">
        <v>5.2631726480000003</v>
      </c>
      <c r="K299" s="1">
        <v>4.1095527440000001</v>
      </c>
      <c r="L299" s="1">
        <v>0</v>
      </c>
      <c r="M299" s="1">
        <v>95.445066960000005</v>
      </c>
      <c r="N299" s="1">
        <v>2.4133118200000001</v>
      </c>
      <c r="O299" s="1">
        <v>2.1416212159999999</v>
      </c>
      <c r="P299" s="1">
        <v>0</v>
      </c>
    </row>
    <row r="300" spans="1:16" ht="12.5">
      <c r="A300" s="1" t="s">
        <v>60</v>
      </c>
      <c r="B300" s="1">
        <v>2020</v>
      </c>
      <c r="C300" s="1">
        <v>11673.0293</v>
      </c>
      <c r="D300" s="1">
        <v>70.123001099999996</v>
      </c>
      <c r="E300" s="1">
        <v>93.390071629999994</v>
      </c>
      <c r="F300" s="1">
        <v>0.13659052960000001</v>
      </c>
      <c r="G300" s="1">
        <v>1.575010843</v>
      </c>
      <c r="H300" s="1">
        <v>4.8983269969999998</v>
      </c>
      <c r="I300" s="1">
        <v>79.936642829999997</v>
      </c>
      <c r="J300" s="1">
        <v>0.24473640820000001</v>
      </c>
      <c r="K300" s="1">
        <v>3.9541336930000002</v>
      </c>
      <c r="L300" s="1">
        <v>15.864487069999999</v>
      </c>
      <c r="M300" s="1">
        <v>99.122118319999998</v>
      </c>
      <c r="N300" s="1">
        <v>9.0513289469999994E-2</v>
      </c>
      <c r="O300" s="1">
        <v>0.56134538079999996</v>
      </c>
      <c r="P300" s="1">
        <v>0.22602301120000001</v>
      </c>
    </row>
    <row r="301" spans="1:16" ht="12.5">
      <c r="A301" s="1" t="s">
        <v>223</v>
      </c>
      <c r="B301" s="1">
        <v>2015</v>
      </c>
      <c r="C301" s="1">
        <v>8876.7773440000001</v>
      </c>
      <c r="D301" s="1">
        <v>55.695999149999999</v>
      </c>
      <c r="E301" s="1">
        <v>93.386457300000004</v>
      </c>
      <c r="F301" s="1">
        <v>6.1120960520000001</v>
      </c>
      <c r="G301" s="1">
        <v>0.48354363439999998</v>
      </c>
      <c r="H301" s="1">
        <v>1.7903015790000001E-2</v>
      </c>
      <c r="I301" s="1">
        <v>94.723529049999996</v>
      </c>
      <c r="J301" s="1">
        <v>4.6004382010000002</v>
      </c>
      <c r="K301" s="1">
        <v>0.63562326859999996</v>
      </c>
      <c r="L301" s="1">
        <v>4.0409477999999999E-2</v>
      </c>
      <c r="M301" s="1">
        <v>92.322868690000007</v>
      </c>
      <c r="N301" s="1">
        <v>7.3145611089999996</v>
      </c>
      <c r="O301" s="1">
        <v>0.36257019709999999</v>
      </c>
      <c r="P301" s="1">
        <v>0</v>
      </c>
    </row>
    <row r="302" spans="1:16" ht="12.5">
      <c r="A302" s="1" t="s">
        <v>266</v>
      </c>
      <c r="B302" s="1">
        <v>2015</v>
      </c>
      <c r="C302" s="1">
        <v>92677.078129999994</v>
      </c>
      <c r="D302" s="1">
        <v>33.80900192</v>
      </c>
      <c r="E302" s="1">
        <v>93.328060579999999</v>
      </c>
      <c r="F302" s="1">
        <v>5.2071837849999997E-2</v>
      </c>
      <c r="G302" s="1">
        <v>6.1636180359999999</v>
      </c>
      <c r="H302" s="1">
        <v>0.45624954629999998</v>
      </c>
      <c r="I302" s="1">
        <v>90.833067990000004</v>
      </c>
      <c r="J302" s="1">
        <v>0</v>
      </c>
      <c r="K302" s="1">
        <v>8.4776395650000005</v>
      </c>
      <c r="L302" s="1">
        <v>0.68929244290000002</v>
      </c>
      <c r="M302" s="1">
        <v>98.212743520000004</v>
      </c>
      <c r="N302" s="1">
        <v>0.15401768120000001</v>
      </c>
      <c r="O302" s="1">
        <v>1.6332387960000001</v>
      </c>
      <c r="P302" s="1">
        <v>0</v>
      </c>
    </row>
    <row r="303" spans="1:16" ht="12.5">
      <c r="A303" s="1" t="s">
        <v>129</v>
      </c>
      <c r="B303" s="1">
        <v>2015</v>
      </c>
      <c r="C303" s="1">
        <v>9112.9042969999991</v>
      </c>
      <c r="D303" s="1">
        <v>55.164997100000001</v>
      </c>
      <c r="E303" s="1">
        <v>93.254410710000002</v>
      </c>
      <c r="F303" s="1">
        <v>0.43175410669999997</v>
      </c>
      <c r="G303" s="1">
        <v>6.0221561560000003</v>
      </c>
      <c r="H303" s="1">
        <v>0.29167902839999998</v>
      </c>
      <c r="I303" s="1">
        <v>86.437073749999996</v>
      </c>
      <c r="J303" s="1">
        <v>0.77584410459999997</v>
      </c>
      <c r="K303" s="1">
        <v>12.14597638</v>
      </c>
      <c r="L303" s="1">
        <v>0.6411057671</v>
      </c>
      <c r="M303" s="1">
        <v>98.795162680000004</v>
      </c>
      <c r="N303" s="1">
        <v>0.15209716100000001</v>
      </c>
      <c r="O303" s="1">
        <v>1.04505549</v>
      </c>
      <c r="P303" s="1">
        <v>7.6846736400000004E-3</v>
      </c>
    </row>
    <row r="304" spans="1:16" ht="12.5">
      <c r="A304" s="1" t="s">
        <v>196</v>
      </c>
      <c r="B304" s="1">
        <v>2020</v>
      </c>
      <c r="C304" s="1">
        <v>32971.847659999999</v>
      </c>
      <c r="D304" s="1">
        <v>78.297004700000002</v>
      </c>
      <c r="E304" s="1">
        <v>93.139366210000006</v>
      </c>
      <c r="F304" s="1">
        <v>0.84955935110000003</v>
      </c>
      <c r="G304" s="1">
        <v>4.1504683489999996</v>
      </c>
      <c r="H304" s="1">
        <v>1.8606060870000001</v>
      </c>
      <c r="I304" s="1">
        <v>80.79943849</v>
      </c>
      <c r="J304" s="1">
        <v>1.5969437710000001</v>
      </c>
      <c r="K304" s="1">
        <v>9.6126911629999992</v>
      </c>
      <c r="L304" s="1">
        <v>7.9909265779999998</v>
      </c>
      <c r="M304" s="1">
        <v>96.559844080000005</v>
      </c>
      <c r="N304" s="1">
        <v>0.64239323559999995</v>
      </c>
      <c r="O304" s="1">
        <v>2.6364086929999999</v>
      </c>
      <c r="P304" s="1">
        <v>0.1613539953</v>
      </c>
    </row>
    <row r="305" spans="1:16" ht="12.5">
      <c r="A305" s="1" t="s">
        <v>98</v>
      </c>
      <c r="B305" s="1">
        <v>2015</v>
      </c>
      <c r="C305" s="1">
        <v>16212.02246</v>
      </c>
      <c r="D305" s="1">
        <v>63.397998809999997</v>
      </c>
      <c r="E305" s="1">
        <v>93.063779499999995</v>
      </c>
      <c r="F305" s="1">
        <v>0.19976017630000001</v>
      </c>
      <c r="G305" s="1">
        <v>3.1195651139999998</v>
      </c>
      <c r="H305" s="1">
        <v>3.6168952120000002</v>
      </c>
      <c r="I305" s="1">
        <v>82.552481950000001</v>
      </c>
      <c r="J305" s="1">
        <v>0.445629255</v>
      </c>
      <c r="K305" s="1">
        <v>7.379055031</v>
      </c>
      <c r="L305" s="1">
        <v>9.6228337600000007</v>
      </c>
      <c r="M305" s="1">
        <v>99.132339200000004</v>
      </c>
      <c r="N305" s="1">
        <v>5.7810890199999999E-2</v>
      </c>
      <c r="O305" s="1">
        <v>0.66040450689999997</v>
      </c>
      <c r="P305" s="1">
        <v>0.14944540680000001</v>
      </c>
    </row>
    <row r="306" spans="1:16" ht="12.5">
      <c r="A306" s="1" t="s">
        <v>193</v>
      </c>
      <c r="B306" s="1">
        <v>2015</v>
      </c>
      <c r="C306" s="1">
        <v>3968.48999</v>
      </c>
      <c r="D306" s="1">
        <v>66.695999150000006</v>
      </c>
      <c r="E306" s="1">
        <v>92.904365609999999</v>
      </c>
      <c r="F306" s="1">
        <v>1.845644171</v>
      </c>
      <c r="G306" s="1">
        <v>3.160016841</v>
      </c>
      <c r="H306" s="1">
        <v>2.08997338</v>
      </c>
      <c r="I306" s="1">
        <v>83.679579529999998</v>
      </c>
      <c r="J306" s="1">
        <v>1.737106037</v>
      </c>
      <c r="K306" s="1">
        <v>8.379298168</v>
      </c>
      <c r="L306" s="1">
        <v>6.2040162600000004</v>
      </c>
      <c r="M306" s="1">
        <v>97.510677389999998</v>
      </c>
      <c r="N306" s="1">
        <v>1.899841721</v>
      </c>
      <c r="O306" s="1">
        <v>0.55381483909999996</v>
      </c>
      <c r="P306" s="1">
        <v>3.5666046159999999E-2</v>
      </c>
    </row>
    <row r="307" spans="1:16" ht="12.5">
      <c r="A307" s="1" t="s">
        <v>150</v>
      </c>
      <c r="B307" s="1">
        <v>2020</v>
      </c>
      <c r="C307" s="1">
        <v>6825.4418949999999</v>
      </c>
      <c r="D307" s="1">
        <v>88.924995420000002</v>
      </c>
      <c r="E307" s="1">
        <v>92.6</v>
      </c>
      <c r="F307" s="1">
        <v>7.4</v>
      </c>
      <c r="G307" s="1">
        <v>0</v>
      </c>
      <c r="H307" s="1">
        <v>0</v>
      </c>
      <c r="I307" s="1" t="s">
        <v>272</v>
      </c>
      <c r="J307" s="1" t="s">
        <v>272</v>
      </c>
      <c r="K307" s="1" t="s">
        <v>272</v>
      </c>
      <c r="L307" s="1" t="s">
        <v>272</v>
      </c>
      <c r="M307" s="1" t="s">
        <v>272</v>
      </c>
      <c r="N307" s="1" t="s">
        <v>272</v>
      </c>
      <c r="O307" s="1" t="s">
        <v>272</v>
      </c>
      <c r="P307" s="1" t="s">
        <v>272</v>
      </c>
    </row>
    <row r="308" spans="1:16" ht="12.5">
      <c r="A308" s="1" t="s">
        <v>42</v>
      </c>
      <c r="B308" s="1">
        <v>2015</v>
      </c>
      <c r="C308" s="1">
        <v>9622.7412110000005</v>
      </c>
      <c r="D308" s="1">
        <v>54.7140007</v>
      </c>
      <c r="E308" s="1">
        <v>92.420313980000003</v>
      </c>
      <c r="F308" s="1">
        <v>1.002242415</v>
      </c>
      <c r="G308" s="1">
        <v>4.3650895219999999</v>
      </c>
      <c r="H308" s="1">
        <v>2.2123540799999999</v>
      </c>
      <c r="I308" s="1">
        <v>84.143213270000004</v>
      </c>
      <c r="J308" s="1">
        <v>2.2131397310000001</v>
      </c>
      <c r="K308" s="1">
        <v>8.9882060060000004</v>
      </c>
      <c r="L308" s="1">
        <v>4.6554409919999999</v>
      </c>
      <c r="M308" s="1">
        <v>99.271152029999996</v>
      </c>
      <c r="N308" s="1">
        <v>0</v>
      </c>
      <c r="O308" s="1">
        <v>0.53860203449999999</v>
      </c>
      <c r="P308" s="1">
        <v>0.1902459339</v>
      </c>
    </row>
    <row r="309" spans="1:16" ht="12.5">
      <c r="A309" s="1" t="s">
        <v>133</v>
      </c>
      <c r="B309" s="1">
        <v>2020</v>
      </c>
      <c r="C309" s="1">
        <v>273523.625</v>
      </c>
      <c r="D309" s="1">
        <v>56.640998840000002</v>
      </c>
      <c r="E309" s="1">
        <v>92.415349610000007</v>
      </c>
      <c r="F309" s="1">
        <v>0.85547463349999997</v>
      </c>
      <c r="G309" s="1">
        <v>5.553871666</v>
      </c>
      <c r="H309" s="1">
        <v>1.175304087</v>
      </c>
      <c r="I309" s="1">
        <v>85.667962380000006</v>
      </c>
      <c r="J309" s="1">
        <v>1.1780912299999999</v>
      </c>
      <c r="K309" s="1">
        <v>10.61491462</v>
      </c>
      <c r="L309" s="1">
        <v>2.539031772</v>
      </c>
      <c r="M309" s="1">
        <v>97.580512069999997</v>
      </c>
      <c r="N309" s="1">
        <v>0.60850983449999996</v>
      </c>
      <c r="O309" s="1">
        <v>1.679615139</v>
      </c>
      <c r="P309" s="1">
        <v>0.13136295880000001</v>
      </c>
    </row>
    <row r="310" spans="1:16" ht="12.5">
      <c r="A310" s="1" t="s">
        <v>236</v>
      </c>
      <c r="B310" s="1">
        <v>2020</v>
      </c>
      <c r="C310" s="1">
        <v>21413.25</v>
      </c>
      <c r="D310" s="1">
        <v>18.71299934</v>
      </c>
      <c r="E310" s="1">
        <v>92.227579370000001</v>
      </c>
      <c r="F310" s="1">
        <v>0.59545814949999998</v>
      </c>
      <c r="G310" s="1">
        <v>5.3489270639999997</v>
      </c>
      <c r="H310" s="1">
        <v>1.82803542</v>
      </c>
      <c r="I310" s="1">
        <v>90.537435700000003</v>
      </c>
      <c r="J310" s="1">
        <v>0.70320990380000004</v>
      </c>
      <c r="K310" s="1">
        <v>6.5104886119999996</v>
      </c>
      <c r="L310" s="1">
        <v>2.2488657820000002</v>
      </c>
      <c r="M310" s="1">
        <v>99.569380190000004</v>
      </c>
      <c r="N310" s="1">
        <v>0.12739779009999999</v>
      </c>
      <c r="O310" s="1">
        <v>0.3032220202</v>
      </c>
      <c r="P310" s="1">
        <v>0</v>
      </c>
    </row>
    <row r="311" spans="1:16" ht="12.5">
      <c r="A311" s="1" t="s">
        <v>62</v>
      </c>
      <c r="B311" s="1">
        <v>2020</v>
      </c>
      <c r="C311" s="1">
        <v>2351.625</v>
      </c>
      <c r="D311" s="1">
        <v>70.876998900000004</v>
      </c>
      <c r="E311" s="1">
        <v>92.213563070000006</v>
      </c>
      <c r="F311" s="1">
        <v>4.7230389700000002</v>
      </c>
      <c r="G311" s="1">
        <v>1.7325264760000001</v>
      </c>
      <c r="H311" s="1">
        <v>1.330871481</v>
      </c>
      <c r="I311" s="1">
        <v>79.04372386</v>
      </c>
      <c r="J311" s="1">
        <v>15.154947180000001</v>
      </c>
      <c r="K311" s="1">
        <v>1.5961191560000001</v>
      </c>
      <c r="L311" s="1">
        <v>4.2052098100000004</v>
      </c>
      <c r="M311" s="1">
        <v>97.624980579999999</v>
      </c>
      <c r="N311" s="1">
        <v>0.43662003220000001</v>
      </c>
      <c r="O311" s="1">
        <v>1.788579159</v>
      </c>
      <c r="P311" s="1">
        <v>0.14982022810000001</v>
      </c>
    </row>
    <row r="312" spans="1:16" ht="12.5">
      <c r="A312" s="1" t="s">
        <v>190</v>
      </c>
      <c r="B312" s="1">
        <v>2020</v>
      </c>
      <c r="C312" s="1">
        <v>5106.6220700000003</v>
      </c>
      <c r="D312" s="1">
        <v>86.275993349999993</v>
      </c>
      <c r="E312" s="1">
        <v>92.168024689999996</v>
      </c>
      <c r="F312" s="1">
        <v>7.5414198929999996</v>
      </c>
      <c r="G312" s="1">
        <v>0.26040520360000002</v>
      </c>
      <c r="H312" s="1">
        <v>3.0150217449999999E-2</v>
      </c>
      <c r="I312" s="1">
        <v>76.250779910000006</v>
      </c>
      <c r="J312" s="1">
        <v>21.632121130000002</v>
      </c>
      <c r="K312" s="1">
        <v>1.897409218</v>
      </c>
      <c r="L312" s="1">
        <v>0.21968973750000001</v>
      </c>
      <c r="M312" s="1">
        <v>94.7</v>
      </c>
      <c r="N312" s="1">
        <v>5.3</v>
      </c>
      <c r="O312" s="1">
        <v>0</v>
      </c>
      <c r="P312" s="1">
        <v>0</v>
      </c>
    </row>
    <row r="313" spans="1:16" ht="12.5">
      <c r="A313" s="1" t="s">
        <v>124</v>
      </c>
      <c r="B313" s="1">
        <v>2015</v>
      </c>
      <c r="C313" s="1">
        <v>16252.424800000001</v>
      </c>
      <c r="D313" s="1">
        <v>49.971000670000002</v>
      </c>
      <c r="E313" s="1">
        <v>92.134033849999994</v>
      </c>
      <c r="F313" s="1">
        <v>0.96845174850000004</v>
      </c>
      <c r="G313" s="1">
        <v>4.7652610869999998</v>
      </c>
      <c r="H313" s="1">
        <v>2.1322533130000001</v>
      </c>
      <c r="I313" s="1">
        <v>87.242756180000001</v>
      </c>
      <c r="J313" s="1">
        <v>1.6509012869999999</v>
      </c>
      <c r="K313" s="1">
        <v>7.052091828</v>
      </c>
      <c r="L313" s="1">
        <v>4.0542507089999997</v>
      </c>
      <c r="M313" s="1">
        <v>97.030988910000005</v>
      </c>
      <c r="N313" s="1">
        <v>0.2852100796</v>
      </c>
      <c r="O313" s="1">
        <v>2.4757759840000002</v>
      </c>
      <c r="P313" s="1">
        <v>0.20802502270000001</v>
      </c>
    </row>
    <row r="314" spans="1:16" ht="12.5">
      <c r="A314" s="1" t="s">
        <v>197</v>
      </c>
      <c r="B314" s="1">
        <v>2015</v>
      </c>
      <c r="C314" s="1">
        <v>102113.2031</v>
      </c>
      <c r="D314" s="1">
        <v>46.284000399999996</v>
      </c>
      <c r="E314" s="1">
        <v>92.017701020000004</v>
      </c>
      <c r="F314" s="1">
        <v>2.9204293190000001</v>
      </c>
      <c r="G314" s="1">
        <v>4.5321384619999998</v>
      </c>
      <c r="H314" s="1">
        <v>0.52973119440000005</v>
      </c>
      <c r="I314" s="1">
        <v>88.208162329999993</v>
      </c>
      <c r="J314" s="1">
        <v>3.8258925420000001</v>
      </c>
      <c r="K314" s="1">
        <v>7.1112130369999997</v>
      </c>
      <c r="L314" s="1">
        <v>0.85473209370000003</v>
      </c>
      <c r="M314" s="1">
        <v>96.438952139999998</v>
      </c>
      <c r="N314" s="1">
        <v>1.8695723529999999</v>
      </c>
      <c r="O314" s="1">
        <v>1.5389318729999999</v>
      </c>
      <c r="P314" s="1">
        <v>0.15254363930000001</v>
      </c>
    </row>
    <row r="315" spans="1:16" ht="12.5">
      <c r="A315" s="1" t="s">
        <v>233</v>
      </c>
      <c r="B315" s="1">
        <v>2015</v>
      </c>
      <c r="C315" s="1">
        <v>55386.367189999997</v>
      </c>
      <c r="D315" s="1">
        <v>64.828002929999997</v>
      </c>
      <c r="E315" s="1">
        <v>91.876343869999999</v>
      </c>
      <c r="F315" s="1">
        <v>2.8031559650000002</v>
      </c>
      <c r="G315" s="1">
        <v>2.0788208039999998</v>
      </c>
      <c r="H315" s="1">
        <v>3.2416793589999999</v>
      </c>
      <c r="I315" s="1">
        <v>79.033738529999994</v>
      </c>
      <c r="J315" s="1">
        <v>6.6176674499999999</v>
      </c>
      <c r="K315" s="1">
        <v>5.1319458180000002</v>
      </c>
      <c r="L315" s="1">
        <v>9.216648202</v>
      </c>
      <c r="M315" s="1">
        <v>98.844013450000006</v>
      </c>
      <c r="N315" s="1">
        <v>0.73361828630000003</v>
      </c>
      <c r="O315" s="1">
        <v>0.42236825970000003</v>
      </c>
      <c r="P315" s="1">
        <v>0</v>
      </c>
    </row>
    <row r="316" spans="1:16" ht="12.5">
      <c r="A316" s="1" t="s">
        <v>218</v>
      </c>
      <c r="B316" s="1">
        <v>2020</v>
      </c>
      <c r="C316" s="1">
        <v>198.4100037</v>
      </c>
      <c r="D316" s="1">
        <v>17.888999940000001</v>
      </c>
      <c r="E316" s="1">
        <v>91.837724550000004</v>
      </c>
      <c r="F316" s="1">
        <v>6.5208999519999997</v>
      </c>
      <c r="G316" s="1">
        <v>1.4186234280000001</v>
      </c>
      <c r="H316" s="1">
        <v>0.22275206789999999</v>
      </c>
      <c r="I316" s="1">
        <v>91.780322870000006</v>
      </c>
      <c r="J316" s="1">
        <v>6.2207033389999999</v>
      </c>
      <c r="K316" s="1">
        <v>1.7276921599999999</v>
      </c>
      <c r="L316" s="1">
        <v>0.2712816327</v>
      </c>
      <c r="M316" s="1">
        <v>92.101190000000003</v>
      </c>
      <c r="N316" s="1">
        <v>7.8988100000000001</v>
      </c>
      <c r="O316" s="1">
        <v>0</v>
      </c>
      <c r="P316" s="1">
        <v>0</v>
      </c>
    </row>
    <row r="317" spans="1:16" ht="12.5">
      <c r="A317" s="1" t="s">
        <v>78</v>
      </c>
      <c r="B317" s="1">
        <v>2015</v>
      </c>
      <c r="C317" s="1">
        <v>1430405.375</v>
      </c>
      <c r="D317" s="1">
        <v>55.852706910000002</v>
      </c>
      <c r="E317" s="1">
        <v>91.76264123</v>
      </c>
      <c r="F317" s="1">
        <v>0.81876266180000001</v>
      </c>
      <c r="G317" s="1">
        <v>6.7820774070000001</v>
      </c>
      <c r="H317" s="1">
        <v>0.63651870079999995</v>
      </c>
      <c r="I317" s="1">
        <v>84.479187920000001</v>
      </c>
      <c r="J317" s="1">
        <v>1.51186307</v>
      </c>
      <c r="K317" s="1">
        <v>12.952949009999999</v>
      </c>
      <c r="L317" s="1">
        <v>1.056</v>
      </c>
      <c r="M317" s="1">
        <v>97.519653969999993</v>
      </c>
      <c r="N317" s="1">
        <v>0.27091980389999998</v>
      </c>
      <c r="O317" s="1">
        <v>1.9044754100000001</v>
      </c>
      <c r="P317" s="1">
        <v>0.30495081969999999</v>
      </c>
    </row>
    <row r="318" spans="1:16" ht="12.5">
      <c r="A318" s="1" t="s">
        <v>147</v>
      </c>
      <c r="B318" s="1">
        <v>2020</v>
      </c>
      <c r="C318" s="1">
        <v>6524.1909180000002</v>
      </c>
      <c r="D318" s="1">
        <v>36.855998990000003</v>
      </c>
      <c r="E318" s="1">
        <v>91.699305219999999</v>
      </c>
      <c r="F318" s="1">
        <v>1.900734111</v>
      </c>
      <c r="G318" s="1">
        <v>1.8656486999999999</v>
      </c>
      <c r="H318" s="1">
        <v>4.5343119649999997</v>
      </c>
      <c r="I318" s="1">
        <v>87.258429000000007</v>
      </c>
      <c r="J318" s="1">
        <v>2.606070485</v>
      </c>
      <c r="K318" s="1">
        <v>2.9545936840000002</v>
      </c>
      <c r="L318" s="1">
        <v>7.1809068319999998</v>
      </c>
      <c r="M318" s="1">
        <v>99.307692309999993</v>
      </c>
      <c r="N318" s="1">
        <v>0.6923076923</v>
      </c>
      <c r="O318" s="1">
        <v>0</v>
      </c>
      <c r="P318" s="1">
        <v>0</v>
      </c>
    </row>
    <row r="319" spans="1:16" ht="12.5">
      <c r="A319" s="1" t="s">
        <v>216</v>
      </c>
      <c r="B319" s="1">
        <v>2020</v>
      </c>
      <c r="C319" s="1">
        <v>5.795000076</v>
      </c>
      <c r="D319" s="1">
        <v>89.96199799</v>
      </c>
      <c r="E319" s="1">
        <v>91.4</v>
      </c>
      <c r="F319" s="1">
        <v>0</v>
      </c>
      <c r="G319" s="1">
        <v>8.6</v>
      </c>
      <c r="H319" s="1">
        <v>0</v>
      </c>
      <c r="I319" s="1" t="s">
        <v>272</v>
      </c>
      <c r="J319" s="1" t="s">
        <v>272</v>
      </c>
      <c r="K319" s="1" t="s">
        <v>272</v>
      </c>
      <c r="L319" s="1" t="s">
        <v>272</v>
      </c>
      <c r="M319" s="1" t="s">
        <v>272</v>
      </c>
      <c r="N319" s="1" t="s">
        <v>272</v>
      </c>
      <c r="O319" s="1" t="s">
        <v>272</v>
      </c>
      <c r="P319" s="1" t="s">
        <v>272</v>
      </c>
    </row>
    <row r="320" spans="1:16" ht="12.5">
      <c r="A320" s="1" t="s">
        <v>216</v>
      </c>
      <c r="B320" s="1">
        <v>2015</v>
      </c>
      <c r="C320" s="1">
        <v>5.9920001029999996</v>
      </c>
      <c r="D320" s="1">
        <v>89.888999940000005</v>
      </c>
      <c r="E320" s="1">
        <v>91.4</v>
      </c>
      <c r="F320" s="1">
        <v>0</v>
      </c>
      <c r="G320" s="1">
        <v>8.6</v>
      </c>
      <c r="H320" s="1">
        <v>0</v>
      </c>
      <c r="I320" s="1" t="s">
        <v>272</v>
      </c>
      <c r="J320" s="1" t="s">
        <v>272</v>
      </c>
      <c r="K320" s="1" t="s">
        <v>272</v>
      </c>
      <c r="L320" s="1" t="s">
        <v>272</v>
      </c>
      <c r="M320" s="1" t="s">
        <v>272</v>
      </c>
      <c r="N320" s="1" t="s">
        <v>272</v>
      </c>
      <c r="O320" s="1" t="s">
        <v>272</v>
      </c>
      <c r="P320" s="1" t="s">
        <v>272</v>
      </c>
    </row>
    <row r="321" spans="1:16" ht="12.5">
      <c r="A321" s="1" t="s">
        <v>218</v>
      </c>
      <c r="B321" s="1">
        <v>2015</v>
      </c>
      <c r="C321" s="1">
        <v>193.5099945</v>
      </c>
      <c r="D321" s="1">
        <v>18.914001460000001</v>
      </c>
      <c r="E321" s="1">
        <v>91.321397360000006</v>
      </c>
      <c r="F321" s="1">
        <v>6.4992812960000004</v>
      </c>
      <c r="G321" s="1">
        <v>1.929815904</v>
      </c>
      <c r="H321" s="1">
        <v>0.24950544129999999</v>
      </c>
      <c r="I321" s="1">
        <v>91.386415650000004</v>
      </c>
      <c r="J321" s="1">
        <v>6.194005024</v>
      </c>
      <c r="K321" s="1">
        <v>2.1485295340000001</v>
      </c>
      <c r="L321" s="1">
        <v>0.2710497959</v>
      </c>
      <c r="M321" s="1">
        <v>91.042648679999999</v>
      </c>
      <c r="N321" s="1">
        <v>7.8080270609999998</v>
      </c>
      <c r="O321" s="1">
        <v>0.9921814015</v>
      </c>
      <c r="P321" s="1">
        <v>0.15714285710000001</v>
      </c>
    </row>
    <row r="322" spans="1:16" ht="12.5">
      <c r="A322" s="1" t="s">
        <v>264</v>
      </c>
      <c r="B322" s="1">
        <v>2020</v>
      </c>
      <c r="C322" s="1">
        <v>307.14999390000003</v>
      </c>
      <c r="D322" s="1">
        <v>25.525001530000001</v>
      </c>
      <c r="E322" s="1">
        <v>91.231190749999996</v>
      </c>
      <c r="F322" s="1">
        <v>1.0623850500000001</v>
      </c>
      <c r="G322" s="1">
        <v>0</v>
      </c>
      <c r="H322" s="1">
        <v>7.706424202</v>
      </c>
      <c r="I322" s="1">
        <v>88.397201229999993</v>
      </c>
      <c r="J322" s="1">
        <v>1.255132675</v>
      </c>
      <c r="K322" s="1">
        <v>0</v>
      </c>
      <c r="L322" s="1">
        <v>10.3476661</v>
      </c>
      <c r="M322" s="1">
        <v>99.5</v>
      </c>
      <c r="N322" s="1">
        <v>0.5</v>
      </c>
      <c r="O322" s="1">
        <v>0</v>
      </c>
      <c r="P322" s="1">
        <v>0</v>
      </c>
    </row>
    <row r="323" spans="1:16" ht="12.5">
      <c r="A323" s="1" t="s">
        <v>150</v>
      </c>
      <c r="B323" s="1">
        <v>2015</v>
      </c>
      <c r="C323" s="1">
        <v>6532.6811520000001</v>
      </c>
      <c r="D323" s="1">
        <v>88.106002810000007</v>
      </c>
      <c r="E323" s="1">
        <v>91.224322509999993</v>
      </c>
      <c r="F323" s="1">
        <v>7.2900646499999997</v>
      </c>
      <c r="G323" s="1">
        <v>1.3401928400000001</v>
      </c>
      <c r="H323" s="1">
        <v>0.14541999999999999</v>
      </c>
      <c r="I323" s="1" t="s">
        <v>272</v>
      </c>
      <c r="J323" s="1" t="s">
        <v>272</v>
      </c>
      <c r="K323" s="1" t="s">
        <v>272</v>
      </c>
      <c r="L323" s="1" t="s">
        <v>272</v>
      </c>
      <c r="M323" s="1" t="s">
        <v>272</v>
      </c>
      <c r="N323" s="1" t="s">
        <v>272</v>
      </c>
      <c r="O323" s="1" t="s">
        <v>272</v>
      </c>
      <c r="P323" s="1" t="s">
        <v>272</v>
      </c>
    </row>
    <row r="324" spans="1:16" ht="12.5">
      <c r="A324" s="1" t="s">
        <v>140</v>
      </c>
      <c r="B324" s="1">
        <v>2020</v>
      </c>
      <c r="C324" s="1">
        <v>2961.1608890000002</v>
      </c>
      <c r="D324" s="1">
        <v>56.311000819999997</v>
      </c>
      <c r="E324" s="1">
        <v>91.029944499999999</v>
      </c>
      <c r="F324" s="1">
        <v>5.3675709139999999</v>
      </c>
      <c r="G324" s="1">
        <v>1.8640102030000001</v>
      </c>
      <c r="H324" s="1">
        <v>1.7384743789999999</v>
      </c>
      <c r="I324" s="1">
        <v>85.39991216</v>
      </c>
      <c r="J324" s="1">
        <v>8.4907373709999998</v>
      </c>
      <c r="K324" s="1">
        <v>2.5689718949999998</v>
      </c>
      <c r="L324" s="1">
        <v>3.540378574</v>
      </c>
      <c r="M324" s="1">
        <v>95.398015909999998</v>
      </c>
      <c r="N324" s="1">
        <v>2.944456223</v>
      </c>
      <c r="O324" s="1">
        <v>1.317064322</v>
      </c>
      <c r="P324" s="1">
        <v>0.34046355</v>
      </c>
    </row>
    <row r="325" spans="1:16" ht="12.5">
      <c r="A325" s="1" t="s">
        <v>203</v>
      </c>
      <c r="B325" s="1">
        <v>2020</v>
      </c>
      <c r="C325" s="1">
        <v>4033.9628910000001</v>
      </c>
      <c r="D325" s="1">
        <v>42.849002839999997</v>
      </c>
      <c r="E325" s="1">
        <v>90.569962239999995</v>
      </c>
      <c r="F325" s="1">
        <v>1.519776762</v>
      </c>
      <c r="G325" s="1">
        <v>7.910260997</v>
      </c>
      <c r="H325" s="1">
        <v>0</v>
      </c>
      <c r="I325" s="1">
        <v>85.481038119999994</v>
      </c>
      <c r="J325" s="1">
        <v>1.52256302</v>
      </c>
      <c r="K325" s="1">
        <v>12.996398859999999</v>
      </c>
      <c r="L325" s="1">
        <v>0</v>
      </c>
      <c r="M325" s="1">
        <v>97.357444479999998</v>
      </c>
      <c r="N325" s="1">
        <v>1.516060408</v>
      </c>
      <c r="O325" s="1">
        <v>1.1264951110000001</v>
      </c>
      <c r="P325" s="1">
        <v>0</v>
      </c>
    </row>
    <row r="326" spans="1:16" ht="12.5">
      <c r="A326" s="1" t="s">
        <v>132</v>
      </c>
      <c r="B326" s="1">
        <v>2020</v>
      </c>
      <c r="C326" s="1">
        <v>1380004.375</v>
      </c>
      <c r="D326" s="1">
        <v>34.926002500000003</v>
      </c>
      <c r="E326" s="1">
        <v>90.489525029999996</v>
      </c>
      <c r="F326" s="1">
        <v>4.9836025619999997</v>
      </c>
      <c r="G326" s="1">
        <v>3.9631539450000002</v>
      </c>
      <c r="H326" s="1">
        <v>0.56371846260000003</v>
      </c>
      <c r="I326" s="1">
        <v>88.782503129999995</v>
      </c>
      <c r="J326" s="1">
        <v>5.9022100540000002</v>
      </c>
      <c r="K326" s="1">
        <v>4.5763757299999996</v>
      </c>
      <c r="L326" s="1">
        <v>0.73891108559999996</v>
      </c>
      <c r="M326" s="1">
        <v>93.670036300000007</v>
      </c>
      <c r="N326" s="1">
        <v>3.2720560270000001</v>
      </c>
      <c r="O326" s="1">
        <v>2.8206075230000001</v>
      </c>
      <c r="P326" s="1">
        <v>0.2373001538</v>
      </c>
    </row>
    <row r="327" spans="1:16" ht="12.5">
      <c r="A327" s="1" t="s">
        <v>60</v>
      </c>
      <c r="B327" s="1">
        <v>2015</v>
      </c>
      <c r="C327" s="1">
        <v>10869.73242</v>
      </c>
      <c r="D327" s="1">
        <v>68.392997739999998</v>
      </c>
      <c r="E327" s="1">
        <v>90.462141009999996</v>
      </c>
      <c r="F327" s="1">
        <v>0.17289839809999999</v>
      </c>
      <c r="G327" s="1">
        <v>2.832457169</v>
      </c>
      <c r="H327" s="1">
        <v>6.5325034249999998</v>
      </c>
      <c r="I327" s="1">
        <v>73.740180199999998</v>
      </c>
      <c r="J327" s="1">
        <v>0.33996878380000001</v>
      </c>
      <c r="K327" s="1">
        <v>5.9118005360000003</v>
      </c>
      <c r="L327" s="1">
        <v>20.008050480000001</v>
      </c>
      <c r="M327" s="1">
        <v>98.189997079999998</v>
      </c>
      <c r="N327" s="1">
        <v>9.5688834099999995E-2</v>
      </c>
      <c r="O327" s="1">
        <v>1.4093724700000001</v>
      </c>
      <c r="P327" s="1">
        <v>0.304941615</v>
      </c>
    </row>
    <row r="328" spans="1:16" ht="12.5">
      <c r="A328" s="1" t="s">
        <v>140</v>
      </c>
      <c r="B328" s="1">
        <v>2015</v>
      </c>
      <c r="C328" s="1">
        <v>2891.0239259999998</v>
      </c>
      <c r="D328" s="1">
        <v>54.833004000000003</v>
      </c>
      <c r="E328" s="1">
        <v>90.416796289999994</v>
      </c>
      <c r="F328" s="1">
        <v>5.4073366030000001</v>
      </c>
      <c r="G328" s="1">
        <v>2.169821217</v>
      </c>
      <c r="H328" s="1">
        <v>2.006045893</v>
      </c>
      <c r="I328" s="1">
        <v>84.500709900000004</v>
      </c>
      <c r="J328" s="1">
        <v>8.4013357529999997</v>
      </c>
      <c r="K328" s="1">
        <v>3.055395678</v>
      </c>
      <c r="L328" s="1">
        <v>4.0425586710000001</v>
      </c>
      <c r="M328" s="1">
        <v>95.289990239999995</v>
      </c>
      <c r="N328" s="1">
        <v>2.9411220149999999</v>
      </c>
      <c r="O328" s="1">
        <v>1.440356529</v>
      </c>
      <c r="P328" s="1">
        <v>0.32853121530000001</v>
      </c>
    </row>
    <row r="329" spans="1:16" ht="12.5">
      <c r="A329" s="1" t="s">
        <v>174</v>
      </c>
      <c r="B329" s="1">
        <v>2020</v>
      </c>
      <c r="C329" s="1">
        <v>36910.558590000001</v>
      </c>
      <c r="D329" s="1">
        <v>63.531997680000003</v>
      </c>
      <c r="E329" s="1">
        <v>90.402344679999999</v>
      </c>
      <c r="F329" s="1">
        <v>5.2635496010000002</v>
      </c>
      <c r="G329" s="1">
        <v>2.8776725000000001</v>
      </c>
      <c r="H329" s="1">
        <v>1.456433219</v>
      </c>
      <c r="I329" s="1">
        <v>77.346128960000001</v>
      </c>
      <c r="J329" s="1">
        <v>12.03707816</v>
      </c>
      <c r="K329" s="1">
        <v>6.6230633729999999</v>
      </c>
      <c r="L329" s="1">
        <v>3.9937295019999999</v>
      </c>
      <c r="M329" s="1">
        <v>97.896746010000001</v>
      </c>
      <c r="N329" s="1">
        <v>1.375477117</v>
      </c>
      <c r="O329" s="1">
        <v>0.72777687589999995</v>
      </c>
      <c r="P329" s="1">
        <v>0</v>
      </c>
    </row>
    <row r="330" spans="1:16" ht="12.5">
      <c r="A330" s="1" t="s">
        <v>196</v>
      </c>
      <c r="B330" s="1">
        <v>2015</v>
      </c>
      <c r="C330" s="1">
        <v>30470.738280000001</v>
      </c>
      <c r="D330" s="1">
        <v>77.357002260000002</v>
      </c>
      <c r="E330" s="1">
        <v>90.282003040000006</v>
      </c>
      <c r="F330" s="1">
        <v>0.93258347190000002</v>
      </c>
      <c r="G330" s="1">
        <v>5.7636260549999996</v>
      </c>
      <c r="H330" s="1">
        <v>3.0217874390000001</v>
      </c>
      <c r="I330" s="1">
        <v>73.287623839999995</v>
      </c>
      <c r="J330" s="1">
        <v>1.5230403370000001</v>
      </c>
      <c r="K330" s="1">
        <v>12.99206766</v>
      </c>
      <c r="L330" s="1">
        <v>12.197268169999999</v>
      </c>
      <c r="M330" s="1">
        <v>95.256387020000005</v>
      </c>
      <c r="N330" s="1">
        <v>0.75975208999999999</v>
      </c>
      <c r="O330" s="1">
        <v>3.6478085579999999</v>
      </c>
      <c r="P330" s="1">
        <v>0.33605232909999999</v>
      </c>
    </row>
    <row r="331" spans="1:16" ht="12.5">
      <c r="A331" s="1" t="s">
        <v>190</v>
      </c>
      <c r="B331" s="1">
        <v>2015</v>
      </c>
      <c r="C331" s="1">
        <v>4267.3408200000003</v>
      </c>
      <c r="D331" s="1">
        <v>81.349998470000003</v>
      </c>
      <c r="E331" s="1">
        <v>90.238485639999993</v>
      </c>
      <c r="F331" s="1">
        <v>8.2088027879999999</v>
      </c>
      <c r="G331" s="1">
        <v>1.473142599</v>
      </c>
      <c r="H331" s="1">
        <v>7.9568975099999995E-2</v>
      </c>
      <c r="I331" s="1">
        <v>74.366908460000005</v>
      </c>
      <c r="J331" s="1">
        <v>21.097672360000001</v>
      </c>
      <c r="K331" s="1">
        <v>4.3867318319999997</v>
      </c>
      <c r="L331" s="1">
        <v>0.14868735080000001</v>
      </c>
      <c r="M331" s="1">
        <v>93.877145080000005</v>
      </c>
      <c r="N331" s="1">
        <v>5.2539479289999997</v>
      </c>
      <c r="O331" s="1">
        <v>0.80518384210000005</v>
      </c>
      <c r="P331" s="1">
        <v>6.3723150359999994E-2</v>
      </c>
    </row>
    <row r="332" spans="1:16" ht="12.5">
      <c r="A332" s="1" t="s">
        <v>191</v>
      </c>
      <c r="B332" s="1">
        <v>2020</v>
      </c>
      <c r="C332" s="1">
        <v>220892.32810000001</v>
      </c>
      <c r="D332" s="1">
        <v>37.165000919999997</v>
      </c>
      <c r="E332" s="1">
        <v>90.148965079999996</v>
      </c>
      <c r="F332" s="1">
        <v>3.8222795249999999</v>
      </c>
      <c r="G332" s="1">
        <v>4.4133075740000001</v>
      </c>
      <c r="H332" s="1">
        <v>1.61544782</v>
      </c>
      <c r="I332" s="1">
        <v>88.599860759999999</v>
      </c>
      <c r="J332" s="1">
        <v>3.852278117</v>
      </c>
      <c r="K332" s="1">
        <v>5.1745965089999997</v>
      </c>
      <c r="L332" s="1">
        <v>2.3732646169999998</v>
      </c>
      <c r="M332" s="1">
        <v>92.768049849999997</v>
      </c>
      <c r="N332" s="1">
        <v>3.7715611619999998</v>
      </c>
      <c r="O332" s="1">
        <v>3.126184571</v>
      </c>
      <c r="P332" s="1">
        <v>0.33420442230000003</v>
      </c>
    </row>
    <row r="333" spans="1:16" ht="12.5">
      <c r="A333" s="1" t="s">
        <v>236</v>
      </c>
      <c r="B333" s="1">
        <v>2015</v>
      </c>
      <c r="C333" s="1">
        <v>20908.023440000001</v>
      </c>
      <c r="D333" s="1">
        <v>18.256000520000001</v>
      </c>
      <c r="E333" s="1">
        <v>90.111028570000002</v>
      </c>
      <c r="F333" s="1">
        <v>0.91280129350000005</v>
      </c>
      <c r="G333" s="1">
        <v>6.7615228930000004</v>
      </c>
      <c r="H333" s="1">
        <v>2.2146472469999998</v>
      </c>
      <c r="I333" s="1">
        <v>88.257106140000005</v>
      </c>
      <c r="J333" s="1">
        <v>1.0162902579999999</v>
      </c>
      <c r="K333" s="1">
        <v>8.017356135</v>
      </c>
      <c r="L333" s="1">
        <v>2.7092474630000001</v>
      </c>
      <c r="M333" s="1">
        <v>98.412246519999997</v>
      </c>
      <c r="N333" s="1">
        <v>0.44941380939999998</v>
      </c>
      <c r="O333" s="1">
        <v>1.1383396720000001</v>
      </c>
      <c r="P333" s="1">
        <v>0</v>
      </c>
    </row>
    <row r="334" spans="1:16" ht="12.5">
      <c r="A334" s="1" t="s">
        <v>179</v>
      </c>
      <c r="B334" s="1">
        <v>2020</v>
      </c>
      <c r="C334" s="1">
        <v>29136.808590000001</v>
      </c>
      <c r="D334" s="1">
        <v>20.57600021</v>
      </c>
      <c r="E334" s="1">
        <v>90.074541789999998</v>
      </c>
      <c r="F334" s="1">
        <v>3.979825725</v>
      </c>
      <c r="G334" s="1">
        <v>4.699081176</v>
      </c>
      <c r="H334" s="1">
        <v>1.246551314</v>
      </c>
      <c r="I334" s="1">
        <v>90.203271650000005</v>
      </c>
      <c r="J334" s="1">
        <v>4.2073482459999996</v>
      </c>
      <c r="K334" s="1">
        <v>4.2690239510000003</v>
      </c>
      <c r="L334" s="1">
        <v>1.320356149</v>
      </c>
      <c r="M334" s="1">
        <v>89.577633160000005</v>
      </c>
      <c r="N334" s="1">
        <v>3.1015814110000002</v>
      </c>
      <c r="O334" s="1">
        <v>6.359123168</v>
      </c>
      <c r="P334" s="1">
        <v>0.96166225849999998</v>
      </c>
    </row>
    <row r="335" spans="1:16" ht="12.5">
      <c r="A335" s="1" t="s">
        <v>264</v>
      </c>
      <c r="B335" s="1">
        <v>2015</v>
      </c>
      <c r="C335" s="1">
        <v>271.1279907</v>
      </c>
      <c r="D335" s="1">
        <v>24.961002350000001</v>
      </c>
      <c r="E335" s="1">
        <v>89.988176490000001</v>
      </c>
      <c r="F335" s="1">
        <v>1.05094321</v>
      </c>
      <c r="G335" s="1">
        <v>1.545004807</v>
      </c>
      <c r="H335" s="1">
        <v>7.4158754880000002</v>
      </c>
      <c r="I335" s="1">
        <v>86.978050659999994</v>
      </c>
      <c r="J335" s="1">
        <v>1.234982464</v>
      </c>
      <c r="K335" s="1">
        <v>1.9042720630000001</v>
      </c>
      <c r="L335" s="1">
        <v>9.8826948130000005</v>
      </c>
      <c r="M335" s="1">
        <v>99.037355989999995</v>
      </c>
      <c r="N335" s="1">
        <v>0.49767515569999998</v>
      </c>
      <c r="O335" s="1">
        <v>0.46496885310000002</v>
      </c>
      <c r="P335" s="1">
        <v>0</v>
      </c>
    </row>
    <row r="336" spans="1:16" ht="12.5">
      <c r="A336" s="1" t="s">
        <v>191</v>
      </c>
      <c r="B336" s="1">
        <v>2015</v>
      </c>
      <c r="C336" s="1">
        <v>199426.95310000001</v>
      </c>
      <c r="D336" s="1">
        <v>36.026000979999999</v>
      </c>
      <c r="E336" s="1">
        <v>89.454982340000001</v>
      </c>
      <c r="F336" s="1">
        <v>3.6559530200000001</v>
      </c>
      <c r="G336" s="1">
        <v>4.4216911899999998</v>
      </c>
      <c r="H336" s="1">
        <v>2.4673734469999999</v>
      </c>
      <c r="I336" s="1">
        <v>87.15095676</v>
      </c>
      <c r="J336" s="1">
        <v>3.9565638390000002</v>
      </c>
      <c r="K336" s="1">
        <v>5.2364128790000004</v>
      </c>
      <c r="L336" s="1">
        <v>3.6560665229999998</v>
      </c>
      <c r="M336" s="1">
        <v>93.546408839999998</v>
      </c>
      <c r="N336" s="1">
        <v>3.1221364330000001</v>
      </c>
      <c r="O336" s="1">
        <v>2.9749303889999998</v>
      </c>
      <c r="P336" s="1">
        <v>0.35652434</v>
      </c>
    </row>
    <row r="337" spans="1:16" ht="12.5">
      <c r="A337" s="1" t="s">
        <v>69</v>
      </c>
      <c r="B337" s="1">
        <v>2020</v>
      </c>
      <c r="C337" s="1">
        <v>555.98797609999997</v>
      </c>
      <c r="D337" s="1">
        <v>66.652000430000001</v>
      </c>
      <c r="E337" s="1">
        <v>88.769606420000002</v>
      </c>
      <c r="F337" s="1">
        <v>7.9041508460000003</v>
      </c>
      <c r="G337" s="1">
        <v>3.2091477159999999</v>
      </c>
      <c r="H337" s="1">
        <v>0.1170950144</v>
      </c>
      <c r="I337" s="1">
        <v>80.114525439999994</v>
      </c>
      <c r="J337" s="1">
        <v>9.9111270220000005</v>
      </c>
      <c r="K337" s="1">
        <v>9.6232170030000006</v>
      </c>
      <c r="L337" s="1">
        <v>0.35113053970000002</v>
      </c>
      <c r="M337" s="1">
        <v>93.1</v>
      </c>
      <c r="N337" s="1">
        <v>6.9</v>
      </c>
      <c r="O337" s="1">
        <v>0</v>
      </c>
      <c r="P337" s="1">
        <v>0</v>
      </c>
    </row>
    <row r="338" spans="1:16" ht="12.5">
      <c r="A338" s="1" t="s">
        <v>203</v>
      </c>
      <c r="B338" s="1">
        <v>2015</v>
      </c>
      <c r="C338" s="1">
        <v>4070.705078</v>
      </c>
      <c r="D338" s="1">
        <v>42.489997860000003</v>
      </c>
      <c r="E338" s="1">
        <v>88.576031900000004</v>
      </c>
      <c r="F338" s="1">
        <v>1.485629517</v>
      </c>
      <c r="G338" s="1">
        <v>9.9383385820000001</v>
      </c>
      <c r="H338" s="1">
        <v>0</v>
      </c>
      <c r="I338" s="1">
        <v>82.542490749999999</v>
      </c>
      <c r="J338" s="1">
        <v>1.4702224820000001</v>
      </c>
      <c r="K338" s="1">
        <v>15.987286770000001</v>
      </c>
      <c r="L338" s="1">
        <v>0</v>
      </c>
      <c r="M338" s="1">
        <v>96.742399399999996</v>
      </c>
      <c r="N338" s="1">
        <v>1.5064828610000001</v>
      </c>
      <c r="O338" s="1">
        <v>1.7511177389999999</v>
      </c>
      <c r="P338" s="1">
        <v>0</v>
      </c>
    </row>
    <row r="339" spans="1:16" ht="12.5">
      <c r="A339" s="1" t="s">
        <v>163</v>
      </c>
      <c r="B339" s="1">
        <v>2020</v>
      </c>
      <c r="C339" s="1">
        <v>59.194000240000001</v>
      </c>
      <c r="D339" s="1">
        <v>77.793991090000006</v>
      </c>
      <c r="E339" s="1">
        <v>88.572046979999996</v>
      </c>
      <c r="F339" s="1">
        <v>11.387979</v>
      </c>
      <c r="G339" s="1">
        <v>3.9974025849999997E-2</v>
      </c>
      <c r="H339" s="1">
        <v>0</v>
      </c>
      <c r="I339" s="1">
        <v>94.429720000000003</v>
      </c>
      <c r="J339" s="1">
        <v>5.3902799999999997</v>
      </c>
      <c r="K339" s="1">
        <v>0.18</v>
      </c>
      <c r="L339" s="1">
        <v>0</v>
      </c>
      <c r="M339" s="1">
        <v>86.9</v>
      </c>
      <c r="N339" s="1">
        <v>13.1</v>
      </c>
      <c r="O339" s="1">
        <v>0</v>
      </c>
      <c r="P339" s="1">
        <v>0</v>
      </c>
    </row>
    <row r="340" spans="1:16" ht="12.5">
      <c r="A340" s="1" t="s">
        <v>133</v>
      </c>
      <c r="B340" s="1">
        <v>2015</v>
      </c>
      <c r="C340" s="1">
        <v>258383.25</v>
      </c>
      <c r="D340" s="1">
        <v>53.312999730000001</v>
      </c>
      <c r="E340" s="1">
        <v>88.527352960000002</v>
      </c>
      <c r="F340" s="1">
        <v>0.79413052260000006</v>
      </c>
      <c r="G340" s="1">
        <v>8.9438595640000003</v>
      </c>
      <c r="H340" s="1">
        <v>1.7346569540000001</v>
      </c>
      <c r="I340" s="1">
        <v>80.630791189999997</v>
      </c>
      <c r="J340" s="1">
        <v>0.97404573149999996</v>
      </c>
      <c r="K340" s="1">
        <v>14.98518808</v>
      </c>
      <c r="L340" s="1">
        <v>3.4099750009999998</v>
      </c>
      <c r="M340" s="1">
        <v>95.442491759999996</v>
      </c>
      <c r="N340" s="1">
        <v>0.63657604779999999</v>
      </c>
      <c r="O340" s="1">
        <v>3.6533766409999999</v>
      </c>
      <c r="P340" s="1">
        <v>0.26755555320000002</v>
      </c>
    </row>
    <row r="341" spans="1:16" ht="12.5">
      <c r="A341" s="1" t="s">
        <v>62</v>
      </c>
      <c r="B341" s="1">
        <v>2015</v>
      </c>
      <c r="C341" s="1">
        <v>2120.7160640000002</v>
      </c>
      <c r="D341" s="1">
        <v>67.15499878</v>
      </c>
      <c r="E341" s="1">
        <v>88.446289530000001</v>
      </c>
      <c r="F341" s="1">
        <v>8.4106141599999997</v>
      </c>
      <c r="G341" s="1">
        <v>1.578349601</v>
      </c>
      <c r="H341" s="1">
        <v>1.5647467079999999</v>
      </c>
      <c r="I341" s="1">
        <v>71.892533830000005</v>
      </c>
      <c r="J341" s="1">
        <v>21.789327549999999</v>
      </c>
      <c r="K341" s="1">
        <v>1.854197906</v>
      </c>
      <c r="L341" s="1">
        <v>4.4639407090000001</v>
      </c>
      <c r="M341" s="1">
        <v>96.542602579999993</v>
      </c>
      <c r="N341" s="1">
        <v>1.867186166</v>
      </c>
      <c r="O341" s="1">
        <v>1.443438497</v>
      </c>
      <c r="P341" s="1">
        <v>0.1467727616</v>
      </c>
    </row>
    <row r="342" spans="1:16" ht="12.5">
      <c r="A342" s="1" t="s">
        <v>147</v>
      </c>
      <c r="B342" s="1">
        <v>2015</v>
      </c>
      <c r="C342" s="1">
        <v>5959.1259769999997</v>
      </c>
      <c r="D342" s="1">
        <v>35.777000430000001</v>
      </c>
      <c r="E342" s="1">
        <v>88.441761249999999</v>
      </c>
      <c r="F342" s="1">
        <v>1.7899358359999999</v>
      </c>
      <c r="G342" s="1">
        <v>2.2480629049999998</v>
      </c>
      <c r="H342" s="1">
        <v>7.5202400129999996</v>
      </c>
      <c r="I342" s="1">
        <v>83.105217640000006</v>
      </c>
      <c r="J342" s="1">
        <v>2.4159736540000001</v>
      </c>
      <c r="K342" s="1">
        <v>3.3531687830000001</v>
      </c>
      <c r="L342" s="1">
        <v>11.12563993</v>
      </c>
      <c r="M342" s="1">
        <v>98.021346449999996</v>
      </c>
      <c r="N342" s="1">
        <v>0.66614053719999999</v>
      </c>
      <c r="O342" s="1">
        <v>0.26429650360000001</v>
      </c>
      <c r="P342" s="1">
        <v>1.04821651</v>
      </c>
    </row>
    <row r="343" spans="1:16" ht="12.5">
      <c r="A343" s="1" t="s">
        <v>163</v>
      </c>
      <c r="B343" s="1">
        <v>2015</v>
      </c>
      <c r="C343" s="1">
        <v>57.444000240000001</v>
      </c>
      <c r="D343" s="1">
        <v>75.810997009999994</v>
      </c>
      <c r="E343" s="1">
        <v>88.342523619999994</v>
      </c>
      <c r="F343" s="1">
        <v>11.18141559</v>
      </c>
      <c r="G343" s="1">
        <v>0.47606079179999999</v>
      </c>
      <c r="H343" s="1">
        <v>0</v>
      </c>
      <c r="I343" s="1">
        <v>94.278360000000006</v>
      </c>
      <c r="J343" s="1">
        <v>5.38164</v>
      </c>
      <c r="K343" s="1">
        <v>0.34</v>
      </c>
      <c r="L343" s="1">
        <v>0</v>
      </c>
      <c r="M343" s="1">
        <v>86.448577369999995</v>
      </c>
      <c r="N343" s="1">
        <v>13.03194895</v>
      </c>
      <c r="O343" s="1">
        <v>0.51947368419999995</v>
      </c>
      <c r="P343" s="1">
        <v>0</v>
      </c>
    </row>
    <row r="344" spans="1:16" ht="12.5">
      <c r="A344" s="1" t="s">
        <v>169</v>
      </c>
      <c r="B344" s="1">
        <v>2015</v>
      </c>
      <c r="C344" s="1">
        <v>108.8860016</v>
      </c>
      <c r="D344" s="1">
        <v>22.455999370000001</v>
      </c>
      <c r="E344" s="1">
        <v>88.308156679999996</v>
      </c>
      <c r="F344" s="1">
        <v>0</v>
      </c>
      <c r="G344" s="1">
        <v>11.69184332</v>
      </c>
      <c r="H344" s="1" t="s">
        <v>272</v>
      </c>
      <c r="I344" s="1" t="s">
        <v>272</v>
      </c>
      <c r="J344" s="1" t="s">
        <v>272</v>
      </c>
      <c r="K344" s="1" t="s">
        <v>272</v>
      </c>
      <c r="L344" s="1" t="s">
        <v>272</v>
      </c>
      <c r="M344" s="1" t="s">
        <v>272</v>
      </c>
      <c r="N344" s="1" t="s">
        <v>272</v>
      </c>
      <c r="O344" s="1" t="s">
        <v>272</v>
      </c>
      <c r="P344" s="1" t="s">
        <v>272</v>
      </c>
    </row>
    <row r="345" spans="1:16" ht="12.5">
      <c r="A345" s="1" t="s">
        <v>169</v>
      </c>
      <c r="B345" s="1">
        <v>2019</v>
      </c>
      <c r="C345" s="1">
        <v>113.810997</v>
      </c>
      <c r="D345" s="1">
        <v>22.812000269999999</v>
      </c>
      <c r="E345" s="1">
        <v>88.308156679999996</v>
      </c>
      <c r="F345" s="1">
        <v>0</v>
      </c>
      <c r="G345" s="1">
        <v>11.69184332</v>
      </c>
      <c r="H345" s="1" t="s">
        <v>272</v>
      </c>
      <c r="I345" s="1" t="s">
        <v>272</v>
      </c>
      <c r="J345" s="1" t="s">
        <v>272</v>
      </c>
      <c r="K345" s="1" t="s">
        <v>272</v>
      </c>
      <c r="L345" s="1" t="s">
        <v>272</v>
      </c>
      <c r="M345" s="1" t="s">
        <v>272</v>
      </c>
      <c r="N345" s="1" t="s">
        <v>272</v>
      </c>
      <c r="O345" s="1" t="s">
        <v>272</v>
      </c>
      <c r="P345" s="1" t="s">
        <v>272</v>
      </c>
    </row>
    <row r="346" spans="1:16" ht="12.5">
      <c r="A346" s="1" t="s">
        <v>132</v>
      </c>
      <c r="B346" s="1">
        <v>2015</v>
      </c>
      <c r="C346" s="1">
        <v>1310152.375</v>
      </c>
      <c r="D346" s="1">
        <v>32.777000430000001</v>
      </c>
      <c r="E346" s="1">
        <v>88.138132630000001</v>
      </c>
      <c r="F346" s="1">
        <v>4.6925990149999999</v>
      </c>
      <c r="G346" s="1">
        <v>6.4124515520000003</v>
      </c>
      <c r="H346" s="1">
        <v>0.75681680389999995</v>
      </c>
      <c r="I346" s="1">
        <v>85.572000349999996</v>
      </c>
      <c r="J346" s="1">
        <v>5.5421338929999999</v>
      </c>
      <c r="K346" s="1">
        <v>7.8808700040000002</v>
      </c>
      <c r="L346" s="1">
        <v>1.004995751</v>
      </c>
      <c r="M346" s="1">
        <v>93.401064610000006</v>
      </c>
      <c r="N346" s="1">
        <v>2.9502709540000001</v>
      </c>
      <c r="O346" s="1">
        <v>3.4008427999999999</v>
      </c>
      <c r="P346" s="1">
        <v>0.2478216409</v>
      </c>
    </row>
    <row r="347" spans="1:16" ht="12.5">
      <c r="A347" s="1" t="s">
        <v>179</v>
      </c>
      <c r="B347" s="1">
        <v>2015</v>
      </c>
      <c r="C347" s="1">
        <v>27015.033200000002</v>
      </c>
      <c r="D347" s="1">
        <v>18.556999210000001</v>
      </c>
      <c r="E347" s="1">
        <v>87.808467590000006</v>
      </c>
      <c r="F347" s="1">
        <v>3.1679044589999998</v>
      </c>
      <c r="G347" s="1">
        <v>7.2642085280000002</v>
      </c>
      <c r="H347" s="1">
        <v>1.759419423</v>
      </c>
      <c r="I347" s="1">
        <v>87.241979639999997</v>
      </c>
      <c r="J347" s="1">
        <v>3.3102712580000002</v>
      </c>
      <c r="K347" s="1">
        <v>7.5313174839999997</v>
      </c>
      <c r="L347" s="1">
        <v>1.9164316180000001</v>
      </c>
      <c r="M347" s="1">
        <v>90.294671100000002</v>
      </c>
      <c r="N347" s="1">
        <v>2.5430847519999999</v>
      </c>
      <c r="O347" s="1">
        <v>6.091920182</v>
      </c>
      <c r="P347" s="1">
        <v>1.07032397</v>
      </c>
    </row>
    <row r="348" spans="1:16" ht="12.5">
      <c r="A348" s="1" t="s">
        <v>117</v>
      </c>
      <c r="B348" s="1">
        <v>2020</v>
      </c>
      <c r="C348" s="1">
        <v>31072.945309999999</v>
      </c>
      <c r="D348" s="1">
        <v>57.348999020000001</v>
      </c>
      <c r="E348" s="1">
        <v>85.790996649999997</v>
      </c>
      <c r="F348" s="1">
        <v>6.5860621129999997</v>
      </c>
      <c r="G348" s="1">
        <v>2.8122161760000002</v>
      </c>
      <c r="H348" s="1">
        <v>4.8107250580000001</v>
      </c>
      <c r="I348" s="1">
        <v>71.892750050000004</v>
      </c>
      <c r="J348" s="1">
        <v>11.934548270000001</v>
      </c>
      <c r="K348" s="1">
        <v>4.9993564829999997</v>
      </c>
      <c r="L348" s="1">
        <v>11.173345189999999</v>
      </c>
      <c r="M348" s="1">
        <v>96.127259519999996</v>
      </c>
      <c r="N348" s="1">
        <v>2.6083424549999998</v>
      </c>
      <c r="O348" s="1">
        <v>1.1856138030000001</v>
      </c>
      <c r="P348" s="1">
        <v>7.8784218190000005E-2</v>
      </c>
    </row>
    <row r="349" spans="1:16" ht="12.5">
      <c r="A349" s="1" t="s">
        <v>171</v>
      </c>
      <c r="B349" s="1">
        <v>2020</v>
      </c>
      <c r="C349" s="1">
        <v>3278.2919919999999</v>
      </c>
      <c r="D349" s="1">
        <v>68.656997680000003</v>
      </c>
      <c r="E349" s="1">
        <v>85.495625270000005</v>
      </c>
      <c r="F349" s="1">
        <v>2.1464289299999999</v>
      </c>
      <c r="G349" s="1">
        <v>6.6333667140000001</v>
      </c>
      <c r="H349" s="1">
        <v>5.7245790809999999</v>
      </c>
      <c r="I349" s="1">
        <v>61.070751139999999</v>
      </c>
      <c r="J349" s="1">
        <v>3.0841705720000001</v>
      </c>
      <c r="K349" s="1">
        <v>17.580781160000001</v>
      </c>
      <c r="L349" s="1">
        <v>18.264297129999999</v>
      </c>
      <c r="M349" s="1">
        <v>96.645965579999995</v>
      </c>
      <c r="N349" s="1">
        <v>1.718335079</v>
      </c>
      <c r="O349" s="1">
        <v>1.635699341</v>
      </c>
      <c r="P349" s="1">
        <v>0</v>
      </c>
    </row>
    <row r="350" spans="1:16" ht="12.5">
      <c r="A350" s="1" t="s">
        <v>244</v>
      </c>
      <c r="B350" s="1">
        <v>2020</v>
      </c>
      <c r="C350" s="1">
        <v>1318.4420170000001</v>
      </c>
      <c r="D350" s="1">
        <v>31.31999969</v>
      </c>
      <c r="E350" s="1">
        <v>85.495601199999996</v>
      </c>
      <c r="F350" s="1">
        <v>1.88586597</v>
      </c>
      <c r="G350" s="1">
        <v>8.3600293969999999</v>
      </c>
      <c r="H350" s="1">
        <v>4.2585034329999996</v>
      </c>
      <c r="I350" s="1">
        <v>80.48779562</v>
      </c>
      <c r="J350" s="1">
        <v>2.0493646750000001</v>
      </c>
      <c r="K350" s="1">
        <v>11.26233968</v>
      </c>
      <c r="L350" s="1">
        <v>6.2005000179999996</v>
      </c>
      <c r="M350" s="1">
        <v>96.476957920000004</v>
      </c>
      <c r="N350" s="1">
        <v>1.527338152</v>
      </c>
      <c r="O350" s="1">
        <v>1.995703929</v>
      </c>
      <c r="P350" s="1">
        <v>0</v>
      </c>
    </row>
    <row r="351" spans="1:16" ht="12.5">
      <c r="A351" s="1" t="s">
        <v>69</v>
      </c>
      <c r="B351" s="1">
        <v>2015</v>
      </c>
      <c r="C351" s="1">
        <v>524.73999019999997</v>
      </c>
      <c r="D351" s="1">
        <v>64.299995420000002</v>
      </c>
      <c r="E351" s="1">
        <v>85.443342369999996</v>
      </c>
      <c r="F351" s="1">
        <v>10.253077619999999</v>
      </c>
      <c r="G351" s="1">
        <v>4.1519483189999997</v>
      </c>
      <c r="H351" s="1">
        <v>0.15163169109999999</v>
      </c>
      <c r="I351" s="1">
        <v>72.832314109999999</v>
      </c>
      <c r="J351" s="1">
        <v>16.379794579999999</v>
      </c>
      <c r="K351" s="1">
        <v>10.436760769999999</v>
      </c>
      <c r="L351" s="1">
        <v>0.35113053970000002</v>
      </c>
      <c r="M351" s="1">
        <v>92.445114509999996</v>
      </c>
      <c r="N351" s="1">
        <v>6.8514639109999997</v>
      </c>
      <c r="O351" s="1">
        <v>0.66255362809999996</v>
      </c>
      <c r="P351" s="1">
        <v>4.0867953800000002E-2</v>
      </c>
    </row>
    <row r="352" spans="1:16" ht="12.5">
      <c r="A352" s="1" t="s">
        <v>113</v>
      </c>
      <c r="B352" s="1">
        <v>2020</v>
      </c>
      <c r="C352" s="1">
        <v>2225.7280270000001</v>
      </c>
      <c r="D352" s="1">
        <v>90.092002870000002</v>
      </c>
      <c r="E352" s="1">
        <v>85.341930599999998</v>
      </c>
      <c r="F352" s="1">
        <v>7.7352631030000003</v>
      </c>
      <c r="G352" s="1">
        <v>6.9228083570000001</v>
      </c>
      <c r="H352" s="1" t="s">
        <v>272</v>
      </c>
      <c r="I352" s="1">
        <v>44.745889009999999</v>
      </c>
      <c r="J352" s="1">
        <v>10.511148589999999</v>
      </c>
      <c r="K352" s="1">
        <v>44.742962400000003</v>
      </c>
      <c r="L352" s="1" t="s">
        <v>272</v>
      </c>
      <c r="M352" s="1">
        <v>89.806539169999994</v>
      </c>
      <c r="N352" s="1">
        <v>7.4299807600000003</v>
      </c>
      <c r="O352" s="1">
        <v>2.7634800720000001</v>
      </c>
      <c r="P352" s="1" t="s">
        <v>272</v>
      </c>
    </row>
    <row r="353" spans="1:16" ht="12.5">
      <c r="A353" s="1" t="s">
        <v>148</v>
      </c>
      <c r="B353" s="1">
        <v>2020</v>
      </c>
      <c r="C353" s="1">
        <v>7275.5561520000001</v>
      </c>
      <c r="D353" s="1">
        <v>36.290000919999997</v>
      </c>
      <c r="E353" s="1">
        <v>85.219743179999995</v>
      </c>
      <c r="F353" s="1">
        <v>3.566857739</v>
      </c>
      <c r="G353" s="1">
        <v>10.62886799</v>
      </c>
      <c r="H353" s="1">
        <v>0.58453109380000001</v>
      </c>
      <c r="I353" s="1">
        <v>78.472959419999995</v>
      </c>
      <c r="J353" s="1">
        <v>5.5985837859999998</v>
      </c>
      <c r="K353" s="1">
        <v>15.010969599999999</v>
      </c>
      <c r="L353" s="1">
        <v>0.91748719570000004</v>
      </c>
      <c r="M353" s="1">
        <v>97.064262220000003</v>
      </c>
      <c r="N353" s="1">
        <v>0</v>
      </c>
      <c r="O353" s="1">
        <v>2.935737778</v>
      </c>
      <c r="P353" s="1">
        <v>0</v>
      </c>
    </row>
    <row r="354" spans="1:16" ht="12.5">
      <c r="A354" s="1" t="s">
        <v>222</v>
      </c>
      <c r="B354" s="1">
        <v>2020</v>
      </c>
      <c r="C354" s="1">
        <v>16743.929690000001</v>
      </c>
      <c r="D354" s="1">
        <v>48.122001650000001</v>
      </c>
      <c r="E354" s="1">
        <v>84.905237790000001</v>
      </c>
      <c r="F354" s="1">
        <v>2.3872175090000001</v>
      </c>
      <c r="G354" s="1">
        <v>12.60781566</v>
      </c>
      <c r="H354" s="1">
        <v>9.9729040419999998E-2</v>
      </c>
      <c r="I354" s="1">
        <v>75.242928199999994</v>
      </c>
      <c r="J354" s="1">
        <v>4.052382433</v>
      </c>
      <c r="K354" s="1">
        <v>20.512451739999999</v>
      </c>
      <c r="L354" s="1">
        <v>0.1922376314</v>
      </c>
      <c r="M354" s="1">
        <v>95.321700939999999</v>
      </c>
      <c r="N354" s="1">
        <v>0.59208365669999996</v>
      </c>
      <c r="O354" s="1">
        <v>4.0862154019999997</v>
      </c>
      <c r="P354" s="1">
        <v>0</v>
      </c>
    </row>
    <row r="355" spans="1:16" ht="12.5">
      <c r="A355" s="1" t="s">
        <v>177</v>
      </c>
      <c r="B355" s="1">
        <v>2020</v>
      </c>
      <c r="C355" s="1">
        <v>2540.9160160000001</v>
      </c>
      <c r="D355" s="1">
        <v>52.033000950000002</v>
      </c>
      <c r="E355" s="1">
        <v>84.270036279999999</v>
      </c>
      <c r="F355" s="1">
        <v>7.0876275099999999</v>
      </c>
      <c r="G355" s="1">
        <v>3.740143722</v>
      </c>
      <c r="H355" s="1">
        <v>4.9021924849999996</v>
      </c>
      <c r="I355" s="1">
        <v>71.256167430000005</v>
      </c>
      <c r="J355" s="1">
        <v>11.97218925</v>
      </c>
      <c r="K355" s="1">
        <v>7.0818037589999996</v>
      </c>
      <c r="L355" s="1">
        <v>9.6898395629999996</v>
      </c>
      <c r="M355" s="1">
        <v>96.266965350000007</v>
      </c>
      <c r="N355" s="1">
        <v>2.5847589649999998</v>
      </c>
      <c r="O355" s="1">
        <v>0.65961026379999999</v>
      </c>
      <c r="P355" s="1">
        <v>0.4886654211</v>
      </c>
    </row>
    <row r="356" spans="1:16" ht="12.5">
      <c r="A356" s="1" t="s">
        <v>113</v>
      </c>
      <c r="B356" s="1">
        <v>2015</v>
      </c>
      <c r="C356" s="1">
        <v>1947.6899410000001</v>
      </c>
      <c r="D356" s="1">
        <v>88.117996219999995</v>
      </c>
      <c r="E356" s="1">
        <v>83.858486549999995</v>
      </c>
      <c r="F356" s="1">
        <v>7.7224304339999996</v>
      </c>
      <c r="G356" s="1">
        <v>4.9241821100000003</v>
      </c>
      <c r="H356" s="1">
        <v>3.4949009009999998</v>
      </c>
      <c r="I356" s="1">
        <v>43.390033160000002</v>
      </c>
      <c r="J356" s="1">
        <v>10.192647770000001</v>
      </c>
      <c r="K356" s="1">
        <v>21.81093263</v>
      </c>
      <c r="L356" s="1">
        <v>24.606386440000001</v>
      </c>
      <c r="M356" s="1">
        <v>89.315331869999994</v>
      </c>
      <c r="N356" s="1">
        <v>7.3893416170000004</v>
      </c>
      <c r="O356" s="1">
        <v>2.6471391450000001</v>
      </c>
      <c r="P356" s="1">
        <v>0.6481873668</v>
      </c>
    </row>
    <row r="357" spans="1:16" ht="12.5">
      <c r="A357" s="1" t="s">
        <v>174</v>
      </c>
      <c r="B357" s="1">
        <v>2015</v>
      </c>
      <c r="C357" s="1">
        <v>34663.609380000002</v>
      </c>
      <c r="D357" s="1">
        <v>60.808998109999997</v>
      </c>
      <c r="E357" s="1">
        <v>83.75113288</v>
      </c>
      <c r="F357" s="1">
        <v>5.9371884149999996</v>
      </c>
      <c r="G357" s="1">
        <v>8.5178818580000009</v>
      </c>
      <c r="H357" s="1">
        <v>1.793796851</v>
      </c>
      <c r="I357" s="1">
        <v>64.172528740000004</v>
      </c>
      <c r="J357" s="1">
        <v>12.25581871</v>
      </c>
      <c r="K357" s="1">
        <v>19.029579640000001</v>
      </c>
      <c r="L357" s="1">
        <v>4.5420729140000002</v>
      </c>
      <c r="M357" s="1">
        <v>96.369415020000005</v>
      </c>
      <c r="N357" s="1">
        <v>1.864872571</v>
      </c>
      <c r="O357" s="1">
        <v>1.743161481</v>
      </c>
      <c r="P357" s="1">
        <v>2.255092798E-2</v>
      </c>
    </row>
    <row r="358" spans="1:16" ht="12.5">
      <c r="A358" s="1" t="s">
        <v>176</v>
      </c>
      <c r="B358" s="1">
        <v>2020</v>
      </c>
      <c r="C358" s="1">
        <v>54409.792970000002</v>
      </c>
      <c r="D358" s="1">
        <v>31.14100075</v>
      </c>
      <c r="E358" s="1">
        <v>83.718191910000002</v>
      </c>
      <c r="F358" s="1">
        <v>1.595436949</v>
      </c>
      <c r="G358" s="1">
        <v>5.1094247800000003</v>
      </c>
      <c r="H358" s="1">
        <v>9.5769463619999993</v>
      </c>
      <c r="I358" s="1">
        <v>78.422564690000002</v>
      </c>
      <c r="J358" s="1">
        <v>2.3169621419999999</v>
      </c>
      <c r="K358" s="1">
        <v>6.5923936940000001</v>
      </c>
      <c r="L358" s="1">
        <v>12.66807947</v>
      </c>
      <c r="M358" s="1">
        <v>95.427886060000006</v>
      </c>
      <c r="N358" s="1">
        <v>0</v>
      </c>
      <c r="O358" s="1">
        <v>1.8302830059999999</v>
      </c>
      <c r="P358" s="1">
        <v>2.741830931</v>
      </c>
    </row>
    <row r="359" spans="1:16" ht="12.5">
      <c r="A359" s="1" t="s">
        <v>161</v>
      </c>
      <c r="B359" s="1">
        <v>2020</v>
      </c>
      <c r="C359" s="1">
        <v>20250.833979999999</v>
      </c>
      <c r="D359" s="1">
        <v>43.909004209999999</v>
      </c>
      <c r="E359" s="1">
        <v>82.547291029999997</v>
      </c>
      <c r="F359" s="1">
        <v>3.8547345270000002</v>
      </c>
      <c r="G359" s="1">
        <v>12.246971350000001</v>
      </c>
      <c r="H359" s="1">
        <v>1.3510030900000001</v>
      </c>
      <c r="I359" s="1">
        <v>72.080895209999994</v>
      </c>
      <c r="J359" s="1">
        <v>3.7824122299999998</v>
      </c>
      <c r="K359" s="1">
        <v>21.72810084</v>
      </c>
      <c r="L359" s="1">
        <v>2.4085917170000002</v>
      </c>
      <c r="M359" s="1">
        <v>95.917454750000005</v>
      </c>
      <c r="N359" s="1">
        <v>3.947121723</v>
      </c>
      <c r="O359" s="1">
        <v>0.13542353139999999</v>
      </c>
      <c r="P359" s="1">
        <v>0</v>
      </c>
    </row>
    <row r="360" spans="1:16" ht="12.5">
      <c r="A360" s="1" t="s">
        <v>177</v>
      </c>
      <c r="B360" s="1">
        <v>2015</v>
      </c>
      <c r="C360" s="1">
        <v>2314.9008789999998</v>
      </c>
      <c r="D360" s="1">
        <v>46.90000534</v>
      </c>
      <c r="E360" s="1">
        <v>82.524135150000006</v>
      </c>
      <c r="F360" s="1">
        <v>7.2754761539999997</v>
      </c>
      <c r="G360" s="1">
        <v>4.4164614110000002</v>
      </c>
      <c r="H360" s="1">
        <v>5.7839272810000004</v>
      </c>
      <c r="I360" s="1">
        <v>70.141031380000001</v>
      </c>
      <c r="J360" s="1">
        <v>11.72007222</v>
      </c>
      <c r="K360" s="1">
        <v>7.6143896370000004</v>
      </c>
      <c r="L360" s="1">
        <v>10.52450676</v>
      </c>
      <c r="M360" s="1">
        <v>96.544235619999995</v>
      </c>
      <c r="N360" s="1">
        <v>2.2433222979999998</v>
      </c>
      <c r="O360" s="1">
        <v>0.79577988889999995</v>
      </c>
      <c r="P360" s="1">
        <v>0.41666219110000002</v>
      </c>
    </row>
    <row r="361" spans="1:16" ht="12.5">
      <c r="A361" s="1" t="s">
        <v>242</v>
      </c>
      <c r="B361" s="1">
        <v>2020</v>
      </c>
      <c r="C361" s="1">
        <v>9537.6416019999997</v>
      </c>
      <c r="D361" s="1">
        <v>27.505998609999999</v>
      </c>
      <c r="E361" s="1">
        <v>81.852415019999995</v>
      </c>
      <c r="F361" s="1">
        <v>2.5683639349999998</v>
      </c>
      <c r="G361" s="1">
        <v>3.4218570050000001</v>
      </c>
      <c r="H361" s="1">
        <v>12.157364039999999</v>
      </c>
      <c r="I361" s="1">
        <v>76.643599199999997</v>
      </c>
      <c r="J361" s="1">
        <v>3.2071439279999998</v>
      </c>
      <c r="K361" s="1">
        <v>4.1407069480000001</v>
      </c>
      <c r="L361" s="1">
        <v>16.00854992</v>
      </c>
      <c r="M361" s="1">
        <v>95.580623860000003</v>
      </c>
      <c r="N361" s="1">
        <v>0.88481447629999999</v>
      </c>
      <c r="O361" s="1">
        <v>1.5272683229999999</v>
      </c>
      <c r="P361" s="1">
        <v>2.0072933389999998</v>
      </c>
    </row>
    <row r="362" spans="1:16" ht="12.5">
      <c r="A362" s="1" t="s">
        <v>183</v>
      </c>
      <c r="B362" s="1">
        <v>2020</v>
      </c>
      <c r="C362" s="1">
        <v>6624.5541990000002</v>
      </c>
      <c r="D362" s="1">
        <v>59.012001040000001</v>
      </c>
      <c r="E362" s="1">
        <v>81.708753799999997</v>
      </c>
      <c r="F362" s="1">
        <v>1.506645682</v>
      </c>
      <c r="G362" s="1">
        <v>13.530531140000001</v>
      </c>
      <c r="H362" s="1">
        <v>3.2540693780000001</v>
      </c>
      <c r="I362" s="1">
        <v>59.107446629999998</v>
      </c>
      <c r="J362" s="1">
        <v>3.5209742849999999</v>
      </c>
      <c r="K362" s="1">
        <v>29.780173680000001</v>
      </c>
      <c r="L362" s="1">
        <v>7.5914054000000002</v>
      </c>
      <c r="M362" s="1">
        <v>97.406956609999995</v>
      </c>
      <c r="N362" s="1">
        <v>0.10755231429999999</v>
      </c>
      <c r="O362" s="1">
        <v>2.244007656</v>
      </c>
      <c r="P362" s="1">
        <v>0.24148342289999999</v>
      </c>
    </row>
    <row r="363" spans="1:16" ht="12.5">
      <c r="A363" s="1" t="s">
        <v>183</v>
      </c>
      <c r="B363" s="1">
        <v>2015</v>
      </c>
      <c r="C363" s="1">
        <v>6223.2338870000003</v>
      </c>
      <c r="D363" s="1">
        <v>57.894996640000002</v>
      </c>
      <c r="E363" s="1">
        <v>81.35312854</v>
      </c>
      <c r="F363" s="1">
        <v>1.4259273880000001</v>
      </c>
      <c r="G363" s="1">
        <v>13.835758999999999</v>
      </c>
      <c r="H363" s="1">
        <v>3.3851850699999999</v>
      </c>
      <c r="I363" s="1">
        <v>59.50465784</v>
      </c>
      <c r="J363" s="1">
        <v>3.2389618649999998</v>
      </c>
      <c r="K363" s="1">
        <v>29.55960602</v>
      </c>
      <c r="L363" s="1">
        <v>7.6967742709999998</v>
      </c>
      <c r="M363" s="1">
        <v>97.242754880000007</v>
      </c>
      <c r="N363" s="1">
        <v>0.1073710103</v>
      </c>
      <c r="O363" s="1">
        <v>2.4003566219999999</v>
      </c>
      <c r="P363" s="1">
        <v>0.24951748460000001</v>
      </c>
    </row>
    <row r="364" spans="1:16" ht="12.5">
      <c r="A364" s="1" t="s">
        <v>114</v>
      </c>
      <c r="B364" s="1">
        <v>2020</v>
      </c>
      <c r="C364" s="1">
        <v>2416.6640630000002</v>
      </c>
      <c r="D364" s="1">
        <v>62.581996920000002</v>
      </c>
      <c r="E364" s="1">
        <v>80.940407140000005</v>
      </c>
      <c r="F364" s="1">
        <v>8.5973913910000004</v>
      </c>
      <c r="G364" s="1">
        <v>10.352852070000001</v>
      </c>
      <c r="H364" s="1">
        <v>0.10934939270000001</v>
      </c>
      <c r="I364" s="1">
        <v>69.18852321</v>
      </c>
      <c r="J364" s="1">
        <v>16.497832389999999</v>
      </c>
      <c r="K364" s="1">
        <v>14.24376547</v>
      </c>
      <c r="L364" s="1">
        <v>6.9878936799999999E-2</v>
      </c>
      <c r="M364" s="1">
        <v>87.966904270000001</v>
      </c>
      <c r="N364" s="1">
        <v>3.8736895219999998</v>
      </c>
      <c r="O364" s="1">
        <v>8.0264572780000005</v>
      </c>
      <c r="P364" s="1">
        <v>0.13294892529999999</v>
      </c>
    </row>
    <row r="365" spans="1:16" ht="12.5">
      <c r="A365" s="1" t="s">
        <v>171</v>
      </c>
      <c r="B365" s="1">
        <v>2015</v>
      </c>
      <c r="C365" s="1">
        <v>2998.4331050000001</v>
      </c>
      <c r="D365" s="1">
        <v>68.229995729999999</v>
      </c>
      <c r="E365" s="1">
        <v>80.813012090000001</v>
      </c>
      <c r="F365" s="1">
        <v>3.905181378</v>
      </c>
      <c r="G365" s="1">
        <v>7.5786445809999998</v>
      </c>
      <c r="H365" s="1">
        <v>7.7031619500000001</v>
      </c>
      <c r="I365" s="1">
        <v>52.093888010000001</v>
      </c>
      <c r="J365" s="1">
        <v>5.3335891499999999</v>
      </c>
      <c r="K365" s="1">
        <v>18.718643360000002</v>
      </c>
      <c r="L365" s="1">
        <v>23.85387948</v>
      </c>
      <c r="M365" s="1">
        <v>94.185527239999999</v>
      </c>
      <c r="N365" s="1">
        <v>3.240070405</v>
      </c>
      <c r="O365" s="1">
        <v>2.3915155440000002</v>
      </c>
      <c r="P365" s="1">
        <v>0.1828868106</v>
      </c>
    </row>
    <row r="366" spans="1:16" ht="12.5">
      <c r="A366" s="1" t="s">
        <v>82</v>
      </c>
      <c r="B366" s="1">
        <v>2019</v>
      </c>
      <c r="C366" s="1">
        <v>850.89099120000003</v>
      </c>
      <c r="D366" s="1">
        <v>29.164001460000001</v>
      </c>
      <c r="E366" s="1">
        <v>80.210497810000007</v>
      </c>
      <c r="F366" s="1">
        <v>10.86041131</v>
      </c>
      <c r="G366" s="1">
        <v>8.9290908879999993</v>
      </c>
      <c r="H366" s="1" t="s">
        <v>272</v>
      </c>
      <c r="I366" s="1">
        <v>76.911723449999997</v>
      </c>
      <c r="J366" s="1">
        <v>11.568647240000001</v>
      </c>
      <c r="K366" s="1">
        <v>11.519629309999999</v>
      </c>
      <c r="L366" s="1" t="s">
        <v>272</v>
      </c>
      <c r="M366" s="1">
        <v>88.222845579999998</v>
      </c>
      <c r="N366" s="1">
        <v>9.1401884950000003</v>
      </c>
      <c r="O366" s="1">
        <v>2.2967751299999999</v>
      </c>
      <c r="P366" s="1">
        <v>0.34019079699999999</v>
      </c>
    </row>
    <row r="367" spans="1:16" ht="12.5">
      <c r="A367" s="1" t="s">
        <v>117</v>
      </c>
      <c r="B367" s="1">
        <v>2015</v>
      </c>
      <c r="C367" s="1">
        <v>27849.203130000002</v>
      </c>
      <c r="D367" s="1">
        <v>54.085998539999999</v>
      </c>
      <c r="E367" s="1">
        <v>80.157961229999998</v>
      </c>
      <c r="F367" s="1">
        <v>7.8975991900000002</v>
      </c>
      <c r="G367" s="1">
        <v>4.4266436760000003</v>
      </c>
      <c r="H367" s="1">
        <v>7.5177958990000002</v>
      </c>
      <c r="I367" s="1">
        <v>67.208304769999998</v>
      </c>
      <c r="J367" s="1">
        <v>11.1534648</v>
      </c>
      <c r="K367" s="1">
        <v>6.3352592420000002</v>
      </c>
      <c r="L367" s="1">
        <v>15.302971189999999</v>
      </c>
      <c r="M367" s="1">
        <v>91.151019840000004</v>
      </c>
      <c r="N367" s="1">
        <v>5.133670929</v>
      </c>
      <c r="O367" s="1">
        <v>2.806405888</v>
      </c>
      <c r="P367" s="1">
        <v>0.90890334449999999</v>
      </c>
    </row>
    <row r="368" spans="1:16" ht="12.5">
      <c r="A368" s="1" t="s">
        <v>82</v>
      </c>
      <c r="B368" s="1">
        <v>2015</v>
      </c>
      <c r="C368" s="1">
        <v>777.43499759999997</v>
      </c>
      <c r="D368" s="1">
        <v>28.47000122</v>
      </c>
      <c r="E368" s="1">
        <v>80.132000079999997</v>
      </c>
      <c r="F368" s="1">
        <v>10.877265</v>
      </c>
      <c r="G368" s="1">
        <v>8.3951934319999992</v>
      </c>
      <c r="H368" s="1">
        <v>0.59554149119999999</v>
      </c>
      <c r="I368" s="1">
        <v>76.911723449999997</v>
      </c>
      <c r="J368" s="1">
        <v>11.568647240000001</v>
      </c>
      <c r="K368" s="1">
        <v>10.82245445</v>
      </c>
      <c r="L368" s="1">
        <v>0.69717485830000003</v>
      </c>
      <c r="M368" s="1">
        <v>88.222845579999998</v>
      </c>
      <c r="N368" s="1">
        <v>9.1401884950000003</v>
      </c>
      <c r="O368" s="1">
        <v>2.2967751299999999</v>
      </c>
      <c r="P368" s="1">
        <v>0.34019079699999999</v>
      </c>
    </row>
    <row r="369" spans="1:16" ht="12.5">
      <c r="A369" s="1" t="s">
        <v>114</v>
      </c>
      <c r="B369" s="1">
        <v>2015</v>
      </c>
      <c r="C369" s="1">
        <v>2085.860107</v>
      </c>
      <c r="D369" s="1">
        <v>59.228000639999998</v>
      </c>
      <c r="E369" s="1">
        <v>79.2101665</v>
      </c>
      <c r="F369" s="1">
        <v>9.0733700059999993</v>
      </c>
      <c r="G369" s="1">
        <v>11.624014620000001</v>
      </c>
      <c r="H369" s="1">
        <v>9.2448870380000006E-2</v>
      </c>
      <c r="I369" s="1">
        <v>68.254892569999996</v>
      </c>
      <c r="J369" s="1">
        <v>15.340084539999999</v>
      </c>
      <c r="K369" s="1">
        <v>16.322389959999999</v>
      </c>
      <c r="L369" s="1">
        <v>8.263292471E-2</v>
      </c>
      <c r="M369" s="1">
        <v>86.751671259999995</v>
      </c>
      <c r="N369" s="1">
        <v>4.7594215670000004</v>
      </c>
      <c r="O369" s="1">
        <v>8.3897011020000001</v>
      </c>
      <c r="P369" s="1">
        <v>9.9206071500000007E-2</v>
      </c>
    </row>
    <row r="370" spans="1:16" ht="12.5">
      <c r="A370" s="1" t="s">
        <v>222</v>
      </c>
      <c r="B370" s="1">
        <v>2015</v>
      </c>
      <c r="C370" s="1">
        <v>14578.450199999999</v>
      </c>
      <c r="D370" s="1">
        <v>45.86200333</v>
      </c>
      <c r="E370" s="1">
        <v>78.602093620000005</v>
      </c>
      <c r="F370" s="1">
        <v>3.3921456349999999</v>
      </c>
      <c r="G370" s="1">
        <v>17.594913179999999</v>
      </c>
      <c r="H370" s="1">
        <v>0.41084756459999999</v>
      </c>
      <c r="I370" s="1">
        <v>65.941201559999996</v>
      </c>
      <c r="J370" s="1">
        <v>5.2534118540000003</v>
      </c>
      <c r="K370" s="1">
        <v>28.079192549999998</v>
      </c>
      <c r="L370" s="1">
        <v>0.72619403689999995</v>
      </c>
      <c r="M370" s="1">
        <v>93.547697760000005</v>
      </c>
      <c r="N370" s="1">
        <v>1.195005973</v>
      </c>
      <c r="O370" s="1">
        <v>5.2187007940000001</v>
      </c>
      <c r="P370" s="1">
        <v>3.8595473790000001E-2</v>
      </c>
    </row>
    <row r="371" spans="1:16" ht="12.5">
      <c r="A371" s="1" t="s">
        <v>220</v>
      </c>
      <c r="B371" s="1">
        <v>2020</v>
      </c>
      <c r="C371" s="1">
        <v>219.16099550000001</v>
      </c>
      <c r="D371" s="1">
        <v>74.354003910000003</v>
      </c>
      <c r="E371" s="1">
        <v>78.22645516</v>
      </c>
      <c r="F371" s="1">
        <v>20.237982980000002</v>
      </c>
      <c r="G371" s="1">
        <v>0.44351992839999999</v>
      </c>
      <c r="H371" s="1">
        <v>1.0920419299999999</v>
      </c>
      <c r="I371" s="1">
        <v>74.300614490000001</v>
      </c>
      <c r="J371" s="1">
        <v>19.711842579999999</v>
      </c>
      <c r="K371" s="1">
        <v>1.7294057039999999</v>
      </c>
      <c r="L371" s="1">
        <v>4.2581372279999998</v>
      </c>
      <c r="M371" s="1">
        <v>79.580542899999998</v>
      </c>
      <c r="N371" s="1">
        <v>20.419457099999999</v>
      </c>
      <c r="O371" s="1">
        <v>0</v>
      </c>
      <c r="P371" s="1">
        <v>0</v>
      </c>
    </row>
    <row r="372" spans="1:16" ht="12.5">
      <c r="A372" s="1" t="s">
        <v>145</v>
      </c>
      <c r="B372" s="1">
        <v>2020</v>
      </c>
      <c r="C372" s="1">
        <v>119.44599909999999</v>
      </c>
      <c r="D372" s="1">
        <v>55.593997960000003</v>
      </c>
      <c r="E372" s="1">
        <v>77.970920849999999</v>
      </c>
      <c r="F372" s="1">
        <v>4.0768996250000002</v>
      </c>
      <c r="G372" s="1">
        <v>17.952179529999999</v>
      </c>
      <c r="H372" s="1">
        <v>0</v>
      </c>
      <c r="I372" s="1">
        <v>60.99418489</v>
      </c>
      <c r="J372" s="1">
        <v>2.0966097989999999</v>
      </c>
      <c r="K372" s="1">
        <v>36.909205319999998</v>
      </c>
      <c r="L372" s="1">
        <v>0</v>
      </c>
      <c r="M372" s="1">
        <v>91.531174849999999</v>
      </c>
      <c r="N372" s="1">
        <v>5.6586664610000001</v>
      </c>
      <c r="O372" s="1">
        <v>2.8101586909999998</v>
      </c>
      <c r="P372" s="1">
        <v>0</v>
      </c>
    </row>
    <row r="373" spans="1:16" ht="12.5">
      <c r="A373" s="1" t="s">
        <v>185</v>
      </c>
      <c r="B373" s="1">
        <v>2020</v>
      </c>
      <c r="C373" s="1">
        <v>206139.5938</v>
      </c>
      <c r="D373" s="1">
        <v>51.958000179999999</v>
      </c>
      <c r="E373" s="1">
        <v>77.609053380000006</v>
      </c>
      <c r="F373" s="1">
        <v>4.9793993429999999</v>
      </c>
      <c r="G373" s="1">
        <v>11.79691148</v>
      </c>
      <c r="H373" s="1">
        <v>5.6146357939999998</v>
      </c>
      <c r="I373" s="1">
        <v>61.658210029999999</v>
      </c>
      <c r="J373" s="1">
        <v>7.1289245829999999</v>
      </c>
      <c r="K373" s="1">
        <v>20.924875350000001</v>
      </c>
      <c r="L373" s="1">
        <v>10.28799004</v>
      </c>
      <c r="M373" s="1">
        <v>92.357705190000004</v>
      </c>
      <c r="N373" s="1">
        <v>2.9918806500000001</v>
      </c>
      <c r="O373" s="1">
        <v>3.356908786</v>
      </c>
      <c r="P373" s="1">
        <v>1.2935053700000001</v>
      </c>
    </row>
    <row r="374" spans="1:16" ht="12.5">
      <c r="A374" s="1" t="s">
        <v>148</v>
      </c>
      <c r="B374" s="1">
        <v>2015</v>
      </c>
      <c r="C374" s="1">
        <v>6741.1601559999999</v>
      </c>
      <c r="D374" s="1">
        <v>33.10799789</v>
      </c>
      <c r="E374" s="1">
        <v>77.460572209999995</v>
      </c>
      <c r="F374" s="1">
        <v>3.0523403340000002</v>
      </c>
      <c r="G374" s="1">
        <v>14.22792235</v>
      </c>
      <c r="H374" s="1">
        <v>5.2591651080000004</v>
      </c>
      <c r="I374" s="1">
        <v>70.239686550000002</v>
      </c>
      <c r="J374" s="1">
        <v>4.1702933629999999</v>
      </c>
      <c r="K374" s="1">
        <v>18.202221389999998</v>
      </c>
      <c r="L374" s="1">
        <v>7.3877986939999998</v>
      </c>
      <c r="M374" s="1">
        <v>92.049779979999997</v>
      </c>
      <c r="N374" s="1">
        <v>0.79360784900000003</v>
      </c>
      <c r="O374" s="1">
        <v>6.1981767950000002</v>
      </c>
      <c r="P374" s="1">
        <v>0.95843537109999999</v>
      </c>
    </row>
    <row r="375" spans="1:16" ht="12.5">
      <c r="A375" s="1" t="s">
        <v>220</v>
      </c>
      <c r="B375" s="1">
        <v>2015</v>
      </c>
      <c r="C375" s="1">
        <v>199.43899540000001</v>
      </c>
      <c r="D375" s="1">
        <v>70.174003600000006</v>
      </c>
      <c r="E375" s="1">
        <v>77.124229790000001</v>
      </c>
      <c r="F375" s="1">
        <v>18.34430682</v>
      </c>
      <c r="G375" s="1">
        <v>1.8595771210000001</v>
      </c>
      <c r="H375" s="1">
        <v>2.6718862689999998</v>
      </c>
      <c r="I375" s="1">
        <v>71.282716640000004</v>
      </c>
      <c r="J375" s="1">
        <v>17.07304495</v>
      </c>
      <c r="K375" s="1">
        <v>4.1184792559999996</v>
      </c>
      <c r="L375" s="1">
        <v>7.5257591550000003</v>
      </c>
      <c r="M375" s="1">
        <v>79.607040999999995</v>
      </c>
      <c r="N375" s="1">
        <v>18.884629660000002</v>
      </c>
      <c r="O375" s="1">
        <v>0.89948056340000004</v>
      </c>
      <c r="P375" s="1">
        <v>0.60884877739999999</v>
      </c>
    </row>
    <row r="376" spans="1:16" ht="12.5">
      <c r="A376" s="1" t="s">
        <v>242</v>
      </c>
      <c r="B376" s="1">
        <v>2015</v>
      </c>
      <c r="C376" s="1">
        <v>8454.0185550000006</v>
      </c>
      <c r="D376" s="1">
        <v>26.742000579999999</v>
      </c>
      <c r="E376" s="1">
        <v>76.239495509999998</v>
      </c>
      <c r="F376" s="1">
        <v>3.050011091</v>
      </c>
      <c r="G376" s="1">
        <v>3.944733748</v>
      </c>
      <c r="H376" s="1">
        <v>16.76575965</v>
      </c>
      <c r="I376" s="1">
        <v>69.552182060000007</v>
      </c>
      <c r="J376" s="1">
        <v>3.681021887</v>
      </c>
      <c r="K376" s="1">
        <v>4.8574855120000002</v>
      </c>
      <c r="L376" s="1">
        <v>21.90931054</v>
      </c>
      <c r="M376" s="1">
        <v>94.558955389999994</v>
      </c>
      <c r="N376" s="1">
        <v>1.321396987</v>
      </c>
      <c r="O376" s="1">
        <v>1.444318955</v>
      </c>
      <c r="P376" s="1">
        <v>2.6753286630000002</v>
      </c>
    </row>
    <row r="377" spans="1:16" ht="12.5">
      <c r="A377" s="1" t="s">
        <v>95</v>
      </c>
      <c r="B377" s="1">
        <v>2020</v>
      </c>
      <c r="C377" s="1">
        <v>988.00201419999996</v>
      </c>
      <c r="D377" s="1">
        <v>78.061996460000003</v>
      </c>
      <c r="E377" s="1">
        <v>76.049920209999996</v>
      </c>
      <c r="F377" s="1">
        <v>14.7574817</v>
      </c>
      <c r="G377" s="1">
        <v>7.0158760510000002</v>
      </c>
      <c r="H377" s="1">
        <v>2.1767220379999999</v>
      </c>
      <c r="I377" s="1">
        <v>47.280732929999999</v>
      </c>
      <c r="J377" s="1">
        <v>12.061610140000001</v>
      </c>
      <c r="K377" s="1">
        <v>30.735504679999998</v>
      </c>
      <c r="L377" s="1">
        <v>9.9221522489999998</v>
      </c>
      <c r="M377" s="1">
        <v>84.135014929999997</v>
      </c>
      <c r="N377" s="1">
        <v>15.51511107</v>
      </c>
      <c r="O377" s="1">
        <v>0.34987400289999998</v>
      </c>
      <c r="P377" s="1">
        <v>0</v>
      </c>
    </row>
    <row r="378" spans="1:16" ht="12.5">
      <c r="A378" s="1" t="s">
        <v>95</v>
      </c>
      <c r="B378" s="1">
        <v>2015</v>
      </c>
      <c r="C378" s="1">
        <v>913.99798580000004</v>
      </c>
      <c r="D378" s="1">
        <v>77.416992190000002</v>
      </c>
      <c r="E378" s="1">
        <v>75.787045030000002</v>
      </c>
      <c r="F378" s="1">
        <v>14.754171189999999</v>
      </c>
      <c r="G378" s="1">
        <v>7.3949239499999999</v>
      </c>
      <c r="H378" s="1">
        <v>2.0638598250000002</v>
      </c>
      <c r="I378" s="1">
        <v>48.759205090000002</v>
      </c>
      <c r="J378" s="1">
        <v>12.43877762</v>
      </c>
      <c r="K378" s="1">
        <v>30.377002539999999</v>
      </c>
      <c r="L378" s="1">
        <v>8.4250147539999993</v>
      </c>
      <c r="M378" s="1">
        <v>83.671229850000003</v>
      </c>
      <c r="N378" s="1">
        <v>15.42958572</v>
      </c>
      <c r="O378" s="1">
        <v>0.69091164790000004</v>
      </c>
      <c r="P378" s="1">
        <v>0.20827278539999999</v>
      </c>
    </row>
    <row r="379" spans="1:16" ht="12.5">
      <c r="A379" s="1" t="s">
        <v>152</v>
      </c>
      <c r="B379" s="1">
        <v>2020</v>
      </c>
      <c r="C379" s="1">
        <v>5057.6767579999996</v>
      </c>
      <c r="D379" s="1">
        <v>52.088996889999997</v>
      </c>
      <c r="E379" s="1">
        <v>75.261791590000001</v>
      </c>
      <c r="F379" s="1">
        <v>8.7006574749999999</v>
      </c>
      <c r="G379" s="1">
        <v>3.488080869</v>
      </c>
      <c r="H379" s="1">
        <v>12.549470060000001</v>
      </c>
      <c r="I379" s="1">
        <v>64.100216889999999</v>
      </c>
      <c r="J379" s="1">
        <v>6.5377757970000001</v>
      </c>
      <c r="K379" s="1">
        <v>3.3837098750000001</v>
      </c>
      <c r="L379" s="1">
        <v>25.978297439999999</v>
      </c>
      <c r="M379" s="1">
        <v>85.528109630000003</v>
      </c>
      <c r="N379" s="1">
        <v>10.69005698</v>
      </c>
      <c r="O379" s="1">
        <v>3.58408039</v>
      </c>
      <c r="P379" s="1">
        <v>0.19775300060000001</v>
      </c>
    </row>
    <row r="380" spans="1:16" ht="12.5">
      <c r="A380" s="1" t="s">
        <v>244</v>
      </c>
      <c r="B380" s="1">
        <v>2015</v>
      </c>
      <c r="C380" s="1">
        <v>1196.2939449999999</v>
      </c>
      <c r="D380" s="1">
        <v>29.489999770000001</v>
      </c>
      <c r="E380" s="1">
        <v>75.250103710000005</v>
      </c>
      <c r="F380" s="1">
        <v>3.486316247</v>
      </c>
      <c r="G380" s="1">
        <v>16.460746719999999</v>
      </c>
      <c r="H380" s="1">
        <v>4.8028333229999998</v>
      </c>
      <c r="I380" s="1">
        <v>68.95938975</v>
      </c>
      <c r="J380" s="1">
        <v>4.2085077100000001</v>
      </c>
      <c r="K380" s="1">
        <v>20.19524109</v>
      </c>
      <c r="L380" s="1">
        <v>6.6368614499999996</v>
      </c>
      <c r="M380" s="1">
        <v>90.291081230000003</v>
      </c>
      <c r="N380" s="1">
        <v>1.759571234</v>
      </c>
      <c r="O380" s="1">
        <v>7.5316383</v>
      </c>
      <c r="P380" s="1">
        <v>0.41770924009999999</v>
      </c>
    </row>
    <row r="381" spans="1:16" ht="12.5">
      <c r="A381" s="1" t="s">
        <v>11</v>
      </c>
      <c r="B381" s="1">
        <v>2020</v>
      </c>
      <c r="C381" s="1">
        <v>38928.339840000001</v>
      </c>
      <c r="D381" s="1">
        <v>26.025999070000001</v>
      </c>
      <c r="E381" s="1">
        <v>75.091413250000002</v>
      </c>
      <c r="F381" s="1">
        <v>1.447541688</v>
      </c>
      <c r="G381" s="1">
        <v>14.56026288</v>
      </c>
      <c r="H381" s="1">
        <v>8.9007821739999997</v>
      </c>
      <c r="I381" s="1">
        <v>66.32791521</v>
      </c>
      <c r="J381" s="1">
        <v>1.9568248509999999</v>
      </c>
      <c r="K381" s="1">
        <v>19.68294895</v>
      </c>
      <c r="L381" s="1">
        <v>12.03231098</v>
      </c>
      <c r="M381" s="1">
        <v>100</v>
      </c>
      <c r="N381" s="1">
        <v>0</v>
      </c>
      <c r="O381" s="1">
        <v>0</v>
      </c>
      <c r="P381" s="1">
        <v>0</v>
      </c>
    </row>
    <row r="382" spans="1:16" ht="12.5">
      <c r="A382" s="1" t="s">
        <v>161</v>
      </c>
      <c r="B382" s="1">
        <v>2015</v>
      </c>
      <c r="C382" s="1">
        <v>17438.771479999999</v>
      </c>
      <c r="D382" s="1">
        <v>39.990997309999997</v>
      </c>
      <c r="E382" s="1">
        <v>74.399512220000005</v>
      </c>
      <c r="F382" s="1">
        <v>4.1718464529999997</v>
      </c>
      <c r="G382" s="1">
        <v>19.37992934</v>
      </c>
      <c r="H382" s="1">
        <v>2.0487119809999998</v>
      </c>
      <c r="I382" s="1">
        <v>63.395714030000001</v>
      </c>
      <c r="J382" s="1">
        <v>4.4493824149999996</v>
      </c>
      <c r="K382" s="1">
        <v>28.94484164</v>
      </c>
      <c r="L382" s="1">
        <v>3.2100619199999998</v>
      </c>
      <c r="M382" s="1">
        <v>90.911405529999996</v>
      </c>
      <c r="N382" s="1">
        <v>3.7553866569999999</v>
      </c>
      <c r="O382" s="1">
        <v>5.0271739789999996</v>
      </c>
      <c r="P382" s="1">
        <v>0.306033834</v>
      </c>
    </row>
    <row r="383" spans="1:16" ht="12.5">
      <c r="A383" s="1" t="s">
        <v>145</v>
      </c>
      <c r="B383" s="1">
        <v>2015</v>
      </c>
      <c r="C383" s="1">
        <v>110.927002</v>
      </c>
      <c r="D383" s="1">
        <v>51.618999479999999</v>
      </c>
      <c r="E383" s="1">
        <v>73.848096589999997</v>
      </c>
      <c r="F383" s="1">
        <v>2.3408915690000001</v>
      </c>
      <c r="G383" s="1">
        <v>23.811011839999999</v>
      </c>
      <c r="H383" s="1">
        <v>0</v>
      </c>
      <c r="I383" s="1">
        <v>57.922252589999999</v>
      </c>
      <c r="J383" s="1">
        <v>1.6395879280000001</v>
      </c>
      <c r="K383" s="1">
        <v>40.438159480000003</v>
      </c>
      <c r="L383" s="1">
        <v>0</v>
      </c>
      <c r="M383" s="1">
        <v>88.774932000000007</v>
      </c>
      <c r="N383" s="1">
        <v>2.9982032959999998</v>
      </c>
      <c r="O383" s="1">
        <v>8.2268647060000006</v>
      </c>
      <c r="P383" s="1">
        <v>0</v>
      </c>
    </row>
    <row r="384" spans="1:16" ht="12.5">
      <c r="A384" s="1" t="s">
        <v>83</v>
      </c>
      <c r="B384" s="1">
        <v>2020</v>
      </c>
      <c r="C384" s="1">
        <v>5518.091797</v>
      </c>
      <c r="D384" s="1">
        <v>67.829002380000006</v>
      </c>
      <c r="E384" s="1">
        <v>73.78451158</v>
      </c>
      <c r="F384" s="1">
        <v>10.46117203</v>
      </c>
      <c r="G384" s="1">
        <v>9.5591807220000007</v>
      </c>
      <c r="H384" s="1">
        <v>6.1951356640000004</v>
      </c>
      <c r="I384" s="1">
        <v>45.724413179999999</v>
      </c>
      <c r="J384" s="1">
        <v>10.6323901</v>
      </c>
      <c r="K384" s="1">
        <v>24.405169730000001</v>
      </c>
      <c r="L384" s="1">
        <v>19.238026990000002</v>
      </c>
      <c r="M384" s="1">
        <v>87.093296159999994</v>
      </c>
      <c r="N384" s="1">
        <v>10.37996439</v>
      </c>
      <c r="O384" s="1">
        <v>2.5177899969999999</v>
      </c>
      <c r="P384" s="1">
        <v>8.9494520549999994E-3</v>
      </c>
    </row>
    <row r="385" spans="1:16" ht="12.5">
      <c r="A385" s="1" t="s">
        <v>176</v>
      </c>
      <c r="B385" s="1">
        <v>2015</v>
      </c>
      <c r="C385" s="1">
        <v>52680.722659999999</v>
      </c>
      <c r="D385" s="1">
        <v>29.857999800000002</v>
      </c>
      <c r="E385" s="1">
        <v>73.587470499999995</v>
      </c>
      <c r="F385" s="1">
        <v>6.8355322689999998</v>
      </c>
      <c r="G385" s="1">
        <v>8.269037119</v>
      </c>
      <c r="H385" s="1">
        <v>11.30796011</v>
      </c>
      <c r="I385" s="1">
        <v>67.249613539999999</v>
      </c>
      <c r="J385" s="1">
        <v>8.0422803540000007</v>
      </c>
      <c r="K385" s="1">
        <v>10.1459869</v>
      </c>
      <c r="L385" s="1">
        <v>14.562119210000001</v>
      </c>
      <c r="M385" s="1">
        <v>88.476276290000001</v>
      </c>
      <c r="N385" s="1">
        <v>4.0006563789999996</v>
      </c>
      <c r="O385" s="1">
        <v>3.859732696</v>
      </c>
      <c r="P385" s="1">
        <v>3.6633346320000002</v>
      </c>
    </row>
    <row r="386" spans="1:16" ht="12.5">
      <c r="A386" s="1" t="s">
        <v>152</v>
      </c>
      <c r="B386" s="1">
        <v>2015</v>
      </c>
      <c r="C386" s="1">
        <v>4472.2290039999998</v>
      </c>
      <c r="D386" s="1">
        <v>49.819999690000003</v>
      </c>
      <c r="E386" s="1">
        <v>72.569791940000002</v>
      </c>
      <c r="F386" s="1">
        <v>7.3644226789999996</v>
      </c>
      <c r="G386" s="1">
        <v>6.5372338440000002</v>
      </c>
      <c r="H386" s="1">
        <v>13.52855154</v>
      </c>
      <c r="I386" s="1">
        <v>61.263181959999997</v>
      </c>
      <c r="J386" s="1">
        <v>5.1260422940000003</v>
      </c>
      <c r="K386" s="1">
        <v>7.5241487850000004</v>
      </c>
      <c r="L386" s="1">
        <v>26.08662696</v>
      </c>
      <c r="M386" s="1">
        <v>83.95810401</v>
      </c>
      <c r="N386" s="1">
        <v>9.6189777050000007</v>
      </c>
      <c r="O386" s="1">
        <v>5.5431874099999998</v>
      </c>
      <c r="P386" s="1">
        <v>0.87973087640000003</v>
      </c>
    </row>
    <row r="387" spans="1:16" ht="12.5">
      <c r="A387" s="1" t="s">
        <v>151</v>
      </c>
      <c r="B387" s="1">
        <v>2020</v>
      </c>
      <c r="C387" s="1">
        <v>2142.251953</v>
      </c>
      <c r="D387" s="1">
        <v>29.027999879999999</v>
      </c>
      <c r="E387" s="1">
        <v>72.176039270000004</v>
      </c>
      <c r="F387" s="1">
        <v>10.40592597</v>
      </c>
      <c r="G387" s="1">
        <v>12.21725464</v>
      </c>
      <c r="H387" s="1">
        <v>5.2007801159999998</v>
      </c>
      <c r="I387" s="1">
        <v>63.650354819999997</v>
      </c>
      <c r="J387" s="1">
        <v>13.55843013</v>
      </c>
      <c r="K387" s="1">
        <v>15.73132479</v>
      </c>
      <c r="L387" s="1">
        <v>7.0598902539999999</v>
      </c>
      <c r="M387" s="1">
        <v>93.020908550000001</v>
      </c>
      <c r="N387" s="1">
        <v>2.698211997</v>
      </c>
      <c r="O387" s="1">
        <v>3.625530038</v>
      </c>
      <c r="P387" s="1">
        <v>0.65534941999999996</v>
      </c>
    </row>
    <row r="388" spans="1:16" ht="12.5">
      <c r="A388" s="1" t="s">
        <v>165</v>
      </c>
      <c r="B388" s="1">
        <v>2020</v>
      </c>
      <c r="C388" s="1">
        <v>4649.6601559999999</v>
      </c>
      <c r="D388" s="1">
        <v>55.326995850000003</v>
      </c>
      <c r="E388" s="1">
        <v>71.681049229999999</v>
      </c>
      <c r="F388" s="1">
        <v>13.476891930000001</v>
      </c>
      <c r="G388" s="1">
        <v>14.820326809999999</v>
      </c>
      <c r="H388" s="1">
        <v>2.173203433E-2</v>
      </c>
      <c r="I388" s="1">
        <v>49.911338899999997</v>
      </c>
      <c r="J388" s="1">
        <v>18.49039689</v>
      </c>
      <c r="K388" s="1">
        <v>31.549617300000001</v>
      </c>
      <c r="L388" s="1">
        <v>4.8646907220000001E-2</v>
      </c>
      <c r="M388" s="1">
        <v>89.258694649999995</v>
      </c>
      <c r="N388" s="1">
        <v>9.4288080829999998</v>
      </c>
      <c r="O388" s="1">
        <v>1.3124972699999999</v>
      </c>
      <c r="P388" s="1">
        <v>0</v>
      </c>
    </row>
    <row r="389" spans="1:16" ht="12.5">
      <c r="A389" s="1" t="s">
        <v>70</v>
      </c>
      <c r="B389" s="1">
        <v>2020</v>
      </c>
      <c r="C389" s="1">
        <v>16718.970700000002</v>
      </c>
      <c r="D389" s="1">
        <v>24.23200035</v>
      </c>
      <c r="E389" s="1">
        <v>71.219884969999995</v>
      </c>
      <c r="F389" s="1">
        <v>13.90222204</v>
      </c>
      <c r="G389" s="1">
        <v>5.6772185579999999</v>
      </c>
      <c r="H389" s="1">
        <v>9.2006744339999997</v>
      </c>
      <c r="I389" s="1">
        <v>65.067155830000004</v>
      </c>
      <c r="J389" s="1">
        <v>15.51772278</v>
      </c>
      <c r="K389" s="1">
        <v>7.4928993070000001</v>
      </c>
      <c r="L389" s="1">
        <v>11.92222209</v>
      </c>
      <c r="M389" s="1">
        <v>90.458077169999996</v>
      </c>
      <c r="N389" s="1">
        <v>8.8509147200000005</v>
      </c>
      <c r="O389" s="1">
        <v>0</v>
      </c>
      <c r="P389" s="1">
        <v>0.69100811439999998</v>
      </c>
    </row>
    <row r="390" spans="1:16" ht="12.5">
      <c r="A390" s="1" t="s">
        <v>83</v>
      </c>
      <c r="B390" s="1">
        <v>2015</v>
      </c>
      <c r="C390" s="1">
        <v>4856.0927730000003</v>
      </c>
      <c r="D390" s="1">
        <v>65.542999269999996</v>
      </c>
      <c r="E390" s="1">
        <v>71.149581769999998</v>
      </c>
      <c r="F390" s="1">
        <v>10.510526049999999</v>
      </c>
      <c r="G390" s="1">
        <v>11.662046309999999</v>
      </c>
      <c r="H390" s="1">
        <v>6.6778458760000001</v>
      </c>
      <c r="I390" s="1">
        <v>41.39183594</v>
      </c>
      <c r="J390" s="1">
        <v>10.739572649999999</v>
      </c>
      <c r="K390" s="1">
        <v>28.501848710000001</v>
      </c>
      <c r="L390" s="1">
        <v>19.366742689999999</v>
      </c>
      <c r="M390" s="1">
        <v>86.793705160000002</v>
      </c>
      <c r="N390" s="1">
        <v>10.390112999999999</v>
      </c>
      <c r="O390" s="1">
        <v>2.809090742</v>
      </c>
      <c r="P390" s="1">
        <v>7.0910958900000003E-3</v>
      </c>
    </row>
    <row r="391" spans="1:16" ht="12.5">
      <c r="A391" s="1" t="s">
        <v>86</v>
      </c>
      <c r="B391" s="1">
        <v>2015</v>
      </c>
      <c r="C391" s="1">
        <v>23226.148440000001</v>
      </c>
      <c r="D391" s="1">
        <v>49.444000240000001</v>
      </c>
      <c r="E391" s="1">
        <v>71.075766900000005</v>
      </c>
      <c r="F391" s="1">
        <v>8.7671364589999996</v>
      </c>
      <c r="G391" s="1">
        <v>14.417680539999999</v>
      </c>
      <c r="H391" s="1">
        <v>5.7394160950000002</v>
      </c>
      <c r="I391" s="1">
        <v>55.843171720000001</v>
      </c>
      <c r="J391" s="1">
        <v>13.188467299999999</v>
      </c>
      <c r="K391" s="1">
        <v>22.631284709999999</v>
      </c>
      <c r="L391" s="1">
        <v>8.3370762729999992</v>
      </c>
      <c r="M391" s="1">
        <v>86.650945350000001</v>
      </c>
      <c r="N391" s="1">
        <v>4.2463692540000002</v>
      </c>
      <c r="O391" s="1">
        <v>6.0193512360000003</v>
      </c>
      <c r="P391" s="1">
        <v>3.083334164</v>
      </c>
    </row>
    <row r="392" spans="1:16" ht="12.5">
      <c r="A392" s="1" t="s">
        <v>86</v>
      </c>
      <c r="B392" s="1">
        <v>2020</v>
      </c>
      <c r="C392" s="1">
        <v>26378.275389999999</v>
      </c>
      <c r="D392" s="1">
        <v>51.70599747</v>
      </c>
      <c r="E392" s="1">
        <v>70.909070389999997</v>
      </c>
      <c r="F392" s="1">
        <v>8.9354217019999993</v>
      </c>
      <c r="G392" s="1">
        <v>14.192441609999999</v>
      </c>
      <c r="H392" s="1">
        <v>5.9630662929999998</v>
      </c>
      <c r="I392" s="1">
        <v>55.722446859999998</v>
      </c>
      <c r="J392" s="1">
        <v>13.343168289999999</v>
      </c>
      <c r="K392" s="1">
        <v>23.17527956</v>
      </c>
      <c r="L392" s="1">
        <v>7.7591052889999998</v>
      </c>
      <c r="M392" s="1">
        <v>85.093553290000003</v>
      </c>
      <c r="N392" s="1">
        <v>4.8185351560000003</v>
      </c>
      <c r="O392" s="1">
        <v>5.8023665600000003</v>
      </c>
      <c r="P392" s="1">
        <v>4.2855449940000003</v>
      </c>
    </row>
    <row r="393" spans="1:16" ht="12.5">
      <c r="A393" s="1" t="s">
        <v>104</v>
      </c>
      <c r="B393" s="1">
        <v>2020</v>
      </c>
      <c r="C393" s="1">
        <v>1160.1639399999999</v>
      </c>
      <c r="D393" s="1">
        <v>24.17100143</v>
      </c>
      <c r="E393" s="1">
        <v>70.753070949999994</v>
      </c>
      <c r="F393" s="1">
        <v>9.5070671630000003</v>
      </c>
      <c r="G393" s="1">
        <v>9.8355679309999999</v>
      </c>
      <c r="H393" s="1">
        <v>9.9042939590000003</v>
      </c>
      <c r="I393" s="1">
        <v>62.466448739999997</v>
      </c>
      <c r="J393" s="1">
        <v>12.29969513</v>
      </c>
      <c r="K393" s="1">
        <v>12.45046093</v>
      </c>
      <c r="L393" s="1">
        <v>12.78339519</v>
      </c>
      <c r="M393" s="1">
        <v>96.749763049999999</v>
      </c>
      <c r="N393" s="1">
        <v>0.74606447310000001</v>
      </c>
      <c r="O393" s="1">
        <v>1.6321642439999999</v>
      </c>
      <c r="P393" s="1">
        <v>0.8720082294</v>
      </c>
    </row>
    <row r="394" spans="1:16" ht="12.5">
      <c r="A394" s="1" t="s">
        <v>151</v>
      </c>
      <c r="B394" s="1">
        <v>2015</v>
      </c>
      <c r="C394" s="1">
        <v>2059.0109859999998</v>
      </c>
      <c r="D394" s="1">
        <v>26.908000950000002</v>
      </c>
      <c r="E394" s="1">
        <v>70.545689400000001</v>
      </c>
      <c r="F394" s="1">
        <v>10.86331049</v>
      </c>
      <c r="G394" s="1">
        <v>14.534382900000001</v>
      </c>
      <c r="H394" s="1">
        <v>4.0566172079999996</v>
      </c>
      <c r="I394" s="1">
        <v>63.420883150000002</v>
      </c>
      <c r="J394" s="1">
        <v>13.04933941</v>
      </c>
      <c r="K394" s="1">
        <v>18.164904929999999</v>
      </c>
      <c r="L394" s="1">
        <v>5.3648725109999997</v>
      </c>
      <c r="M394" s="1">
        <v>89.899276139999998</v>
      </c>
      <c r="N394" s="1">
        <v>4.9252542349999997</v>
      </c>
      <c r="O394" s="1">
        <v>4.6725536160000001</v>
      </c>
      <c r="P394" s="1">
        <v>0.50291600700000005</v>
      </c>
    </row>
    <row r="395" spans="1:16" ht="12.5">
      <c r="A395" s="1" t="s">
        <v>158</v>
      </c>
      <c r="B395" s="1">
        <v>2020</v>
      </c>
      <c r="C395" s="1">
        <v>19129.95508</v>
      </c>
      <c r="D395" s="1">
        <v>17.42700005</v>
      </c>
      <c r="E395" s="1">
        <v>70.047728509999999</v>
      </c>
      <c r="F395" s="1">
        <v>21.95081497</v>
      </c>
      <c r="G395" s="1">
        <v>5.7763044069999996</v>
      </c>
      <c r="H395" s="1">
        <v>2.2251521099999998</v>
      </c>
      <c r="I395" s="1">
        <v>66.585043760000005</v>
      </c>
      <c r="J395" s="1">
        <v>24.414158029999999</v>
      </c>
      <c r="K395" s="1">
        <v>6.3838741460000001</v>
      </c>
      <c r="L395" s="1">
        <v>2.6169240660000002</v>
      </c>
      <c r="M395" s="1">
        <v>86.454698210000004</v>
      </c>
      <c r="N395" s="1">
        <v>10.278948249999999</v>
      </c>
      <c r="O395" s="1">
        <v>2.8975039960000002</v>
      </c>
      <c r="P395" s="1">
        <v>0.36884954460000002</v>
      </c>
    </row>
    <row r="396" spans="1:16" ht="12.5">
      <c r="A396" s="1" t="s">
        <v>231</v>
      </c>
      <c r="B396" s="1">
        <v>2015</v>
      </c>
      <c r="C396" s="1">
        <v>603.13299559999996</v>
      </c>
      <c r="D396" s="1">
        <v>22.359998699999998</v>
      </c>
      <c r="E396" s="1">
        <v>69.329918890000002</v>
      </c>
      <c r="F396" s="1">
        <v>5.7052676340000001</v>
      </c>
      <c r="G396" s="1">
        <v>18.988981249999998</v>
      </c>
      <c r="H396" s="1">
        <v>5.9758322210000001</v>
      </c>
      <c r="I396" s="1">
        <v>63.012138190000002</v>
      </c>
      <c r="J396" s="1">
        <v>6.3384682029999997</v>
      </c>
      <c r="K396" s="1">
        <v>23.284595639999999</v>
      </c>
      <c r="L396" s="1">
        <v>7.3647979660000003</v>
      </c>
      <c r="M396" s="1">
        <v>91.266972050000007</v>
      </c>
      <c r="N396" s="1">
        <v>3.5066230169999999</v>
      </c>
      <c r="O396" s="1">
        <v>4.0734396070000001</v>
      </c>
      <c r="P396" s="1">
        <v>1.1529653280000001</v>
      </c>
    </row>
    <row r="397" spans="1:16" ht="12.5">
      <c r="A397" s="1" t="s">
        <v>185</v>
      </c>
      <c r="B397" s="1">
        <v>2015</v>
      </c>
      <c r="C397" s="1">
        <v>181137.45310000001</v>
      </c>
      <c r="D397" s="1">
        <v>47.837997440000002</v>
      </c>
      <c r="E397" s="1">
        <v>68.779755460000004</v>
      </c>
      <c r="F397" s="1">
        <v>6.7135509960000004</v>
      </c>
      <c r="G397" s="1">
        <v>14.733762459999999</v>
      </c>
      <c r="H397" s="1">
        <v>9.7729310859999998</v>
      </c>
      <c r="I397" s="1">
        <v>53.492449000000001</v>
      </c>
      <c r="J397" s="1">
        <v>7.1064402710000003</v>
      </c>
      <c r="K397" s="1">
        <v>23.107160100000002</v>
      </c>
      <c r="L397" s="1">
        <v>16.29395062</v>
      </c>
      <c r="M397" s="1">
        <v>85.448858319999999</v>
      </c>
      <c r="N397" s="1">
        <v>6.2851490559999998</v>
      </c>
      <c r="O397" s="1">
        <v>5.6035061180000003</v>
      </c>
      <c r="P397" s="1">
        <v>2.6624865010000001</v>
      </c>
    </row>
    <row r="398" spans="1:16" ht="12.5">
      <c r="A398" s="1" t="s">
        <v>245</v>
      </c>
      <c r="B398" s="1">
        <v>2020</v>
      </c>
      <c r="C398" s="1">
        <v>8278.7373050000006</v>
      </c>
      <c r="D398" s="1">
        <v>42.799999239999998</v>
      </c>
      <c r="E398" s="1">
        <v>68.58372009</v>
      </c>
      <c r="F398" s="1">
        <v>6.065434765</v>
      </c>
      <c r="G398" s="1">
        <v>14.16432245</v>
      </c>
      <c r="H398" s="1">
        <v>11.18652269</v>
      </c>
      <c r="I398" s="1">
        <v>52.117552750000002</v>
      </c>
      <c r="J398" s="1">
        <v>8.1875420190000003</v>
      </c>
      <c r="K398" s="1">
        <v>20.7910842</v>
      </c>
      <c r="L398" s="1">
        <v>18.90382103</v>
      </c>
      <c r="M398" s="1">
        <v>90.589910009999997</v>
      </c>
      <c r="N398" s="1">
        <v>3.2293480560000001</v>
      </c>
      <c r="O398" s="1">
        <v>5.3079905280000004</v>
      </c>
      <c r="P398" s="1">
        <v>0.87275140490000003</v>
      </c>
    </row>
    <row r="399" spans="1:16" ht="12.5">
      <c r="A399" s="1" t="s">
        <v>70</v>
      </c>
      <c r="B399" s="1">
        <v>2015</v>
      </c>
      <c r="C399" s="1">
        <v>15521.434569999999</v>
      </c>
      <c r="D399" s="1">
        <v>22.187999730000001</v>
      </c>
      <c r="E399" s="1">
        <v>68.443848959999997</v>
      </c>
      <c r="F399" s="1">
        <v>8.6032481930000007</v>
      </c>
      <c r="G399" s="1">
        <v>9.6029948170000008</v>
      </c>
      <c r="H399" s="1">
        <v>13.34990803</v>
      </c>
      <c r="I399" s="1">
        <v>62.711116680000003</v>
      </c>
      <c r="J399" s="1">
        <v>9.432045638</v>
      </c>
      <c r="K399" s="1">
        <v>11.750895959999999</v>
      </c>
      <c r="L399" s="1">
        <v>16.105941720000001</v>
      </c>
      <c r="M399" s="1">
        <v>88.548191439999997</v>
      </c>
      <c r="N399" s="1">
        <v>5.6967034720000003</v>
      </c>
      <c r="O399" s="1">
        <v>2.0704456869999999</v>
      </c>
      <c r="P399" s="1">
        <v>3.6846594000000001</v>
      </c>
    </row>
    <row r="400" spans="1:16" ht="12.5">
      <c r="A400" s="1" t="s">
        <v>231</v>
      </c>
      <c r="B400" s="1">
        <v>2020</v>
      </c>
      <c r="C400" s="1">
        <v>686.87799070000005</v>
      </c>
      <c r="D400" s="1">
        <v>24.670000080000001</v>
      </c>
      <c r="E400" s="1">
        <v>67.301025539999998</v>
      </c>
      <c r="F400" s="1">
        <v>5.79547831</v>
      </c>
      <c r="G400" s="1">
        <v>21.267843129999999</v>
      </c>
      <c r="H400" s="1">
        <v>5.6356530249999999</v>
      </c>
      <c r="I400" s="1">
        <v>59.40526749</v>
      </c>
      <c r="J400" s="1">
        <v>6.5285236490000003</v>
      </c>
      <c r="K400" s="1">
        <v>26.955911</v>
      </c>
      <c r="L400" s="1">
        <v>7.1102978569999999</v>
      </c>
      <c r="M400" s="1">
        <v>91.410776889999994</v>
      </c>
      <c r="N400" s="1">
        <v>3.5571204249999999</v>
      </c>
      <c r="O400" s="1">
        <v>3.8992861369999998</v>
      </c>
      <c r="P400" s="1">
        <v>1.1328165530000001</v>
      </c>
    </row>
    <row r="401" spans="1:16" ht="12.5">
      <c r="A401" s="1" t="s">
        <v>165</v>
      </c>
      <c r="B401" s="1">
        <v>2015</v>
      </c>
      <c r="C401" s="1">
        <v>4046.3039549999999</v>
      </c>
      <c r="D401" s="1">
        <v>51.0890007</v>
      </c>
      <c r="E401" s="1">
        <v>66.973309400000005</v>
      </c>
      <c r="F401" s="1">
        <v>14.811653570000001</v>
      </c>
      <c r="G401" s="1">
        <v>17.637023750000001</v>
      </c>
      <c r="H401" s="1">
        <v>0.57801328240000005</v>
      </c>
      <c r="I401" s="1">
        <v>46.69284218</v>
      </c>
      <c r="J401" s="1">
        <v>18.20063085</v>
      </c>
      <c r="K401" s="1">
        <v>33.924761500000002</v>
      </c>
      <c r="L401" s="1">
        <v>1.1817654639999999</v>
      </c>
      <c r="M401" s="1">
        <v>86.389188590000003</v>
      </c>
      <c r="N401" s="1">
        <v>11.56715369</v>
      </c>
      <c r="O401" s="1">
        <v>2.043657719</v>
      </c>
      <c r="P401" s="1">
        <v>0</v>
      </c>
    </row>
    <row r="402" spans="1:16" ht="12.5">
      <c r="A402" s="1" t="s">
        <v>104</v>
      </c>
      <c r="B402" s="1">
        <v>2015</v>
      </c>
      <c r="C402" s="1">
        <v>1104.0379640000001</v>
      </c>
      <c r="D402" s="1">
        <v>23.299999239999998</v>
      </c>
      <c r="E402" s="1">
        <v>66.703955219999997</v>
      </c>
      <c r="F402" s="1">
        <v>8.7676173330000005</v>
      </c>
      <c r="G402" s="1">
        <v>10.89011026</v>
      </c>
      <c r="H402" s="1">
        <v>13.63831719</v>
      </c>
      <c r="I402" s="1">
        <v>58.124984900000001</v>
      </c>
      <c r="J402" s="1">
        <v>11.182049299999999</v>
      </c>
      <c r="K402" s="1">
        <v>13.43987898</v>
      </c>
      <c r="L402" s="1">
        <v>17.253086830000001</v>
      </c>
      <c r="M402" s="1">
        <v>94.944600129999998</v>
      </c>
      <c r="N402" s="1">
        <v>0.81968032219999998</v>
      </c>
      <c r="O402" s="1">
        <v>2.4966655609999999</v>
      </c>
      <c r="P402" s="1">
        <v>1.7390539899999999</v>
      </c>
    </row>
    <row r="403" spans="1:16" ht="12.5">
      <c r="A403" s="1" t="s">
        <v>128</v>
      </c>
      <c r="B403" s="1">
        <v>2020</v>
      </c>
      <c r="C403" s="1">
        <v>11402.5332</v>
      </c>
      <c r="D403" s="1">
        <v>57.087997440000002</v>
      </c>
      <c r="E403" s="1">
        <v>66.695308400000002</v>
      </c>
      <c r="F403" s="1">
        <v>9.8145436519999993</v>
      </c>
      <c r="G403" s="1">
        <v>23.490147950000001</v>
      </c>
      <c r="H403" s="1">
        <v>0</v>
      </c>
      <c r="I403" s="1">
        <v>42.845700100000002</v>
      </c>
      <c r="J403" s="1">
        <v>13.25598695</v>
      </c>
      <c r="K403" s="1">
        <v>43.898312949999998</v>
      </c>
      <c r="L403" s="1">
        <v>0</v>
      </c>
      <c r="M403" s="1">
        <v>84.622621289999998</v>
      </c>
      <c r="N403" s="1">
        <v>7.2276738790000001</v>
      </c>
      <c r="O403" s="1">
        <v>8.1497048349999996</v>
      </c>
      <c r="P403" s="1">
        <v>0</v>
      </c>
    </row>
    <row r="404" spans="1:16" ht="12.5">
      <c r="A404" s="1" t="s">
        <v>158</v>
      </c>
      <c r="B404" s="1">
        <v>2015</v>
      </c>
      <c r="C404" s="1">
        <v>16745.304690000001</v>
      </c>
      <c r="D404" s="1">
        <v>16.312999730000001</v>
      </c>
      <c r="E404" s="1">
        <v>66.154959140000003</v>
      </c>
      <c r="F404" s="1">
        <v>19.716038309999998</v>
      </c>
      <c r="G404" s="1">
        <v>10.55451427</v>
      </c>
      <c r="H404" s="1">
        <v>3.5744882769999999</v>
      </c>
      <c r="I404" s="1">
        <v>62.240608639999998</v>
      </c>
      <c r="J404" s="1">
        <v>21.69810966</v>
      </c>
      <c r="K404" s="1">
        <v>11.875220280000001</v>
      </c>
      <c r="L404" s="1">
        <v>4.186061413</v>
      </c>
      <c r="M404" s="1">
        <v>86.235879850000003</v>
      </c>
      <c r="N404" s="1">
        <v>9.5478494880000007</v>
      </c>
      <c r="O404" s="1">
        <v>3.7792023349999999</v>
      </c>
      <c r="P404" s="1">
        <v>0.43706832449999999</v>
      </c>
    </row>
    <row r="405" spans="1:16" ht="12.5">
      <c r="A405" s="1" t="s">
        <v>71</v>
      </c>
      <c r="B405" s="1">
        <v>2020</v>
      </c>
      <c r="C405" s="1">
        <v>26545.863280000001</v>
      </c>
      <c r="D405" s="1">
        <v>57.560005189999998</v>
      </c>
      <c r="E405" s="1">
        <v>65.720418179999996</v>
      </c>
      <c r="F405" s="1">
        <v>12.874748629999999</v>
      </c>
      <c r="G405" s="1">
        <v>15.00100626</v>
      </c>
      <c r="H405" s="1">
        <v>6.4038269269999999</v>
      </c>
      <c r="I405" s="1">
        <v>43.527581120000001</v>
      </c>
      <c r="J405" s="1">
        <v>12.67259943</v>
      </c>
      <c r="K405" s="1">
        <v>30.12380645</v>
      </c>
      <c r="L405" s="1">
        <v>13.676012999999999</v>
      </c>
      <c r="M405" s="1">
        <v>82.083584860000002</v>
      </c>
      <c r="N405" s="1">
        <v>13.023796770000001</v>
      </c>
      <c r="O405" s="1">
        <v>3.8507013510000001</v>
      </c>
      <c r="P405" s="1">
        <v>1.041917019</v>
      </c>
    </row>
    <row r="406" spans="1:16" ht="12.5">
      <c r="A406" s="1" t="s">
        <v>56</v>
      </c>
      <c r="B406" s="1">
        <v>2020</v>
      </c>
      <c r="C406" s="1">
        <v>12123.19824</v>
      </c>
      <c r="D406" s="1">
        <v>48.414997100000001</v>
      </c>
      <c r="E406" s="1">
        <v>65.414122989999996</v>
      </c>
      <c r="F406" s="1">
        <v>9.317535586</v>
      </c>
      <c r="G406" s="1">
        <v>21.97254088</v>
      </c>
      <c r="H406" s="1">
        <v>3.2958005469999998</v>
      </c>
      <c r="I406" s="1">
        <v>58.052267989999997</v>
      </c>
      <c r="J406" s="1">
        <v>12.705205039999999</v>
      </c>
      <c r="K406" s="1">
        <v>23.977968329999999</v>
      </c>
      <c r="L406" s="1">
        <v>5.2645586340000001</v>
      </c>
      <c r="M406" s="1">
        <v>73.258000039999999</v>
      </c>
      <c r="N406" s="1">
        <v>5.7080563529999999</v>
      </c>
      <c r="O406" s="1">
        <v>19.835806810000001</v>
      </c>
      <c r="P406" s="1">
        <v>1.1981367940000001</v>
      </c>
    </row>
    <row r="407" spans="1:16" ht="12.5">
      <c r="A407" s="1" t="s">
        <v>270</v>
      </c>
      <c r="B407" s="1">
        <v>2020</v>
      </c>
      <c r="C407" s="1">
        <v>18383.95508</v>
      </c>
      <c r="D407" s="1">
        <v>44.6289978</v>
      </c>
      <c r="E407" s="1">
        <v>65.412383570000003</v>
      </c>
      <c r="F407" s="1">
        <v>6.1539390200000001</v>
      </c>
      <c r="G407" s="1">
        <v>21.576840709999999</v>
      </c>
      <c r="H407" s="1">
        <v>6.8568367060000002</v>
      </c>
      <c r="I407" s="1">
        <v>48.22728833</v>
      </c>
      <c r="J407" s="1">
        <v>8.3317036130000002</v>
      </c>
      <c r="K407" s="1">
        <v>31.608654439999999</v>
      </c>
      <c r="L407" s="1">
        <v>11.832353619999999</v>
      </c>
      <c r="M407" s="1">
        <v>86.733854660000006</v>
      </c>
      <c r="N407" s="1">
        <v>3.4519961939999999</v>
      </c>
      <c r="O407" s="1">
        <v>9.1304141049999998</v>
      </c>
      <c r="P407" s="1">
        <v>0.68373504630000004</v>
      </c>
    </row>
    <row r="408" spans="1:16" ht="12.5">
      <c r="A408" s="1" t="s">
        <v>271</v>
      </c>
      <c r="B408" s="1">
        <v>2015</v>
      </c>
      <c r="C408" s="1" t="s">
        <v>273</v>
      </c>
      <c r="D408" s="1">
        <v>32</v>
      </c>
      <c r="E408" s="1">
        <v>65</v>
      </c>
      <c r="F408" s="1">
        <v>12</v>
      </c>
      <c r="G408" s="1">
        <v>16</v>
      </c>
      <c r="H408" s="1">
        <v>7</v>
      </c>
      <c r="I408" s="1">
        <v>51</v>
      </c>
      <c r="J408" s="1">
        <v>16</v>
      </c>
      <c r="K408" s="1">
        <v>23</v>
      </c>
      <c r="L408" s="1">
        <v>10</v>
      </c>
      <c r="M408" s="1">
        <v>94</v>
      </c>
      <c r="N408" s="1">
        <v>4</v>
      </c>
      <c r="O408" s="1">
        <v>2</v>
      </c>
      <c r="P408" s="1" t="s">
        <v>274</v>
      </c>
    </row>
    <row r="409" spans="1:16" ht="12.5">
      <c r="A409" s="1" t="s">
        <v>271</v>
      </c>
      <c r="B409" s="1">
        <v>2015</v>
      </c>
      <c r="C409" s="1">
        <v>13814.641600000001</v>
      </c>
      <c r="D409" s="1">
        <v>32.384998320000001</v>
      </c>
      <c r="E409" s="1">
        <v>64.954929109999995</v>
      </c>
      <c r="F409" s="1">
        <v>12.456764769999999</v>
      </c>
      <c r="G409" s="1">
        <v>15.89884206</v>
      </c>
      <c r="H409" s="1">
        <v>6.6894640550000002</v>
      </c>
      <c r="I409" s="1">
        <v>51.25006071</v>
      </c>
      <c r="J409" s="1">
        <v>16.396726579999999</v>
      </c>
      <c r="K409" s="1">
        <v>22.514468619999999</v>
      </c>
      <c r="L409" s="1">
        <v>9.8387440880000003</v>
      </c>
      <c r="M409" s="1">
        <v>93.568635740000005</v>
      </c>
      <c r="N409" s="1">
        <v>4.2307197299999997</v>
      </c>
      <c r="O409" s="1">
        <v>2.086401773</v>
      </c>
      <c r="P409" s="1">
        <v>0.11424275640000001</v>
      </c>
    </row>
    <row r="410" spans="1:16" ht="12.5">
      <c r="A410" s="1" t="s">
        <v>56</v>
      </c>
      <c r="B410" s="1">
        <v>2015</v>
      </c>
      <c r="C410" s="1">
        <v>10575.96191</v>
      </c>
      <c r="D410" s="1">
        <v>45.695003509999999</v>
      </c>
      <c r="E410" s="1">
        <v>64.786822299999997</v>
      </c>
      <c r="F410" s="1">
        <v>8.7154706540000006</v>
      </c>
      <c r="G410" s="1">
        <v>21.298464339999999</v>
      </c>
      <c r="H410" s="1">
        <v>5.1992427130000003</v>
      </c>
      <c r="I410" s="1">
        <v>56.784352470000002</v>
      </c>
      <c r="J410" s="1">
        <v>11.70337067</v>
      </c>
      <c r="K410" s="1">
        <v>23.774978569999998</v>
      </c>
      <c r="L410" s="1">
        <v>7.7372982859999997</v>
      </c>
      <c r="M410" s="1">
        <v>74.297142559999998</v>
      </c>
      <c r="N410" s="1">
        <v>5.1645811540000004</v>
      </c>
      <c r="O410" s="1">
        <v>18.355317530000001</v>
      </c>
      <c r="P410" s="1">
        <v>2.1829587560000001</v>
      </c>
    </row>
    <row r="411" spans="1:16" ht="12.5">
      <c r="A411" s="1" t="s">
        <v>101</v>
      </c>
      <c r="B411" s="1">
        <v>2017</v>
      </c>
      <c r="C411" s="1">
        <v>1262.008057</v>
      </c>
      <c r="D411" s="1">
        <v>71.645996089999997</v>
      </c>
      <c r="E411" s="1">
        <v>64.665816059999997</v>
      </c>
      <c r="F411" s="1">
        <v>2.957999225</v>
      </c>
      <c r="G411" s="1">
        <v>26.037706329999999</v>
      </c>
      <c r="H411" s="1">
        <v>6.3384783860000002</v>
      </c>
      <c r="I411" s="1">
        <v>30.775369319999999</v>
      </c>
      <c r="J411" s="1">
        <v>1.353579774</v>
      </c>
      <c r="K411" s="1">
        <v>46.286056360000003</v>
      </c>
      <c r="L411" s="1">
        <v>21.584994550000001</v>
      </c>
      <c r="M411" s="1">
        <v>78.07800598</v>
      </c>
      <c r="N411" s="1">
        <v>3.5929503829999998</v>
      </c>
      <c r="O411" s="1">
        <v>18.02439455</v>
      </c>
      <c r="P411" s="1">
        <v>0.30464909089999997</v>
      </c>
    </row>
    <row r="412" spans="1:16" ht="12.5">
      <c r="A412" s="1" t="s">
        <v>128</v>
      </c>
      <c r="B412" s="1">
        <v>2015</v>
      </c>
      <c r="C412" s="1">
        <v>10695.54004</v>
      </c>
      <c r="D412" s="1">
        <v>52.426998140000002</v>
      </c>
      <c r="E412" s="1">
        <v>64.567485939999997</v>
      </c>
      <c r="F412" s="1">
        <v>9.2184870100000005</v>
      </c>
      <c r="G412" s="1">
        <v>25.477839450000001</v>
      </c>
      <c r="H412" s="1">
        <v>0.73618759609999995</v>
      </c>
      <c r="I412" s="1">
        <v>42.416418049999997</v>
      </c>
      <c r="J412" s="1">
        <v>12.228897890000001</v>
      </c>
      <c r="K412" s="1">
        <v>43.807193750000003</v>
      </c>
      <c r="L412" s="1">
        <v>1.5474903170000001</v>
      </c>
      <c r="M412" s="1">
        <v>84.667679129999996</v>
      </c>
      <c r="N412" s="1">
        <v>6.4867974830000001</v>
      </c>
      <c r="O412" s="1">
        <v>8.8455233880000002</v>
      </c>
      <c r="P412" s="1">
        <v>0</v>
      </c>
    </row>
    <row r="413" spans="1:16" ht="12.5">
      <c r="A413" s="1" t="s">
        <v>101</v>
      </c>
      <c r="B413" s="1">
        <v>2015</v>
      </c>
      <c r="C413" s="1">
        <v>1168.5749510000001</v>
      </c>
      <c r="D413" s="1">
        <v>70.616004939999996</v>
      </c>
      <c r="E413" s="1">
        <v>64.178601650000004</v>
      </c>
      <c r="F413" s="1">
        <v>2.9349338359999999</v>
      </c>
      <c r="G413" s="1">
        <v>26.328798880000001</v>
      </c>
      <c r="H413" s="1">
        <v>6.5576656309999999</v>
      </c>
      <c r="I413" s="1">
        <v>30.775369319999999</v>
      </c>
      <c r="J413" s="1">
        <v>1.353579774</v>
      </c>
      <c r="K413" s="1">
        <v>46.286056360000003</v>
      </c>
      <c r="L413" s="1">
        <v>21.584994550000001</v>
      </c>
      <c r="M413" s="1">
        <v>78.07800598</v>
      </c>
      <c r="N413" s="1">
        <v>3.5929503829999998</v>
      </c>
      <c r="O413" s="1">
        <v>18.02439455</v>
      </c>
      <c r="P413" s="1">
        <v>0.30464909089999997</v>
      </c>
    </row>
    <row r="414" spans="1:16" ht="12.5">
      <c r="A414" s="1" t="s">
        <v>71</v>
      </c>
      <c r="B414" s="1">
        <v>2015</v>
      </c>
      <c r="C414" s="1">
        <v>23298.376950000002</v>
      </c>
      <c r="D414" s="1">
        <v>54.57799911</v>
      </c>
      <c r="E414" s="1">
        <v>63.973990120000003</v>
      </c>
      <c r="F414" s="1">
        <v>11.23827056</v>
      </c>
      <c r="G414" s="1">
        <v>17.651358330000001</v>
      </c>
      <c r="H414" s="1">
        <v>7.1363809839999996</v>
      </c>
      <c r="I414" s="1">
        <v>42.005669210000001</v>
      </c>
      <c r="J414" s="1">
        <v>11.073386409999999</v>
      </c>
      <c r="K414" s="1">
        <v>32.39404459</v>
      </c>
      <c r="L414" s="1">
        <v>14.52689979</v>
      </c>
      <c r="M414" s="1">
        <v>82.256907909999995</v>
      </c>
      <c r="N414" s="1">
        <v>11.37549377</v>
      </c>
      <c r="O414" s="1">
        <v>5.3819035130000001</v>
      </c>
      <c r="P414" s="1">
        <v>0.98569480279999999</v>
      </c>
    </row>
    <row r="415" spans="1:16" ht="12.5">
      <c r="A415" s="1" t="s">
        <v>125</v>
      </c>
      <c r="B415" s="1">
        <v>2020</v>
      </c>
      <c r="C415" s="1">
        <v>13132.79199</v>
      </c>
      <c r="D415" s="1">
        <v>36.875</v>
      </c>
      <c r="E415" s="1">
        <v>63.961788740000003</v>
      </c>
      <c r="F415" s="1">
        <v>21.281591500000001</v>
      </c>
      <c r="G415" s="1">
        <v>6.2961194059999999</v>
      </c>
      <c r="H415" s="1">
        <v>8.4605003540000006</v>
      </c>
      <c r="I415" s="1">
        <v>50.74817899</v>
      </c>
      <c r="J415" s="1">
        <v>26.14432944</v>
      </c>
      <c r="K415" s="1">
        <v>9.7047191430000002</v>
      </c>
      <c r="L415" s="1">
        <v>13.402772430000001</v>
      </c>
      <c r="M415" s="1">
        <v>86.581690069999993</v>
      </c>
      <c r="N415" s="1">
        <v>12.957241529999999</v>
      </c>
      <c r="O415" s="1">
        <v>0.46106839799999999</v>
      </c>
      <c r="P415" s="1">
        <v>0</v>
      </c>
    </row>
    <row r="416" spans="1:16" ht="12.5">
      <c r="A416" s="1" t="s">
        <v>225</v>
      </c>
      <c r="B416" s="1">
        <v>2020</v>
      </c>
      <c r="C416" s="1">
        <v>7976.9848629999997</v>
      </c>
      <c r="D416" s="1">
        <v>42.923000340000002</v>
      </c>
      <c r="E416" s="1">
        <v>63.766285619999998</v>
      </c>
      <c r="F416" s="1">
        <v>9.0233163570000006</v>
      </c>
      <c r="G416" s="1">
        <v>15.5639457</v>
      </c>
      <c r="H416" s="1">
        <v>11.646452330000001</v>
      </c>
      <c r="I416" s="1">
        <v>52.752702669999998</v>
      </c>
      <c r="J416" s="1">
        <v>5.2211368890000003</v>
      </c>
      <c r="K416" s="1">
        <v>23.142949089999998</v>
      </c>
      <c r="L416" s="1">
        <v>18.88321135</v>
      </c>
      <c r="M416" s="1">
        <v>78.411637659999997</v>
      </c>
      <c r="N416" s="1">
        <v>14.079277429999999</v>
      </c>
      <c r="O416" s="1">
        <v>5.4857354369999998</v>
      </c>
      <c r="P416" s="1">
        <v>2.0233494749999998</v>
      </c>
    </row>
    <row r="417" spans="1:16" ht="12.5">
      <c r="A417" s="1" t="s">
        <v>245</v>
      </c>
      <c r="B417" s="1">
        <v>2015</v>
      </c>
      <c r="C417" s="1">
        <v>7323.1621089999999</v>
      </c>
      <c r="D417" s="1">
        <v>40.099998470000003</v>
      </c>
      <c r="E417" s="1">
        <v>63.637126350000003</v>
      </c>
      <c r="F417" s="1">
        <v>5.6657679649999997</v>
      </c>
      <c r="G417" s="1">
        <v>17.17891539</v>
      </c>
      <c r="H417" s="1">
        <v>13.51819029</v>
      </c>
      <c r="I417" s="1">
        <v>47.242183279999999</v>
      </c>
      <c r="J417" s="1">
        <v>7.3346522839999997</v>
      </c>
      <c r="K417" s="1">
        <v>23.470036180000001</v>
      </c>
      <c r="L417" s="1">
        <v>21.953128249999999</v>
      </c>
      <c r="M417" s="1">
        <v>88.127329700000004</v>
      </c>
      <c r="N417" s="1">
        <v>3.1728458380000002</v>
      </c>
      <c r="O417" s="1">
        <v>7.7814550410000001</v>
      </c>
      <c r="P417" s="1">
        <v>0.91836941770000002</v>
      </c>
    </row>
    <row r="418" spans="1:16" ht="12.5">
      <c r="A418" s="1" t="s">
        <v>125</v>
      </c>
      <c r="B418" s="1">
        <v>2015</v>
      </c>
      <c r="C418" s="1">
        <v>11432.0957</v>
      </c>
      <c r="D418" s="1">
        <v>35.140998840000002</v>
      </c>
      <c r="E418" s="1">
        <v>63.615389540000002</v>
      </c>
      <c r="F418" s="1">
        <v>16.090256029999999</v>
      </c>
      <c r="G418" s="1">
        <v>9.7579804439999993</v>
      </c>
      <c r="H418" s="1">
        <v>10.53637399</v>
      </c>
      <c r="I418" s="1">
        <v>51.949155339999997</v>
      </c>
      <c r="J418" s="1">
        <v>18.760629779999999</v>
      </c>
      <c r="K418" s="1">
        <v>13.309717210000001</v>
      </c>
      <c r="L418" s="1">
        <v>15.980497679999999</v>
      </c>
      <c r="M418" s="1">
        <v>85.147507689999998</v>
      </c>
      <c r="N418" s="1">
        <v>11.161602630000001</v>
      </c>
      <c r="O418" s="1">
        <v>3.202620418</v>
      </c>
      <c r="P418" s="1">
        <v>0.48826926510000002</v>
      </c>
    </row>
    <row r="419" spans="1:16" ht="12.5">
      <c r="A419" s="1" t="s">
        <v>175</v>
      </c>
      <c r="B419" s="1">
        <v>2020</v>
      </c>
      <c r="C419" s="1">
        <v>31255.435549999998</v>
      </c>
      <c r="D419" s="1">
        <v>37.073997499999997</v>
      </c>
      <c r="E419" s="1">
        <v>63.369425630000002</v>
      </c>
      <c r="F419" s="1">
        <v>9.9757845070000002</v>
      </c>
      <c r="G419" s="1">
        <v>16.726145110000001</v>
      </c>
      <c r="H419" s="1">
        <v>9.9286447590000009</v>
      </c>
      <c r="I419" s="1">
        <v>48.8666865</v>
      </c>
      <c r="J419" s="1">
        <v>12.64088359</v>
      </c>
      <c r="K419" s="1">
        <v>23.686256400000001</v>
      </c>
      <c r="L419" s="1">
        <v>14.80617352</v>
      </c>
      <c r="M419" s="1">
        <v>87.98504792</v>
      </c>
      <c r="N419" s="1">
        <v>5.4522910270000002</v>
      </c>
      <c r="O419" s="1">
        <v>4.9126846439999996</v>
      </c>
      <c r="P419" s="1">
        <v>1.649976404</v>
      </c>
    </row>
    <row r="420" spans="1:16" ht="12.5">
      <c r="A420" s="1" t="s">
        <v>271</v>
      </c>
      <c r="B420" s="1">
        <v>2020</v>
      </c>
      <c r="C420" s="1" t="s">
        <v>275</v>
      </c>
      <c r="D420" s="1">
        <v>32</v>
      </c>
      <c r="E420" s="1">
        <v>63</v>
      </c>
      <c r="F420" s="1">
        <v>14</v>
      </c>
      <c r="G420" s="1">
        <v>16</v>
      </c>
      <c r="H420" s="1">
        <v>7</v>
      </c>
      <c r="I420" s="1">
        <v>48</v>
      </c>
      <c r="J420" s="1">
        <v>19</v>
      </c>
      <c r="K420" s="1">
        <v>23</v>
      </c>
      <c r="L420" s="1">
        <v>10</v>
      </c>
      <c r="M420" s="1">
        <v>93</v>
      </c>
      <c r="N420" s="1">
        <v>5</v>
      </c>
      <c r="O420" s="1">
        <v>2</v>
      </c>
      <c r="P420" s="1" t="s">
        <v>274</v>
      </c>
    </row>
    <row r="421" spans="1:16" ht="12.5">
      <c r="A421" s="1" t="s">
        <v>271</v>
      </c>
      <c r="B421" s="1">
        <v>2020</v>
      </c>
      <c r="C421" s="1">
        <v>14862.92676</v>
      </c>
      <c r="D421" s="1">
        <v>32.242000580000003</v>
      </c>
      <c r="E421" s="1">
        <v>62.666457610000002</v>
      </c>
      <c r="F421" s="1">
        <v>14.1975397</v>
      </c>
      <c r="G421" s="1">
        <v>16.277855450000001</v>
      </c>
      <c r="H421" s="1">
        <v>6.8581472420000003</v>
      </c>
      <c r="I421" s="1">
        <v>48.282428850000002</v>
      </c>
      <c r="J421" s="1">
        <v>18.590984670000001</v>
      </c>
      <c r="K421" s="1">
        <v>23.013646550000001</v>
      </c>
      <c r="L421" s="1">
        <v>10.112939920000001</v>
      </c>
      <c r="M421" s="1">
        <v>92.89512895</v>
      </c>
      <c r="N421" s="1">
        <v>4.9645177570000003</v>
      </c>
      <c r="O421" s="1">
        <v>2.1222986740000001</v>
      </c>
      <c r="P421" s="1">
        <v>1.805461538E-2</v>
      </c>
    </row>
    <row r="422" spans="1:16" ht="12.5">
      <c r="A422" s="1" t="s">
        <v>68</v>
      </c>
      <c r="B422" s="1">
        <v>2020</v>
      </c>
      <c r="C422" s="1">
        <v>11890.78125</v>
      </c>
      <c r="D422" s="1">
        <v>13.708000180000001</v>
      </c>
      <c r="E422" s="1">
        <v>62.207122249999998</v>
      </c>
      <c r="F422" s="1">
        <v>19.439693139999999</v>
      </c>
      <c r="G422" s="1">
        <v>14.758259689999999</v>
      </c>
      <c r="H422" s="1">
        <v>3.5949249129999998</v>
      </c>
      <c r="I422" s="1">
        <v>57.685765269999997</v>
      </c>
      <c r="J422" s="1">
        <v>21.251482129999999</v>
      </c>
      <c r="K422" s="1">
        <v>16.896752379999999</v>
      </c>
      <c r="L422" s="1">
        <v>4.1660002189999998</v>
      </c>
      <c r="M422" s="1">
        <v>90.669110860000004</v>
      </c>
      <c r="N422" s="1">
        <v>8.0344628690000004</v>
      </c>
      <c r="O422" s="1">
        <v>1.2964262689999999</v>
      </c>
      <c r="P422" s="1">
        <v>0</v>
      </c>
    </row>
    <row r="423" spans="1:16" ht="12.5">
      <c r="A423" s="1" t="s">
        <v>144</v>
      </c>
      <c r="B423" s="1">
        <v>2020</v>
      </c>
      <c r="C423" s="1">
        <v>53771.300779999998</v>
      </c>
      <c r="D423" s="1">
        <v>27.994998930000001</v>
      </c>
      <c r="E423" s="1">
        <v>61.632891579999999</v>
      </c>
      <c r="F423" s="1">
        <v>9.54187005</v>
      </c>
      <c r="G423" s="1">
        <v>9.7800875240000007</v>
      </c>
      <c r="H423" s="1">
        <v>19.045150840000002</v>
      </c>
      <c r="I423" s="1">
        <v>51.779978929999999</v>
      </c>
      <c r="J423" s="1">
        <v>11.569004189999999</v>
      </c>
      <c r="K423" s="1">
        <v>12.519113219999999</v>
      </c>
      <c r="L423" s="1">
        <v>24.131903659999999</v>
      </c>
      <c r="M423" s="1">
        <v>86.975231449999995</v>
      </c>
      <c r="N423" s="1">
        <v>4.327944725</v>
      </c>
      <c r="O423" s="1">
        <v>2.7351426299999999</v>
      </c>
      <c r="P423" s="1">
        <v>5.9616811930000004</v>
      </c>
    </row>
    <row r="424" spans="1:16" ht="12.5">
      <c r="A424" s="1" t="s">
        <v>11</v>
      </c>
      <c r="B424" s="1">
        <v>2015</v>
      </c>
      <c r="C424" s="1">
        <v>34413.601560000003</v>
      </c>
      <c r="D424" s="1">
        <v>24.802999499999999</v>
      </c>
      <c r="E424" s="1">
        <v>61.339780810000001</v>
      </c>
      <c r="F424" s="1">
        <v>3.5111995139999999</v>
      </c>
      <c r="G424" s="1">
        <v>22.168783829999999</v>
      </c>
      <c r="H424" s="1">
        <v>12.98023585</v>
      </c>
      <c r="I424" s="1">
        <v>52.988502019999999</v>
      </c>
      <c r="J424" s="1">
        <v>3.8611366170000001</v>
      </c>
      <c r="K424" s="1">
        <v>26.553267569999999</v>
      </c>
      <c r="L424" s="1">
        <v>16.597093789999999</v>
      </c>
      <c r="M424" s="1">
        <v>86.658940720000004</v>
      </c>
      <c r="N424" s="1">
        <v>2.450270561</v>
      </c>
      <c r="O424" s="1">
        <v>8.8760357320000001</v>
      </c>
      <c r="P424" s="1">
        <v>2.0147529870000001</v>
      </c>
    </row>
    <row r="425" spans="1:16" ht="12.5">
      <c r="A425" s="1" t="s">
        <v>270</v>
      </c>
      <c r="B425" s="1">
        <v>2015</v>
      </c>
      <c r="C425" s="1">
        <v>15879.37012</v>
      </c>
      <c r="D425" s="1">
        <v>41.9070015</v>
      </c>
      <c r="E425" s="1">
        <v>61.338746280000002</v>
      </c>
      <c r="F425" s="1">
        <v>5.6539172300000002</v>
      </c>
      <c r="G425" s="1">
        <v>23.3359001</v>
      </c>
      <c r="H425" s="1">
        <v>9.6714363920000004</v>
      </c>
      <c r="I425" s="1">
        <v>43.616834320000002</v>
      </c>
      <c r="J425" s="1">
        <v>7.2108648679999998</v>
      </c>
      <c r="K425" s="1">
        <v>33.257219489999997</v>
      </c>
      <c r="L425" s="1">
        <v>15.915081320000001</v>
      </c>
      <c r="M425" s="1">
        <v>85.90549729</v>
      </c>
      <c r="N425" s="1">
        <v>3.495619671</v>
      </c>
      <c r="O425" s="1">
        <v>9.5826138469999993</v>
      </c>
      <c r="P425" s="1">
        <v>1.0162691930000001</v>
      </c>
    </row>
    <row r="426" spans="1:16" ht="12.5">
      <c r="A426" s="1" t="s">
        <v>258</v>
      </c>
      <c r="B426" s="1">
        <v>2020</v>
      </c>
      <c r="C426" s="1">
        <v>59734.214840000001</v>
      </c>
      <c r="D426" s="1">
        <v>35.227001190000003</v>
      </c>
      <c r="E426" s="1">
        <v>60.716797589999999</v>
      </c>
      <c r="F426" s="1">
        <v>11.29007067</v>
      </c>
      <c r="G426" s="1">
        <v>14.51775136</v>
      </c>
      <c r="H426" s="1">
        <v>13.475380380000001</v>
      </c>
      <c r="I426" s="1">
        <v>45.446965339999998</v>
      </c>
      <c r="J426" s="1">
        <v>13.98368881</v>
      </c>
      <c r="K426" s="1">
        <v>21.21996133</v>
      </c>
      <c r="L426" s="1">
        <v>19.349384520000001</v>
      </c>
      <c r="M426" s="1">
        <v>88.793924899999993</v>
      </c>
      <c r="N426" s="1">
        <v>6.3372311659999996</v>
      </c>
      <c r="O426" s="1">
        <v>2.1941787860000002</v>
      </c>
      <c r="P426" s="1">
        <v>2.6746651520000002</v>
      </c>
    </row>
    <row r="427" spans="1:16" ht="12.5">
      <c r="A427" s="1" t="s">
        <v>269</v>
      </c>
      <c r="B427" s="1">
        <v>2020</v>
      </c>
      <c r="C427" s="1">
        <v>29825.96875</v>
      </c>
      <c r="D427" s="1">
        <v>37.907997129999998</v>
      </c>
      <c r="E427" s="1">
        <v>60.663569840000001</v>
      </c>
      <c r="F427" s="1">
        <v>28.9627418</v>
      </c>
      <c r="G427" s="1">
        <v>7.77785276</v>
      </c>
      <c r="H427" s="1">
        <v>2.595835594</v>
      </c>
      <c r="I427" s="1">
        <v>50.681334370000002</v>
      </c>
      <c r="J427" s="1">
        <v>33.53021373</v>
      </c>
      <c r="K427" s="1">
        <v>11.60782393</v>
      </c>
      <c r="L427" s="1">
        <v>4.1806279780000004</v>
      </c>
      <c r="M427" s="1">
        <v>77.014129339999997</v>
      </c>
      <c r="N427" s="1">
        <v>21.481379369999999</v>
      </c>
      <c r="O427" s="1">
        <v>1.5044912859999999</v>
      </c>
      <c r="P427" s="1">
        <v>0</v>
      </c>
    </row>
    <row r="428" spans="1:16" ht="12.5">
      <c r="A428" s="1" t="s">
        <v>237</v>
      </c>
      <c r="B428" s="1">
        <v>2020</v>
      </c>
      <c r="C428" s="1">
        <v>43849.269529999998</v>
      </c>
      <c r="D428" s="1">
        <v>35.252998349999999</v>
      </c>
      <c r="E428" s="1">
        <v>60.448675600000001</v>
      </c>
      <c r="F428" s="1">
        <v>26.670019750000002</v>
      </c>
      <c r="G428" s="1">
        <v>3.6502178750000001</v>
      </c>
      <c r="H428" s="1">
        <v>9.2310867739999996</v>
      </c>
      <c r="I428" s="1">
        <v>53.19902707</v>
      </c>
      <c r="J428" s="1">
        <v>27.457644510000002</v>
      </c>
      <c r="K428" s="1">
        <v>5.6376600080000001</v>
      </c>
      <c r="L428" s="1">
        <v>13.70566842</v>
      </c>
      <c r="M428" s="1">
        <v>73.763659559999994</v>
      </c>
      <c r="N428" s="1">
        <v>25.223439859999999</v>
      </c>
      <c r="O428" s="1">
        <v>0</v>
      </c>
      <c r="P428" s="1">
        <v>1.012900581</v>
      </c>
    </row>
    <row r="429" spans="1:16" ht="12.5">
      <c r="A429" s="1" t="s">
        <v>207</v>
      </c>
      <c r="B429" s="1">
        <v>2020</v>
      </c>
      <c r="C429" s="1">
        <v>12952.208979999999</v>
      </c>
      <c r="D429" s="1">
        <v>17.432001110000002</v>
      </c>
      <c r="E429" s="1">
        <v>60.41450115</v>
      </c>
      <c r="F429" s="1">
        <v>22.3207193</v>
      </c>
      <c r="G429" s="1">
        <v>13.15480415</v>
      </c>
      <c r="H429" s="1">
        <v>4.1099754009999998</v>
      </c>
      <c r="I429" s="1">
        <v>55.642468229999999</v>
      </c>
      <c r="J429" s="1">
        <v>25.08014133</v>
      </c>
      <c r="K429" s="1">
        <v>14.778867719999999</v>
      </c>
      <c r="L429" s="1">
        <v>4.4985227139999999</v>
      </c>
      <c r="M429" s="1">
        <v>83.017599300000001</v>
      </c>
      <c r="N429" s="1">
        <v>9.2505062509999991</v>
      </c>
      <c r="O429" s="1">
        <v>5.4623030569999997</v>
      </c>
      <c r="P429" s="1">
        <v>2.2695913939999999</v>
      </c>
    </row>
    <row r="430" spans="1:16" ht="12.5">
      <c r="A430" s="1" t="s">
        <v>68</v>
      </c>
      <c r="B430" s="1">
        <v>2015</v>
      </c>
      <c r="C430" s="1">
        <v>10160.034180000001</v>
      </c>
      <c r="D430" s="1">
        <v>12.07800007</v>
      </c>
      <c r="E430" s="1">
        <v>59.581469249999998</v>
      </c>
      <c r="F430" s="1">
        <v>19.538891840000002</v>
      </c>
      <c r="G430" s="1">
        <v>14.864992579999999</v>
      </c>
      <c r="H430" s="1">
        <v>6.0146463399999996</v>
      </c>
      <c r="I430" s="1">
        <v>55.55826691</v>
      </c>
      <c r="J430" s="1">
        <v>21.166795570000001</v>
      </c>
      <c r="K430" s="1">
        <v>16.594144570000001</v>
      </c>
      <c r="L430" s="1">
        <v>6.6807929509999999</v>
      </c>
      <c r="M430" s="1">
        <v>88.868437589999999</v>
      </c>
      <c r="N430" s="1">
        <v>7.6885395340000002</v>
      </c>
      <c r="O430" s="1">
        <v>2.2776018659999999</v>
      </c>
      <c r="P430" s="1">
        <v>1.1654210119999999</v>
      </c>
    </row>
    <row r="431" spans="1:16" ht="12.5">
      <c r="A431" s="1" t="s">
        <v>126</v>
      </c>
      <c r="B431" s="1">
        <v>2020</v>
      </c>
      <c r="C431" s="1">
        <v>1967.998047</v>
      </c>
      <c r="D431" s="1">
        <v>44.195999149999999</v>
      </c>
      <c r="E431" s="1">
        <v>59.016912210000001</v>
      </c>
      <c r="F431" s="1">
        <v>14.03457137</v>
      </c>
      <c r="G431" s="1">
        <v>26.6263769</v>
      </c>
      <c r="H431" s="1">
        <v>0.3221395192</v>
      </c>
      <c r="I431" s="1">
        <v>49.831905300000003</v>
      </c>
      <c r="J431" s="1">
        <v>9.2857730259999993</v>
      </c>
      <c r="K431" s="1">
        <v>40.316451290000003</v>
      </c>
      <c r="L431" s="1">
        <v>0.56587038450000005</v>
      </c>
      <c r="M431" s="1">
        <v>70.614347910000006</v>
      </c>
      <c r="N431" s="1">
        <v>20.03063358</v>
      </c>
      <c r="O431" s="1">
        <v>9.3406252839999997</v>
      </c>
      <c r="P431" s="1">
        <v>1.4393226929999999E-2</v>
      </c>
    </row>
    <row r="432" spans="1:16" ht="12.5">
      <c r="A432" s="1" t="s">
        <v>237</v>
      </c>
      <c r="B432" s="1">
        <v>2015</v>
      </c>
      <c r="C432" s="1">
        <v>38902.949220000002</v>
      </c>
      <c r="D432" s="1">
        <v>33.894001009999997</v>
      </c>
      <c r="E432" s="1">
        <v>58.950253320000002</v>
      </c>
      <c r="F432" s="1">
        <v>26.111815979999999</v>
      </c>
      <c r="G432" s="1">
        <v>5.635847128</v>
      </c>
      <c r="H432" s="1">
        <v>9.3020835690000006</v>
      </c>
      <c r="I432" s="1">
        <v>51.707437730000002</v>
      </c>
      <c r="J432" s="1">
        <v>26.687789639999998</v>
      </c>
      <c r="K432" s="1">
        <v>8.1225675119999998</v>
      </c>
      <c r="L432" s="1">
        <v>13.482205130000001</v>
      </c>
      <c r="M432" s="1">
        <v>73.076457570000002</v>
      </c>
      <c r="N432" s="1">
        <v>24.98845154</v>
      </c>
      <c r="O432" s="1">
        <v>0.78581062170000004</v>
      </c>
      <c r="P432" s="1">
        <v>1.14928027</v>
      </c>
    </row>
    <row r="433" spans="1:16" ht="12.5">
      <c r="A433" s="1" t="s">
        <v>126</v>
      </c>
      <c r="B433" s="1">
        <v>2015</v>
      </c>
      <c r="C433" s="1">
        <v>1737.2070309999999</v>
      </c>
      <c r="D433" s="1">
        <v>42.12299728</v>
      </c>
      <c r="E433" s="1">
        <v>58.764347620000002</v>
      </c>
      <c r="F433" s="1">
        <v>10.59149221</v>
      </c>
      <c r="G433" s="1">
        <v>29.744379070000001</v>
      </c>
      <c r="H433" s="1">
        <v>0.89978109260000005</v>
      </c>
      <c r="I433" s="1">
        <v>48.422730049999998</v>
      </c>
      <c r="J433" s="1">
        <v>7.5662803609999996</v>
      </c>
      <c r="K433" s="1">
        <v>42.58264827</v>
      </c>
      <c r="L433" s="1">
        <v>1.428341318</v>
      </c>
      <c r="M433" s="1">
        <v>72.973731220000005</v>
      </c>
      <c r="N433" s="1">
        <v>14.748133599999999</v>
      </c>
      <c r="O433" s="1">
        <v>12.104595890000001</v>
      </c>
      <c r="P433" s="1">
        <v>0.17353928900000001</v>
      </c>
    </row>
    <row r="434" spans="1:16" ht="12.5">
      <c r="A434" s="1" t="s">
        <v>144</v>
      </c>
      <c r="B434" s="1">
        <v>2015</v>
      </c>
      <c r="C434" s="1">
        <v>47878.339840000001</v>
      </c>
      <c r="D434" s="1">
        <v>25.65799904</v>
      </c>
      <c r="E434" s="1">
        <v>58.196927979999998</v>
      </c>
      <c r="F434" s="1">
        <v>8.7967539769999998</v>
      </c>
      <c r="G434" s="1">
        <v>11.522918349999999</v>
      </c>
      <c r="H434" s="1">
        <v>21.483399689999999</v>
      </c>
      <c r="I434" s="1">
        <v>48.272161910000001</v>
      </c>
      <c r="J434" s="1">
        <v>10.37313934</v>
      </c>
      <c r="K434" s="1">
        <v>14.21683468</v>
      </c>
      <c r="L434" s="1">
        <v>27.13786408</v>
      </c>
      <c r="M434" s="1">
        <v>86.953147920000006</v>
      </c>
      <c r="N434" s="1">
        <v>4.2293042700000001</v>
      </c>
      <c r="O434" s="1">
        <v>3.7175043830000001</v>
      </c>
      <c r="P434" s="1">
        <v>5.1000434290000003</v>
      </c>
    </row>
    <row r="435" spans="1:16" ht="12.5">
      <c r="A435" s="1" t="s">
        <v>225</v>
      </c>
      <c r="B435" s="1">
        <v>2015</v>
      </c>
      <c r="C435" s="1">
        <v>7171.9091799999997</v>
      </c>
      <c r="D435" s="1">
        <v>40.828998570000003</v>
      </c>
      <c r="E435" s="1">
        <v>57.847465159999999</v>
      </c>
      <c r="F435" s="1">
        <v>8.1969579570000004</v>
      </c>
      <c r="G435" s="1">
        <v>15.91095456</v>
      </c>
      <c r="H435" s="1">
        <v>18.044622319999998</v>
      </c>
      <c r="I435" s="1">
        <v>45.529713839999999</v>
      </c>
      <c r="J435" s="1">
        <v>4.8404944719999996</v>
      </c>
      <c r="K435" s="1">
        <v>21.716961430000001</v>
      </c>
      <c r="L435" s="1">
        <v>27.912830270000001</v>
      </c>
      <c r="M435" s="1">
        <v>75.698837580000003</v>
      </c>
      <c r="N435" s="1">
        <v>13.06127759</v>
      </c>
      <c r="O435" s="1">
        <v>7.4966597610000001</v>
      </c>
      <c r="P435" s="1">
        <v>3.7432250680000001</v>
      </c>
    </row>
    <row r="436" spans="1:16" ht="12.5">
      <c r="A436" s="1" t="s">
        <v>26</v>
      </c>
      <c r="B436" s="1">
        <v>2020</v>
      </c>
      <c r="C436" s="1">
        <v>32866.269529999998</v>
      </c>
      <c r="D436" s="1">
        <v>66.824996949999999</v>
      </c>
      <c r="E436" s="1">
        <v>57.167737619999997</v>
      </c>
      <c r="F436" s="1">
        <v>9.2873499190000004</v>
      </c>
      <c r="G436" s="1">
        <v>19.450825340000002</v>
      </c>
      <c r="H436" s="1">
        <v>14.094087119999999</v>
      </c>
      <c r="I436" s="1">
        <v>27.808226609999998</v>
      </c>
      <c r="J436" s="1">
        <v>8.7404883889999994</v>
      </c>
      <c r="K436" s="1">
        <v>22.933152580000002</v>
      </c>
      <c r="L436" s="1">
        <v>40.518132420000001</v>
      </c>
      <c r="M436" s="1">
        <v>71.743148619999999</v>
      </c>
      <c r="N436" s="1">
        <v>9.5588374890000001</v>
      </c>
      <c r="O436" s="1">
        <v>17.722034730000001</v>
      </c>
      <c r="P436" s="1">
        <v>0.97597916289999997</v>
      </c>
    </row>
    <row r="437" spans="1:16" ht="12.5">
      <c r="A437" s="1" t="s">
        <v>207</v>
      </c>
      <c r="B437" s="1">
        <v>2015</v>
      </c>
      <c r="C437" s="1">
        <v>11369.066409999999</v>
      </c>
      <c r="D437" s="1">
        <v>17.003999709999999</v>
      </c>
      <c r="E437" s="1">
        <v>57.121774019999997</v>
      </c>
      <c r="F437" s="1">
        <v>22.154046149999999</v>
      </c>
      <c r="G437" s="1">
        <v>13.45013172</v>
      </c>
      <c r="H437" s="1">
        <v>7.2740481099999998</v>
      </c>
      <c r="I437" s="1">
        <v>52.352709560000001</v>
      </c>
      <c r="J437" s="1">
        <v>24.60883866</v>
      </c>
      <c r="K437" s="1">
        <v>14.980603540000001</v>
      </c>
      <c r="L437" s="1">
        <v>8.0578482410000003</v>
      </c>
      <c r="M437" s="1">
        <v>80.399437379999995</v>
      </c>
      <c r="N437" s="1">
        <v>10.172282620000001</v>
      </c>
      <c r="O437" s="1">
        <v>5.9799351659999997</v>
      </c>
      <c r="P437" s="1">
        <v>3.4483448280000002</v>
      </c>
    </row>
    <row r="438" spans="1:16" ht="12.5">
      <c r="A438" s="1" t="s">
        <v>232</v>
      </c>
      <c r="B438" s="1">
        <v>2020</v>
      </c>
      <c r="C438" s="1">
        <v>15893.21875</v>
      </c>
      <c r="D438" s="1">
        <v>46.140998840000002</v>
      </c>
      <c r="E438" s="1">
        <v>56.476973389999998</v>
      </c>
      <c r="F438" s="1">
        <v>27.704199559999999</v>
      </c>
      <c r="G438" s="1">
        <v>13.41704303</v>
      </c>
      <c r="H438" s="1">
        <v>2.4017840210000001</v>
      </c>
      <c r="I438" s="1">
        <v>37.075862819999998</v>
      </c>
      <c r="J438" s="1">
        <v>36.643249580000003</v>
      </c>
      <c r="K438" s="1">
        <v>21.821495460000001</v>
      </c>
      <c r="L438" s="1">
        <v>4.4593921429999996</v>
      </c>
      <c r="M438" s="1">
        <v>79.123305740000006</v>
      </c>
      <c r="N438" s="1">
        <v>17.269915560000001</v>
      </c>
      <c r="O438" s="1">
        <v>3.6067787029999998</v>
      </c>
      <c r="P438" s="1">
        <v>0</v>
      </c>
    </row>
    <row r="439" spans="1:16" ht="12.5">
      <c r="A439" s="1" t="s">
        <v>254</v>
      </c>
      <c r="B439" s="1">
        <v>2020</v>
      </c>
      <c r="C439" s="1">
        <v>45741</v>
      </c>
      <c r="D439" s="1">
        <v>24.95400047</v>
      </c>
      <c r="E439" s="1">
        <v>55.855049209999997</v>
      </c>
      <c r="F439" s="1">
        <v>27.282859999999999</v>
      </c>
      <c r="G439" s="1">
        <v>12.16590654</v>
      </c>
      <c r="H439" s="1">
        <v>4.6961842520000001</v>
      </c>
      <c r="I439" s="1">
        <v>48.231189579999999</v>
      </c>
      <c r="J439" s="1">
        <v>31.784694259999998</v>
      </c>
      <c r="K439" s="1">
        <v>14.076160610000001</v>
      </c>
      <c r="L439" s="1">
        <v>5.9079555460000002</v>
      </c>
      <c r="M439" s="1">
        <v>78.782851800000003</v>
      </c>
      <c r="N439" s="1">
        <v>13.74416783</v>
      </c>
      <c r="O439" s="1">
        <v>6.4210441329999997</v>
      </c>
      <c r="P439" s="1">
        <v>1.0519362379999999</v>
      </c>
    </row>
    <row r="440" spans="1:16" ht="12.5">
      <c r="A440" s="1" t="s">
        <v>269</v>
      </c>
      <c r="B440" s="1">
        <v>2015</v>
      </c>
      <c r="C440" s="1">
        <v>26497.880860000001</v>
      </c>
      <c r="D440" s="1">
        <v>34.777000430000001</v>
      </c>
      <c r="E440" s="1">
        <v>55.778868629999998</v>
      </c>
      <c r="F440" s="1">
        <v>26.035606600000001</v>
      </c>
      <c r="G440" s="1">
        <v>14.70974567</v>
      </c>
      <c r="H440" s="1">
        <v>3.4757790979999998</v>
      </c>
      <c r="I440" s="1">
        <v>44.958268160000003</v>
      </c>
      <c r="J440" s="1">
        <v>28.794611020000001</v>
      </c>
      <c r="K440" s="1">
        <v>21.10381293</v>
      </c>
      <c r="L440" s="1">
        <v>5.1433078959999996</v>
      </c>
      <c r="M440" s="1">
        <v>76.072511899999995</v>
      </c>
      <c r="N440" s="1">
        <v>20.861194009999998</v>
      </c>
      <c r="O440" s="1">
        <v>2.7179047039999999</v>
      </c>
      <c r="P440" s="1">
        <v>0.3483893924</v>
      </c>
    </row>
    <row r="441" spans="1:16" ht="12.5">
      <c r="A441" s="1" t="s">
        <v>26</v>
      </c>
      <c r="B441" s="1">
        <v>2015</v>
      </c>
      <c r="C441" s="1">
        <v>27884.380860000001</v>
      </c>
      <c r="D441" s="1">
        <v>63.445995330000002</v>
      </c>
      <c r="E441" s="1">
        <v>54.316928349999998</v>
      </c>
      <c r="F441" s="1">
        <v>11.368618659999999</v>
      </c>
      <c r="G441" s="1">
        <v>17.37235635</v>
      </c>
      <c r="H441" s="1">
        <v>16.942096639999999</v>
      </c>
      <c r="I441" s="1">
        <v>26.714369399999999</v>
      </c>
      <c r="J441" s="1">
        <v>9.9310692879999998</v>
      </c>
      <c r="K441" s="1">
        <v>21.725307619999999</v>
      </c>
      <c r="L441" s="1">
        <v>41.629253689999999</v>
      </c>
      <c r="M441" s="1">
        <v>70.219965119999998</v>
      </c>
      <c r="N441" s="1">
        <v>12.196853490000001</v>
      </c>
      <c r="O441" s="1">
        <v>14.86443147</v>
      </c>
      <c r="P441" s="1">
        <v>2.7187499210000001</v>
      </c>
    </row>
    <row r="442" spans="1:16" ht="12.5">
      <c r="A442" s="1" t="s">
        <v>157</v>
      </c>
      <c r="B442" s="1">
        <v>2020</v>
      </c>
      <c r="C442" s="1">
        <v>27691.019530000001</v>
      </c>
      <c r="D442" s="1">
        <v>38.534000399999996</v>
      </c>
      <c r="E442" s="1">
        <v>53.385884910000001</v>
      </c>
      <c r="F442" s="1">
        <v>2.7179729799999999</v>
      </c>
      <c r="G442" s="1">
        <v>32.311459669999998</v>
      </c>
      <c r="H442" s="1">
        <v>11.58468244</v>
      </c>
      <c r="I442" s="1">
        <v>36.406420279999999</v>
      </c>
      <c r="J442" s="1">
        <v>1.601776163</v>
      </c>
      <c r="K442" s="1">
        <v>43.953893450000002</v>
      </c>
      <c r="L442" s="1">
        <v>18.037910109999999</v>
      </c>
      <c r="M442" s="1">
        <v>80.470006940000005</v>
      </c>
      <c r="N442" s="1">
        <v>4.4984302979999997</v>
      </c>
      <c r="O442" s="1">
        <v>13.74049434</v>
      </c>
      <c r="P442" s="1">
        <v>1.291068417</v>
      </c>
    </row>
    <row r="443" spans="1:16" ht="12.5">
      <c r="A443" s="1" t="s">
        <v>258</v>
      </c>
      <c r="B443" s="1">
        <v>2015</v>
      </c>
      <c r="C443" s="1">
        <v>51482.636720000002</v>
      </c>
      <c r="D443" s="1">
        <v>31.617000579999999</v>
      </c>
      <c r="E443" s="1">
        <v>52.963794589999999</v>
      </c>
      <c r="F443" s="1">
        <v>11.30893693</v>
      </c>
      <c r="G443" s="1">
        <v>21.385247880000001</v>
      </c>
      <c r="H443" s="1">
        <v>14.3420206</v>
      </c>
      <c r="I443" s="1">
        <v>38.863424559999999</v>
      </c>
      <c r="J443" s="1">
        <v>13.19289824</v>
      </c>
      <c r="K443" s="1">
        <v>28.1932841</v>
      </c>
      <c r="L443" s="1">
        <v>19.750393110000001</v>
      </c>
      <c r="M443" s="1">
        <v>83.4608554</v>
      </c>
      <c r="N443" s="1">
        <v>7.2342011279999996</v>
      </c>
      <c r="O443" s="1">
        <v>6.6604502999999999</v>
      </c>
      <c r="P443" s="1">
        <v>2.6444931710000001</v>
      </c>
    </row>
    <row r="444" spans="1:16" ht="12.5">
      <c r="A444" s="1" t="s">
        <v>102</v>
      </c>
      <c r="B444" s="1">
        <v>2016</v>
      </c>
      <c r="C444" s="1">
        <v>3376.5581050000001</v>
      </c>
      <c r="D444" s="1">
        <v>38.826999659999998</v>
      </c>
      <c r="E444" s="1">
        <v>51.849720179999998</v>
      </c>
      <c r="F444" s="1">
        <v>17.59725585</v>
      </c>
      <c r="G444" s="1">
        <v>13.45014014</v>
      </c>
      <c r="H444" s="1">
        <v>17.102883840000001</v>
      </c>
      <c r="I444" s="1">
        <v>27.801576470000001</v>
      </c>
      <c r="J444" s="1">
        <v>24.49842353</v>
      </c>
      <c r="K444" s="1">
        <v>20.074999999999999</v>
      </c>
      <c r="L444" s="1">
        <v>27.625</v>
      </c>
      <c r="M444" s="1">
        <v>89.738224529999997</v>
      </c>
      <c r="N444" s="1">
        <v>6.7242754739999997</v>
      </c>
      <c r="O444" s="1">
        <v>3.0125000000000002</v>
      </c>
      <c r="P444" s="1">
        <v>0.52500000000000002</v>
      </c>
    </row>
    <row r="445" spans="1:16" ht="12.5">
      <c r="A445" s="1" t="s">
        <v>102</v>
      </c>
      <c r="B445" s="1">
        <v>2015</v>
      </c>
      <c r="C445" s="1">
        <v>3342.818115</v>
      </c>
      <c r="D445" s="1">
        <v>38.206001280000002</v>
      </c>
      <c r="E445" s="1">
        <v>51.465093529999997</v>
      </c>
      <c r="F445" s="1">
        <v>17.707633340000001</v>
      </c>
      <c r="G445" s="1">
        <v>13.55609825</v>
      </c>
      <c r="H445" s="1">
        <v>17.27117488</v>
      </c>
      <c r="I445" s="1">
        <v>27.801576470000001</v>
      </c>
      <c r="J445" s="1">
        <v>24.49842353</v>
      </c>
      <c r="K445" s="1">
        <v>20.074999999999999</v>
      </c>
      <c r="L445" s="1">
        <v>27.625</v>
      </c>
      <c r="M445" s="1">
        <v>89.738224529999997</v>
      </c>
      <c r="N445" s="1">
        <v>6.7242754739999997</v>
      </c>
      <c r="O445" s="1">
        <v>3.0125000000000002</v>
      </c>
      <c r="P445" s="1">
        <v>0.52500000000000002</v>
      </c>
    </row>
    <row r="446" spans="1:16" ht="12.5">
      <c r="A446" s="1" t="s">
        <v>175</v>
      </c>
      <c r="B446" s="1">
        <v>2015</v>
      </c>
      <c r="C446" s="1">
        <v>27042.001950000002</v>
      </c>
      <c r="D446" s="1">
        <v>34.400001529999997</v>
      </c>
      <c r="E446" s="1">
        <v>51.176175209999997</v>
      </c>
      <c r="F446" s="1">
        <v>10.3714084</v>
      </c>
      <c r="G446" s="1">
        <v>26.513493149999999</v>
      </c>
      <c r="H446" s="1">
        <v>11.938923239999999</v>
      </c>
      <c r="I446" s="1">
        <v>35.97137876</v>
      </c>
      <c r="J446" s="1">
        <v>12.36707992</v>
      </c>
      <c r="K446" s="1">
        <v>34.814873949999999</v>
      </c>
      <c r="L446" s="1">
        <v>16.846667360000001</v>
      </c>
      <c r="M446" s="1">
        <v>80.171365829999999</v>
      </c>
      <c r="N446" s="1">
        <v>6.5657095710000002</v>
      </c>
      <c r="O446" s="1">
        <v>10.68295442</v>
      </c>
      <c r="P446" s="1">
        <v>2.5799701810000002</v>
      </c>
    </row>
    <row r="447" spans="1:16" ht="12.5">
      <c r="A447" s="1" t="s">
        <v>67</v>
      </c>
      <c r="B447" s="1">
        <v>2015</v>
      </c>
      <c r="C447" s="1">
        <v>18110.615229999999</v>
      </c>
      <c r="D447" s="1">
        <v>27.530000690000001</v>
      </c>
      <c r="E447" s="1">
        <v>50.137131089999997</v>
      </c>
      <c r="F447" s="1">
        <v>25.67354095</v>
      </c>
      <c r="G447" s="1">
        <v>22.430178909999999</v>
      </c>
      <c r="H447" s="1">
        <v>1.7591490430000001</v>
      </c>
      <c r="I447" s="1">
        <v>38.855163699999999</v>
      </c>
      <c r="J447" s="1">
        <v>30.202184890000002</v>
      </c>
      <c r="K447" s="1">
        <v>28.648694299999999</v>
      </c>
      <c r="L447" s="1">
        <v>2.2939571060000001</v>
      </c>
      <c r="M447" s="1">
        <v>79.835792159999997</v>
      </c>
      <c r="N447" s="1">
        <v>13.75233459</v>
      </c>
      <c r="O447" s="1">
        <v>6.0605534319999999</v>
      </c>
      <c r="P447" s="1">
        <v>0.35131981779999999</v>
      </c>
    </row>
    <row r="448" spans="1:16" ht="12.5">
      <c r="A448" s="1" t="s">
        <v>105</v>
      </c>
      <c r="B448" s="1">
        <v>2020</v>
      </c>
      <c r="C448" s="1">
        <v>114963.58590000001</v>
      </c>
      <c r="D448" s="1">
        <v>21.69499969</v>
      </c>
      <c r="E448" s="1">
        <v>49.615572739999998</v>
      </c>
      <c r="F448" s="1">
        <v>26.740719639999998</v>
      </c>
      <c r="G448" s="1">
        <v>18.635060129999999</v>
      </c>
      <c r="H448" s="1">
        <v>5.0086474860000001</v>
      </c>
      <c r="I448" s="1">
        <v>40.03013919</v>
      </c>
      <c r="J448" s="1">
        <v>30.186683339999998</v>
      </c>
      <c r="K448" s="1">
        <v>23.49561327</v>
      </c>
      <c r="L448" s="1">
        <v>6.2875642029999996</v>
      </c>
      <c r="M448" s="1">
        <v>84.212828160000001</v>
      </c>
      <c r="N448" s="1">
        <v>14.30300858</v>
      </c>
      <c r="O448" s="1">
        <v>1.0915823549999999</v>
      </c>
      <c r="P448" s="1">
        <v>0.39258089600000001</v>
      </c>
    </row>
    <row r="449" spans="1:16" ht="12.5">
      <c r="A449" s="1" t="s">
        <v>157</v>
      </c>
      <c r="B449" s="1">
        <v>2015</v>
      </c>
      <c r="C449" s="1">
        <v>24234.08008</v>
      </c>
      <c r="D449" s="1">
        <v>35.192996979999997</v>
      </c>
      <c r="E449" s="1">
        <v>48.891773540000003</v>
      </c>
      <c r="F449" s="1">
        <v>2.6771603800000001</v>
      </c>
      <c r="G449" s="1">
        <v>30.406736510000002</v>
      </c>
      <c r="H449" s="1">
        <v>18.024329569999999</v>
      </c>
      <c r="I449" s="1">
        <v>33.144577730000002</v>
      </c>
      <c r="J449" s="1">
        <v>1.743479446</v>
      </c>
      <c r="K449" s="1">
        <v>39.697999690000003</v>
      </c>
      <c r="L449" s="1">
        <v>25.41394313</v>
      </c>
      <c r="M449" s="1">
        <v>77.889830720000006</v>
      </c>
      <c r="N449" s="1">
        <v>4.3965098730000003</v>
      </c>
      <c r="O449" s="1">
        <v>13.29711369</v>
      </c>
      <c r="P449" s="1">
        <v>4.4165457190000001</v>
      </c>
    </row>
    <row r="450" spans="1:16" ht="12.5">
      <c r="A450" s="1" t="s">
        <v>232</v>
      </c>
      <c r="B450" s="1">
        <v>2015</v>
      </c>
      <c r="C450" s="1">
        <v>13797.204100000001</v>
      </c>
      <c r="D450" s="1">
        <v>43.245002749999998</v>
      </c>
      <c r="E450" s="1">
        <v>48.711153680000002</v>
      </c>
      <c r="F450" s="1">
        <v>23.406187760000002</v>
      </c>
      <c r="G450" s="1">
        <v>20.154106760000001</v>
      </c>
      <c r="H450" s="1">
        <v>7.7285517889999999</v>
      </c>
      <c r="I450" s="1">
        <v>29.2281926</v>
      </c>
      <c r="J450" s="1">
        <v>28.887148530000001</v>
      </c>
      <c r="K450" s="1">
        <v>28.975788860000002</v>
      </c>
      <c r="L450" s="1">
        <v>12.908870009999999</v>
      </c>
      <c r="M450" s="1">
        <v>74.28070864</v>
      </c>
      <c r="N450" s="1">
        <v>16.212941990000001</v>
      </c>
      <c r="O450" s="1">
        <v>8.5764782830000001</v>
      </c>
      <c r="P450" s="1">
        <v>0.92987109219999997</v>
      </c>
    </row>
    <row r="451" spans="1:16" ht="12.5">
      <c r="A451" s="1" t="s">
        <v>254</v>
      </c>
      <c r="B451" s="1">
        <v>2015</v>
      </c>
      <c r="C451" s="1">
        <v>38225.445310000003</v>
      </c>
      <c r="D451" s="1">
        <v>22.059999470000001</v>
      </c>
      <c r="E451" s="1">
        <v>47.841558360000001</v>
      </c>
      <c r="F451" s="1">
        <v>30.095403770000001</v>
      </c>
      <c r="G451" s="1">
        <v>15.106768450000001</v>
      </c>
      <c r="H451" s="1">
        <v>6.9562694199999999</v>
      </c>
      <c r="I451" s="1">
        <v>39.717003130000002</v>
      </c>
      <c r="J451" s="1">
        <v>34.176563299999998</v>
      </c>
      <c r="K451" s="1">
        <v>17.519117219999998</v>
      </c>
      <c r="L451" s="1">
        <v>8.5873163479999999</v>
      </c>
      <c r="M451" s="1">
        <v>76.546356090000003</v>
      </c>
      <c r="N451" s="1">
        <v>15.67629339</v>
      </c>
      <c r="O451" s="1">
        <v>6.5837192800000004</v>
      </c>
      <c r="P451" s="1">
        <v>1.1936312419999999</v>
      </c>
    </row>
    <row r="452" spans="1:16" ht="12.5">
      <c r="A452" s="1" t="s">
        <v>67</v>
      </c>
      <c r="B452" s="1">
        <v>2020</v>
      </c>
      <c r="C452" s="1">
        <v>20903.277340000001</v>
      </c>
      <c r="D452" s="1">
        <v>30.60700035</v>
      </c>
      <c r="E452" s="1">
        <v>47.214854459999998</v>
      </c>
      <c r="F452" s="1">
        <v>31.2730034</v>
      </c>
      <c r="G452" s="1">
        <v>21.15863263</v>
      </c>
      <c r="H452" s="1">
        <v>0.35350950240000001</v>
      </c>
      <c r="I452" s="1">
        <v>32.718258900000002</v>
      </c>
      <c r="J452" s="1">
        <v>38.626902540000003</v>
      </c>
      <c r="K452" s="1">
        <v>28.3404457</v>
      </c>
      <c r="L452" s="1">
        <v>0.31439286259999999</v>
      </c>
      <c r="M452" s="1">
        <v>80.081918540000004</v>
      </c>
      <c r="N452" s="1">
        <v>14.60004919</v>
      </c>
      <c r="O452" s="1">
        <v>4.8758364869999999</v>
      </c>
      <c r="P452" s="1">
        <v>0.44219578050000002</v>
      </c>
    </row>
    <row r="453" spans="1:16" ht="12.5">
      <c r="A453" s="1" t="s">
        <v>184</v>
      </c>
      <c r="B453" s="1">
        <v>2020</v>
      </c>
      <c r="C453" s="1">
        <v>24206.636719999999</v>
      </c>
      <c r="D453" s="1">
        <v>16.625999449999998</v>
      </c>
      <c r="E453" s="1">
        <v>46.911797470000003</v>
      </c>
      <c r="F453" s="1">
        <v>21.653898699999999</v>
      </c>
      <c r="G453" s="1">
        <v>27.027512439999999</v>
      </c>
      <c r="H453" s="1">
        <v>4.4067913919999997</v>
      </c>
      <c r="I453" s="1">
        <v>39.154159319999998</v>
      </c>
      <c r="J453" s="1">
        <v>23.987740389999999</v>
      </c>
      <c r="K453" s="1">
        <v>31.991506480000002</v>
      </c>
      <c r="L453" s="1">
        <v>4.8665938129999997</v>
      </c>
      <c r="M453" s="1">
        <v>85.813839759999993</v>
      </c>
      <c r="N453" s="1">
        <v>9.9504408289999997</v>
      </c>
      <c r="O453" s="1">
        <v>2.1346877800000001</v>
      </c>
      <c r="P453" s="1">
        <v>2.1010316339999999</v>
      </c>
    </row>
    <row r="454" spans="1:16" ht="12.5">
      <c r="A454" s="1" t="s">
        <v>75</v>
      </c>
      <c r="B454" s="1">
        <v>2020</v>
      </c>
      <c r="C454" s="1">
        <v>16425.859380000002</v>
      </c>
      <c r="D454" s="1">
        <v>23.520000459999999</v>
      </c>
      <c r="E454" s="1">
        <v>46.187534790000001</v>
      </c>
      <c r="F454" s="1">
        <v>14.74028929</v>
      </c>
      <c r="G454" s="1">
        <v>31.562457139999999</v>
      </c>
      <c r="H454" s="1">
        <v>7.5097187840000004</v>
      </c>
      <c r="I454" s="1">
        <v>37.575215249999999</v>
      </c>
      <c r="J454" s="1">
        <v>14.35396111</v>
      </c>
      <c r="K454" s="1">
        <v>38.524967609999997</v>
      </c>
      <c r="L454" s="1">
        <v>9.5458560269999992</v>
      </c>
      <c r="M454" s="1">
        <v>74.192223089999999</v>
      </c>
      <c r="N454" s="1">
        <v>15.99651381</v>
      </c>
      <c r="O454" s="1">
        <v>8.9224527210000009</v>
      </c>
      <c r="P454" s="1">
        <v>0.88881038430000003</v>
      </c>
    </row>
    <row r="455" spans="1:16" ht="12.5">
      <c r="A455" s="1" t="s">
        <v>93</v>
      </c>
      <c r="B455" s="1">
        <v>2020</v>
      </c>
      <c r="C455" s="1">
        <v>89561.40625</v>
      </c>
      <c r="D455" s="1">
        <v>45.638000490000003</v>
      </c>
      <c r="E455" s="1">
        <v>45.952126960000001</v>
      </c>
      <c r="F455" s="1">
        <v>13.44122447</v>
      </c>
      <c r="G455" s="1">
        <v>32.542316069999998</v>
      </c>
      <c r="H455" s="1">
        <v>8.0643324950000004</v>
      </c>
      <c r="I455" s="1">
        <v>21.98279234</v>
      </c>
      <c r="J455" s="1">
        <v>12.68294146</v>
      </c>
      <c r="K455" s="1">
        <v>51.215981669999998</v>
      </c>
      <c r="L455" s="1">
        <v>14.11828453</v>
      </c>
      <c r="M455" s="1">
        <v>74.503354779999995</v>
      </c>
      <c r="N455" s="1">
        <v>14.34445818</v>
      </c>
      <c r="O455" s="1">
        <v>10.29905862</v>
      </c>
      <c r="P455" s="1">
        <v>0.85312841309999998</v>
      </c>
    </row>
    <row r="456" spans="1:16" ht="12.5">
      <c r="A456" s="1" t="s">
        <v>184</v>
      </c>
      <c r="B456" s="1">
        <v>2015</v>
      </c>
      <c r="C456" s="1">
        <v>20001.662110000001</v>
      </c>
      <c r="D456" s="1">
        <v>16.24699974</v>
      </c>
      <c r="E456" s="1">
        <v>45.482458059999999</v>
      </c>
      <c r="F456" s="1">
        <v>16.128836960000001</v>
      </c>
      <c r="G456" s="1">
        <v>34.719560010000002</v>
      </c>
      <c r="H456" s="1">
        <v>3.6691449719999998</v>
      </c>
      <c r="I456" s="1">
        <v>37.329941650000002</v>
      </c>
      <c r="J456" s="1">
        <v>17.64359486</v>
      </c>
      <c r="K456" s="1">
        <v>40.888487750000003</v>
      </c>
      <c r="L456" s="1">
        <v>4.1379757509999999</v>
      </c>
      <c r="M456" s="1">
        <v>87.508539040000002</v>
      </c>
      <c r="N456" s="1">
        <v>8.3202861959999996</v>
      </c>
      <c r="O456" s="1">
        <v>2.918844344</v>
      </c>
      <c r="P456" s="1">
        <v>1.252330425</v>
      </c>
    </row>
    <row r="457" spans="1:16" ht="12.5">
      <c r="A457" s="1" t="s">
        <v>194</v>
      </c>
      <c r="B457" s="1">
        <v>2020</v>
      </c>
      <c r="C457" s="1">
        <v>8947.0273440000001</v>
      </c>
      <c r="D457" s="1">
        <v>13.34500027</v>
      </c>
      <c r="E457" s="1">
        <v>45.344017520000001</v>
      </c>
      <c r="F457" s="1">
        <v>2.128564452</v>
      </c>
      <c r="G457" s="1">
        <v>22.157624949999999</v>
      </c>
      <c r="H457" s="1">
        <v>30.369793080000001</v>
      </c>
      <c r="I457" s="1">
        <v>39.071343669999997</v>
      </c>
      <c r="J457" s="1">
        <v>2.4298502929999999</v>
      </c>
      <c r="K457" s="1">
        <v>24.431800859999999</v>
      </c>
      <c r="L457" s="1">
        <v>34.067005170000002</v>
      </c>
      <c r="M457" s="1">
        <v>86.075271639999997</v>
      </c>
      <c r="N457" s="1">
        <v>0.17218226079999999</v>
      </c>
      <c r="O457" s="1">
        <v>7.3903855639999998</v>
      </c>
      <c r="P457" s="1">
        <v>6.3621605319999999</v>
      </c>
    </row>
    <row r="458" spans="1:16" ht="12.5">
      <c r="A458" s="1" t="s">
        <v>75</v>
      </c>
      <c r="B458" s="1">
        <v>2015</v>
      </c>
      <c r="C458" s="1">
        <v>14110.9707</v>
      </c>
      <c r="D458" s="1">
        <v>22.515001300000002</v>
      </c>
      <c r="E458" s="1">
        <v>44.399096970000002</v>
      </c>
      <c r="F458" s="1">
        <v>13.51638311</v>
      </c>
      <c r="G458" s="1">
        <v>34.702739940000001</v>
      </c>
      <c r="H458" s="1">
        <v>7.3817799820000003</v>
      </c>
      <c r="I458" s="1">
        <v>35.578900740000002</v>
      </c>
      <c r="J458" s="1">
        <v>13.876413980000001</v>
      </c>
      <c r="K458" s="1">
        <v>41.266156469999999</v>
      </c>
      <c r="L458" s="1">
        <v>9.2785288060000006</v>
      </c>
      <c r="M458" s="1">
        <v>74.753651779999998</v>
      </c>
      <c r="N458" s="1">
        <v>12.27734182</v>
      </c>
      <c r="O458" s="1">
        <v>12.11485643</v>
      </c>
      <c r="P458" s="1">
        <v>0.85414997150000005</v>
      </c>
    </row>
    <row r="459" spans="1:16" ht="12.5">
      <c r="A459" s="1" t="s">
        <v>93</v>
      </c>
      <c r="B459" s="1">
        <v>2015</v>
      </c>
      <c r="C459" s="1">
        <v>76244.53125</v>
      </c>
      <c r="D459" s="1">
        <v>42.739997860000003</v>
      </c>
      <c r="E459" s="1">
        <v>42.718179970000001</v>
      </c>
      <c r="F459" s="1">
        <v>12.68729907</v>
      </c>
      <c r="G459" s="1">
        <v>34.284024770000002</v>
      </c>
      <c r="H459" s="1">
        <v>10.31049619</v>
      </c>
      <c r="I459" s="1">
        <v>20.6225138</v>
      </c>
      <c r="J459" s="1">
        <v>11.51689397</v>
      </c>
      <c r="K459" s="1">
        <v>51.009840029999999</v>
      </c>
      <c r="L459" s="1">
        <v>16.850752199999999</v>
      </c>
      <c r="M459" s="1">
        <v>72.320377789999995</v>
      </c>
      <c r="N459" s="1">
        <v>14.255324979999999</v>
      </c>
      <c r="O459" s="1">
        <v>11.87596826</v>
      </c>
      <c r="P459" s="1">
        <v>1.548328967</v>
      </c>
    </row>
    <row r="460" spans="1:16" ht="12.5">
      <c r="A460" s="1" t="s">
        <v>74</v>
      </c>
      <c r="B460" s="1">
        <v>2015</v>
      </c>
      <c r="C460" s="1">
        <v>4493.1708980000003</v>
      </c>
      <c r="D460" s="1">
        <v>40.277000430000001</v>
      </c>
      <c r="E460" s="1">
        <v>42.311345420000002</v>
      </c>
      <c r="F460" s="1">
        <v>21.343997179999999</v>
      </c>
      <c r="G460" s="1">
        <v>32.010174079999999</v>
      </c>
      <c r="H460" s="1">
        <v>4.3344833180000002</v>
      </c>
      <c r="I460" s="1">
        <v>31.891407789999999</v>
      </c>
      <c r="J460" s="1">
        <v>17.35785358</v>
      </c>
      <c r="K460" s="1">
        <v>43.702609250000002</v>
      </c>
      <c r="L460" s="1">
        <v>7.0481293919999999</v>
      </c>
      <c r="M460" s="1">
        <v>57.76209901</v>
      </c>
      <c r="N460" s="1">
        <v>27.25467806</v>
      </c>
      <c r="O460" s="1">
        <v>14.67255123</v>
      </c>
      <c r="P460" s="1">
        <v>0.31067170900000002</v>
      </c>
    </row>
    <row r="461" spans="1:16" ht="12.5">
      <c r="A461" s="1" t="s">
        <v>105</v>
      </c>
      <c r="B461" s="1">
        <v>2015</v>
      </c>
      <c r="C461" s="1">
        <v>100835.4531</v>
      </c>
      <c r="D461" s="1">
        <v>19.428001399999999</v>
      </c>
      <c r="E461" s="1">
        <v>42.070067199999997</v>
      </c>
      <c r="F461" s="1">
        <v>21.738790269999999</v>
      </c>
      <c r="G461" s="1">
        <v>24.477856150000001</v>
      </c>
      <c r="H461" s="1">
        <v>11.71328639</v>
      </c>
      <c r="I461" s="1">
        <v>32.451767429999997</v>
      </c>
      <c r="J461" s="1">
        <v>23.598552099999999</v>
      </c>
      <c r="K461" s="1">
        <v>29.78155581</v>
      </c>
      <c r="L461" s="1">
        <v>14.168124669999999</v>
      </c>
      <c r="M461" s="1">
        <v>81.959176540000001</v>
      </c>
      <c r="N461" s="1">
        <v>14.02596733</v>
      </c>
      <c r="O461" s="1">
        <v>2.4822996910000001</v>
      </c>
      <c r="P461" s="1">
        <v>1.5325564389999999</v>
      </c>
    </row>
    <row r="462" spans="1:16" ht="12.5">
      <c r="A462" s="1" t="s">
        <v>194</v>
      </c>
      <c r="B462" s="1">
        <v>2015</v>
      </c>
      <c r="C462" s="1">
        <v>8107.7719729999999</v>
      </c>
      <c r="D462" s="1">
        <v>13.01200008</v>
      </c>
      <c r="E462" s="1">
        <v>41.485508439999997</v>
      </c>
      <c r="F462" s="1">
        <v>1.8099530800000001</v>
      </c>
      <c r="G462" s="1">
        <v>21.261051999999999</v>
      </c>
      <c r="H462" s="1">
        <v>35.443486479999997</v>
      </c>
      <c r="I462" s="1">
        <v>34.990633000000003</v>
      </c>
      <c r="J462" s="1">
        <v>1.8047244330000001</v>
      </c>
      <c r="K462" s="1">
        <v>23.25354875</v>
      </c>
      <c r="L462" s="1">
        <v>39.951093819999997</v>
      </c>
      <c r="M462" s="1">
        <v>84.90514306</v>
      </c>
      <c r="N462" s="1">
        <v>1.844907912</v>
      </c>
      <c r="O462" s="1">
        <v>7.9407764350000001</v>
      </c>
      <c r="P462" s="1">
        <v>5.309172598</v>
      </c>
    </row>
    <row r="463" spans="1:16" ht="12.5">
      <c r="A463" s="1" t="s">
        <v>234</v>
      </c>
      <c r="B463" s="1">
        <v>2015</v>
      </c>
      <c r="C463" s="1">
        <v>10715.657230000001</v>
      </c>
      <c r="D463" s="1">
        <v>18.851999280000001</v>
      </c>
      <c r="E463" s="1">
        <v>41.247509460000003</v>
      </c>
      <c r="F463" s="1">
        <v>30.695737130000001</v>
      </c>
      <c r="G463" s="1">
        <v>13.55439295</v>
      </c>
      <c r="H463" s="1">
        <v>14.502360449999999</v>
      </c>
      <c r="I463" s="1">
        <v>36.726779729999997</v>
      </c>
      <c r="J463" s="1">
        <v>32.662799669999998</v>
      </c>
      <c r="K463" s="1">
        <v>14.310065379999999</v>
      </c>
      <c r="L463" s="1">
        <v>16.30035522</v>
      </c>
      <c r="M463" s="1">
        <v>60.70687736</v>
      </c>
      <c r="N463" s="1">
        <v>22.228553949999998</v>
      </c>
      <c r="O463" s="1">
        <v>10.301639140000001</v>
      </c>
      <c r="P463" s="1">
        <v>6.7629295520000001</v>
      </c>
    </row>
    <row r="464" spans="1:16" ht="12.5">
      <c r="A464" s="1" t="s">
        <v>234</v>
      </c>
      <c r="B464" s="1">
        <v>2020</v>
      </c>
      <c r="C464" s="1">
        <v>11193.728520000001</v>
      </c>
      <c r="D464" s="1">
        <v>20.198999400000002</v>
      </c>
      <c r="E464" s="1">
        <v>40.95092717</v>
      </c>
      <c r="F464" s="1">
        <v>37.426962869999997</v>
      </c>
      <c r="G464" s="1">
        <v>13.537555190000001</v>
      </c>
      <c r="H464" s="1">
        <v>8.0845547619999998</v>
      </c>
      <c r="I464" s="1">
        <v>33.593628809999998</v>
      </c>
      <c r="J464" s="1">
        <v>42.164380680000001</v>
      </c>
      <c r="K464" s="1">
        <v>14.111096160000001</v>
      </c>
      <c r="L464" s="1">
        <v>10.13089435</v>
      </c>
      <c r="M464" s="1">
        <v>70.017704449999997</v>
      </c>
      <c r="N464" s="1">
        <v>18.710660919999999</v>
      </c>
      <c r="O464" s="1">
        <v>11.27163464</v>
      </c>
      <c r="P464" s="1">
        <v>0</v>
      </c>
    </row>
    <row r="465" spans="1:16" ht="12.5">
      <c r="A465" s="1" t="s">
        <v>74</v>
      </c>
      <c r="B465" s="1">
        <v>2020</v>
      </c>
      <c r="C465" s="1">
        <v>4829.7641599999997</v>
      </c>
      <c r="D465" s="1">
        <v>42.197998050000002</v>
      </c>
      <c r="E465" s="1">
        <v>37.202402050000003</v>
      </c>
      <c r="F465" s="1">
        <v>25.682373479999999</v>
      </c>
      <c r="G465" s="1">
        <v>33.53911377</v>
      </c>
      <c r="H465" s="1">
        <v>3.5761107079999999</v>
      </c>
      <c r="I465" s="1">
        <v>28.106594149999999</v>
      </c>
      <c r="J465" s="1">
        <v>19.405889899999998</v>
      </c>
      <c r="K465" s="1">
        <v>46.373073009999999</v>
      </c>
      <c r="L465" s="1">
        <v>6.1144429440000003</v>
      </c>
      <c r="M465" s="1">
        <v>49.661664950000002</v>
      </c>
      <c r="N465" s="1">
        <v>34.279780090000003</v>
      </c>
      <c r="O465" s="1">
        <v>15.95940214</v>
      </c>
      <c r="P465" s="1">
        <v>9.915281712E-2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Estimates of the use of water (</vt:lpstr>
      <vt:lpstr>Pivot Table 3</vt:lpstr>
      <vt:lpstr>Summary sheet</vt:lpstr>
      <vt:lpstr>Sheet2</vt:lpstr>
      <vt:lpstr>Copy of Estimates of the use of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 Immanuel</cp:lastModifiedBy>
  <dcterms:modified xsi:type="dcterms:W3CDTF">2026-10-14T17:23:21Z</dcterms:modified>
</cp:coreProperties>
</file>